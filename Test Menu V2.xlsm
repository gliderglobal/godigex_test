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inGlider\Client Folder\Grocery\"/>
    </mc:Choice>
  </mc:AlternateContent>
  <xr:revisionPtr revIDLastSave="0" documentId="13_ncr:1_{524F00F1-3E76-4956-9026-DE358AB3161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tem list" sheetId="1" r:id="rId1"/>
    <sheet name="Quantity Session" sheetId="7" r:id="rId2"/>
    <sheet name="tempQuantity" sheetId="8" r:id="rId3"/>
    <sheet name="tempout" sheetId="5" r:id="rId4"/>
    <sheet name="temp" sheetId="4" r:id="rId5"/>
    <sheet name="Code" sheetId="2" r:id="rId6"/>
    <sheet name="output" sheetId="3" r:id="rId7"/>
    <sheet name="rest_info" sheetId="6" r:id="rId8"/>
    <sheet name="Sheet1" sheetId="9" r:id="rId9"/>
    <sheet name="Sheet2" sheetId="10" r:id="rId10"/>
  </sheets>
  <definedNames>
    <definedName name="_xlnm._FilterDatabase" localSheetId="0" hidden="1">'item list'!$A$1:$N$684</definedName>
    <definedName name="_xlnm._FilterDatabase" localSheetId="1" hidden="1">'Quantity Session'!$A$1:$E$467</definedName>
    <definedName name="_xlnm._FilterDatabase" localSheetId="4" hidden="1">temp!$A$1:$B$45</definedName>
  </definedNames>
  <calcPr calcId="191029"/>
</workbook>
</file>

<file path=xl/calcChain.xml><?xml version="1.0" encoding="utf-8"?>
<calcChain xmlns="http://schemas.openxmlformats.org/spreadsheetml/2006/main">
  <c r="E1" i="9" l="1"/>
  <c r="D87" i="9"/>
  <c r="D90" i="9"/>
  <c r="D89" i="9"/>
  <c r="D88" i="9"/>
  <c r="D82" i="9"/>
  <c r="D77" i="9"/>
  <c r="D75" i="9" s="1"/>
  <c r="D73" i="9"/>
  <c r="D66" i="9" s="1"/>
  <c r="D64" i="9"/>
  <c r="D62" i="9" s="1"/>
  <c r="D59" i="9"/>
  <c r="D53" i="9"/>
  <c r="D49" i="9"/>
  <c r="D46" i="9"/>
  <c r="D40" i="9" s="1"/>
  <c r="D33" i="9"/>
  <c r="D32" i="9" s="1"/>
  <c r="D29" i="9"/>
  <c r="D25" i="9" s="1"/>
  <c r="D19" i="9"/>
  <c r="D16" i="9" s="1"/>
  <c r="D2" i="9"/>
  <c r="D47" i="9" l="1"/>
</calcChain>
</file>

<file path=xl/sharedStrings.xml><?xml version="1.0" encoding="utf-8"?>
<sst xmlns="http://schemas.openxmlformats.org/spreadsheetml/2006/main" count="18926" uniqueCount="6317">
  <si>
    <t>Price</t>
  </si>
  <si>
    <t>SectionName</t>
  </si>
  <si>
    <t>MenuId</t>
  </si>
  <si>
    <t>Item</t>
  </si>
  <si>
    <t>Type</t>
  </si>
  <si>
    <t>Heighlightdescription</t>
  </si>
  <si>
    <t>ImageUrl</t>
  </si>
  <si>
    <t>"MenuId": "</t>
  </si>
  <si>
    <t>"Item": "</t>
  </si>
  <si>
    <t>"CategoryName": "</t>
  </si>
  <si>
    <t>"Type": "</t>
  </si>
  <si>
    <t>"Heighlightdescription": "</t>
  </si>
  <si>
    <t>},</t>
  </si>
  <si>
    <t>{</t>
  </si>
  <si>
    <r>
      <t>"</t>
    </r>
    <r>
      <rPr>
        <sz val="11"/>
        <color rgb="FFD4D4D4"/>
        <rFont val="Consolas"/>
        <family val="3"/>
      </rPr>
      <t>,</t>
    </r>
  </si>
  <si>
    <t>CategoryName</t>
  </si>
  <si>
    <t>SectionOrder</t>
  </si>
  <si>
    <t>Quantity Session</t>
  </si>
  <si>
    <t>"Price": "</t>
  </si>
  <si>
    <t>Product ID</t>
  </si>
  <si>
    <t>var RestaurantInfo = {</t>
  </si>
  <si>
    <t>};</t>
  </si>
  <si>
    <t>",</t>
  </si>
  <si>
    <t>Hello.Please find the below order.</t>
  </si>
  <si>
    <t>Your cart is empty now. Add items to place order.</t>
  </si>
  <si>
    <t>Sorry, We couldn't find any thing</t>
  </si>
  <si>
    <t>var MenuList = [</t>
  </si>
  <si>
    <t>];</t>
  </si>
  <si>
    <t>var RecommendedItemList = [</t>
  </si>
  <si>
    <t>RecommendedItemId</t>
  </si>
  <si>
    <t>Description1</t>
  </si>
  <si>
    <t>Description2</t>
  </si>
  <si>
    <t>"</t>
  </si>
  <si>
    <r>
      <rPr>
        <sz val="11"/>
        <color rgb="FFCE9178"/>
        <rFont val="Consolas"/>
        <family val="3"/>
      </rPr>
      <t>"RecommendedItemId"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</si>
  <si>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r>
      <rPr>
        <sz val="11"/>
        <color rgb="FFCE9178"/>
        <rFont val="Consolas"/>
        <family val="3"/>
      </rPr>
      <t>"ItemName"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</si>
  <si>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r>
      <rPr>
        <sz val="11"/>
        <color rgb="FFCE9178"/>
        <rFont val="Consolas"/>
        <family val="3"/>
      </rPr>
      <t>"Description1"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</si>
  <si>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r>
      <rPr>
        <sz val="11"/>
        <color rgb="FFCE9178"/>
        <rFont val="Consolas"/>
        <family val="3"/>
      </rPr>
      <t>"Description2"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</si>
  <si>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t>"SectionName": "</t>
  </si>
  <si>
    <t>"SectionOrder": "</t>
  </si>
  <si>
    <t>"MenuItem": [</t>
  </si>
  <si>
    <t>]</t>
  </si>
  <si>
    <t>var Categories = [</t>
  </si>
  <si>
    <t>true</t>
  </si>
  <si>
    <t>OfferHihglight</t>
  </si>
  <si>
    <t>OfferDescription</t>
  </si>
  <si>
    <t>"OfferHihglight":"</t>
  </si>
  <si>
    <t>"OfferDescription":"</t>
  </si>
  <si>
    <t>"WhatsappMessageHeader": "Hello.Please find the below order.",</t>
  </si>
  <si>
    <t>"CartEmptyMessage": "Your cart is empty now. Add items to place order.",</t>
  </si>
  <si>
    <t>"SectionOrder": "1",</t>
  </si>
  <si>
    <t>"MenuId": "1",</t>
  </si>
  <si>
    <t>"OfferHihglight":"",</t>
  </si>
  <si>
    <t>"OfferDescription":"",</t>
  </si>
  <si>
    <t>"MenuId": "2",</t>
  </si>
  <si>
    <t>"MenuId": "3",</t>
  </si>
  <si>
    <t>"SectionOrder": "2",</t>
  </si>
  <si>
    <t>"RecommendedItemId": "1",</t>
  </si>
  <si>
    <t>"Description2": ""</t>
  </si>
  <si>
    <t>GST</t>
  </si>
  <si>
    <t>"SearchEmptyMessage": "Sorry, We couldn't find any thing",</t>
  </si>
  <si>
    <t>,</t>
  </si>
  <si>
    <t>"TemplateWithImage":true,</t>
  </si>
  <si>
    <t>"TaxDesc":"GST",</t>
  </si>
  <si>
    <t>Spicy Revenge</t>
  </si>
  <si>
    <t>10:30 AM</t>
  </si>
  <si>
    <t>11:00 PM</t>
  </si>
  <si>
    <t>Family Bigmart Building, Sarjapura Main Road , Attibele</t>
  </si>
  <si>
    <t>"Name": "Spicy Revenge",</t>
  </si>
  <si>
    <t>"Address": "Family Bigmart Building, Sarjapura Main Road , Attibele",</t>
  </si>
  <si>
    <t>"OpenTime": "10:30 AM",</t>
  </si>
  <si>
    <t>"CloseTime": "11:00 PM",</t>
  </si>
  <si>
    <t>"ApplicationHeader": "Spicy Revenge",</t>
  </si>
  <si>
    <t>"ImageUrl": "img/pics/</t>
  </si>
  <si>
    <r>
      <rPr>
        <sz val="11"/>
        <color rgb="FFCE9178"/>
        <rFont val="Consolas"/>
        <family val="3"/>
      </rPr>
      <t>"ImageUrl"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"img/pics/</t>
    </r>
  </si>
  <si>
    <t>+91 7019922900</t>
  </si>
  <si>
    <t>"Phone": "+91 7019922900",</t>
  </si>
  <si>
    <t>"Whatsapp": "+91 7019922900",</t>
  </si>
  <si>
    <t>"ContainerCharge": "</t>
  </si>
  <si>
    <t>ContainerCharge</t>
  </si>
  <si>
    <t>"ContainerCharge": "",</t>
  </si>
  <si>
    <t>"Tax":0.05,</t>
  </si>
  <si>
    <t>"MinDelivery":</t>
  </si>
  <si>
    <t>"Name": "</t>
  </si>
  <si>
    <t>"Address": "</t>
  </si>
  <si>
    <t>"Phone": "</t>
  </si>
  <si>
    <t>"Whatsapp": "</t>
  </si>
  <si>
    <t>"WhatsappMessageHeader": "</t>
  </si>
  <si>
    <t>"OpenTime": "</t>
  </si>
  <si>
    <t>"CloseTime": "</t>
  </si>
  <si>
    <t>"CartEmptyMessage": "</t>
  </si>
  <si>
    <t>"SearchEmptyMessage": "</t>
  </si>
  <si>
    <t>"TemplateWithImage":</t>
  </si>
  <si>
    <t>"ApplicationHeader": "</t>
  </si>
  <si>
    <t>"Tax":</t>
  </si>
  <si>
    <t>"TaxDesc":"</t>
  </si>
  <si>
    <t>"DeliverCharge":</t>
  </si>
  <si>
    <t>"DeliverCharge":0,</t>
  </si>
  <si>
    <t>"MinDelivery":350</t>
  </si>
  <si>
    <t>"QuantitySection": [</t>
  </si>
  <si>
    <t>QuantitySectionId</t>
  </si>
  <si>
    <t>Name</t>
  </si>
  <si>
    <t>Description</t>
  </si>
  <si>
    <t>"QuantitySectionId": "</t>
  </si>
  <si>
    <t>"Name": "</t>
  </si>
  <si>
    <t>"Description": "</t>
  </si>
  <si>
    <t>"QuantitySectionId": "1",</t>
  </si>
  <si>
    <t>"QuantitySectionId": "2",</t>
  </si>
  <si>
    <t>"MenuId": "4",</t>
  </si>
  <si>
    <t>"MenuId": "5",</t>
  </si>
  <si>
    <t>"Description1": "Price : ",</t>
  </si>
  <si>
    <t>"Type": "",</t>
  </si>
  <si>
    <t>"Price": "220"</t>
  </si>
  <si>
    <t>"ItemName": "",</t>
  </si>
  <si>
    <t>Owner</t>
  </si>
  <si>
    <t>Packaging Material</t>
  </si>
  <si>
    <t>Sauces &amp; Seasoning</t>
  </si>
  <si>
    <t>Ameena</t>
  </si>
  <si>
    <t>Cleaning &amp; Consumables</t>
  </si>
  <si>
    <t>Masala, Salt &amp; Sugar</t>
  </si>
  <si>
    <t>Nibras</t>
  </si>
  <si>
    <t>Canned &amp; Imported Items</t>
  </si>
  <si>
    <t>Frozen &amp; Instant Food</t>
  </si>
  <si>
    <t>Nafih</t>
  </si>
  <si>
    <t>Dry Fruits &amp; Nuts</t>
  </si>
  <si>
    <t>Bakery &amp; Chocolates</t>
  </si>
  <si>
    <t>Hafeed</t>
  </si>
  <si>
    <t>Dairy</t>
  </si>
  <si>
    <t>Beverages &amp; Mixers</t>
  </si>
  <si>
    <t>Category Name</t>
  </si>
  <si>
    <t>Sub Category</t>
  </si>
  <si>
    <t>Customized Products</t>
  </si>
  <si>
    <t>Item Count</t>
  </si>
  <si>
    <t>Cutlery &amp; Tissues</t>
  </si>
  <si>
    <t>Reusable Round Containers</t>
  </si>
  <si>
    <t>Paper Bags, Boxes &amp; Cups</t>
  </si>
  <si>
    <t>Zomato Tapes &amp; Kitchen Wraps</t>
  </si>
  <si>
    <t>Reusable Rectangular Containers</t>
  </si>
  <si>
    <t>Aluminium Containers &amp; Silver Pouches</t>
  </si>
  <si>
    <t>Disposable Tableware</t>
  </si>
  <si>
    <t>Eco Friendly Containers</t>
  </si>
  <si>
    <t>Non Woven Bags</t>
  </si>
  <si>
    <t>Meal Trays</t>
  </si>
  <si>
    <t>Cake Delivery Solutions</t>
  </si>
  <si>
    <t>Rice Bowl</t>
  </si>
  <si>
    <t>MSG, Flavors &amp; Aromats</t>
  </si>
  <si>
    <t>Mayonnaise, Dips &amp; Dressings</t>
  </si>
  <si>
    <t>Ketchup, Puree &amp; Pastes</t>
  </si>
  <si>
    <t>Vinegar, Chilli &amp; Soy Sauces</t>
  </si>
  <si>
    <t>Oregano, Chilli Flakes &amp; Seasoning</t>
  </si>
  <si>
    <t>Other Sauces &amp; Seasonings</t>
  </si>
  <si>
    <t>Chutneys &amp; Pickles</t>
  </si>
  <si>
    <t>Instant Noodles</t>
  </si>
  <si>
    <t>Consumables</t>
  </si>
  <si>
    <t>Dishwash &amp; Detergents</t>
  </si>
  <si>
    <t>Cleaning Tools</t>
  </si>
  <si>
    <t>Cleaning Chemicals</t>
  </si>
  <si>
    <t>Air Freshener</t>
  </si>
  <si>
    <t>Handwash &amp; Sanitizers</t>
  </si>
  <si>
    <t>Grounded Spices</t>
  </si>
  <si>
    <t>Salts &amp; Sugars</t>
  </si>
  <si>
    <t>Whole Spices</t>
  </si>
  <si>
    <t>Chilli, Turmeric &amp; Coriander Powder</t>
  </si>
  <si>
    <t>Mouth Freshener and Papad</t>
  </si>
  <si>
    <t>Magaz</t>
  </si>
  <si>
    <t>Namkeens</t>
  </si>
  <si>
    <t>Pasta &amp; Noodles</t>
  </si>
  <si>
    <t>Olives, Jalapenoes &amp; Canned Products</t>
  </si>
  <si>
    <t>Japanese, Thai &amp; Oriental</t>
  </si>
  <si>
    <t>Italian &amp; European</t>
  </si>
  <si>
    <t>Coconut Milk Powder &amp; Creams</t>
  </si>
  <si>
    <t>Imported Bakery &amp; Cheese</t>
  </si>
  <si>
    <t>Fries</t>
  </si>
  <si>
    <t>Wraps, Parathas &amp; Base</t>
  </si>
  <si>
    <t>Institutional RTE</t>
  </si>
  <si>
    <t>Bread &amp; Buns</t>
  </si>
  <si>
    <t>Burger Patty</t>
  </si>
  <si>
    <t>Fast Food Snacks - Veg</t>
  </si>
  <si>
    <t>RTE Gravies &amp; Base</t>
  </si>
  <si>
    <t>Cakes, Brownies &amp; Chocolavas</t>
  </si>
  <si>
    <t>Fast Food Snacks - Non-Veg</t>
  </si>
  <si>
    <t>Momos, Spring Rolls &amp; Samosas</t>
  </si>
  <si>
    <t>Gulab Jamun &amp; Other Sweets</t>
  </si>
  <si>
    <t>Cold Cuts</t>
  </si>
  <si>
    <t>RTC Ingredients</t>
  </si>
  <si>
    <t>South Indian</t>
  </si>
  <si>
    <t>Cashews</t>
  </si>
  <si>
    <t>Peanuts &amp; Others</t>
  </si>
  <si>
    <t>Almonds, Raisins &amp; Pistas</t>
  </si>
  <si>
    <t>Cake Toppings &amp; Decoration</t>
  </si>
  <si>
    <t>Honey, Spreads &amp; Snacks</t>
  </si>
  <si>
    <t>Chocolates &amp; Compounds</t>
  </si>
  <si>
    <t>Bakery Ingredients</t>
  </si>
  <si>
    <t>Essence &amp; Flavours</t>
  </si>
  <si>
    <t>Bread Improvers</t>
  </si>
  <si>
    <t>Cake Premixes</t>
  </si>
  <si>
    <t>Bakery Fats</t>
  </si>
  <si>
    <t>Cream</t>
  </si>
  <si>
    <t>Butter</t>
  </si>
  <si>
    <t>Milk &amp; Milk Powder</t>
  </si>
  <si>
    <t>Cheese</t>
  </si>
  <si>
    <t>Curd</t>
  </si>
  <si>
    <t>Margarine</t>
  </si>
  <si>
    <t>Paneer</t>
  </si>
  <si>
    <t>Ghee</t>
  </si>
  <si>
    <t>Soya Chaap</t>
  </si>
  <si>
    <t>Ice Cream</t>
  </si>
  <si>
    <t>Khoya</t>
  </si>
  <si>
    <t>Juices &amp; Bar Mixers</t>
  </si>
  <si>
    <t>Tea &amp; Coffee</t>
  </si>
  <si>
    <t>Syrups &amp; Crushes</t>
  </si>
  <si>
    <t>Cold Drinks</t>
  </si>
  <si>
    <t>Energy &amp; Flavored Drinks</t>
  </si>
  <si>
    <t>Ice Essential</t>
  </si>
  <si>
    <t>Real - Orange Juice, 1 L</t>
  </si>
  <si>
    <t>₹92.95/pc for 12 pcs+</t>
  </si>
  <si>
    <t>Real - Cranberry Juice, 1 L</t>
  </si>
  <si>
    <t>₹95.8/pc for 4 pcs+</t>
  </si>
  <si>
    <t>₹95.27/pc for 12 pcs+</t>
  </si>
  <si>
    <t>Real - Pineapple Juice, 1 L</t>
  </si>
  <si>
    <t>₹92.23/pc for 13 pcs+</t>
  </si>
  <si>
    <t>Kinley - Soda, 750 ml (Pack of 24) MRP - 20/pc</t>
  </si>
  <si>
    <t>Real - Apple Juice, 1 L</t>
  </si>
  <si>
    <t>₹81.96/pc for 3 pcs+</t>
  </si>
  <si>
    <t>₹80.98/pc for 6 pcs+</t>
  </si>
  <si>
    <t>Real - Mixed Fruit Juice, 1 L</t>
  </si>
  <si>
    <t>Real - Mango Juice, 1 L</t>
  </si>
  <si>
    <t>₹84.02/pc for 5 pcs+</t>
  </si>
  <si>
    <t>₹83.12/pc for 12 pcs+</t>
  </si>
  <si>
    <t>Real - Tomato Juice, 1 L</t>
  </si>
  <si>
    <t>₹93.75/pc for 6 pcs+</t>
  </si>
  <si>
    <t>₹92.77/pc for 12 pcs+</t>
  </si>
  <si>
    <t>Jivo - 750 ml Soda Extra Fizzy, (Pack of 15)</t>
  </si>
  <si>
    <t>at ₹14.25/pc</t>
  </si>
  <si>
    <t>₹13.5/pc for 60 pcs+</t>
  </si>
  <si>
    <t>₹12.75/pc for 120 pcs+</t>
  </si>
  <si>
    <t>Vedica - Water Bottle, 1 L (Pack of 12)</t>
  </si>
  <si>
    <t>at ₹25/pc</t>
  </si>
  <si>
    <t>Real - Orange Juice, 180 ml</t>
  </si>
  <si>
    <t>₹13.93/pc for 3 pcs+</t>
  </si>
  <si>
    <t>₹13.66/pc for 6 pcs+</t>
  </si>
  <si>
    <t>Schweppes - Tonic Water, 300 ml (Pack of 24)</t>
  </si>
  <si>
    <t>at ₹33.12/can</t>
  </si>
  <si>
    <t>₹32.71/can for 48 cans+</t>
  </si>
  <si>
    <t>₹32.29/can for 96 cans+</t>
  </si>
  <si>
    <t>Tropicana - Orange Juice, 1 L Tetra Pak</t>
  </si>
  <si>
    <t>₹88.04/pc for 6 pcs+</t>
  </si>
  <si>
    <t>₹86.07/pc for 12 pcs+</t>
  </si>
  <si>
    <t>Schweppes - Ginger Ale, 300 ml (Pack of 24) MRP - 60/pc</t>
  </si>
  <si>
    <t>at ₹33.71/pc</t>
  </si>
  <si>
    <t>₹33.29/pc for 48 pcs+</t>
  </si>
  <si>
    <t>₹32.88/pc for 96 pcs+</t>
  </si>
  <si>
    <t>Real - Pineapple Juice, 180 ml</t>
  </si>
  <si>
    <t>₹13.75/pc for 6 pcs+</t>
  </si>
  <si>
    <t>₹13.66/pc for 12 pcs+</t>
  </si>
  <si>
    <t>Tropicana - Guava, 1 L Tetra Pak</t>
  </si>
  <si>
    <t>₹82.95/pc for 3 pcs+</t>
  </si>
  <si>
    <t>₹82.14/pc for 6 pcs+</t>
  </si>
  <si>
    <t>Real - Litchi Juice, 1 L</t>
  </si>
  <si>
    <t>₹88.48/pc for 3 pcs+</t>
  </si>
  <si>
    <t>₹87.5/pc for 6 pcs+</t>
  </si>
  <si>
    <t>Tropicana - Pineapple Juice, 1 L</t>
  </si>
  <si>
    <t>₹90.8/pc for 3 pcs+</t>
  </si>
  <si>
    <t>₹89.2/pc for 6 pcs+</t>
  </si>
  <si>
    <t>Real - Pomegranate Juice, 1 L</t>
  </si>
  <si>
    <t>₹90.27/pc for 4 pcs+</t>
  </si>
  <si>
    <t>₹89.82/pc for 8 pcs+</t>
  </si>
  <si>
    <t>Real - Litchi Juice, 180 ml</t>
  </si>
  <si>
    <t>Real - Pomegranate Juice, 180 ml</t>
  </si>
  <si>
    <t>Marimbula - Frappe Vanilla Powder, 1 Kg</t>
  </si>
  <si>
    <t>Tata - Agni Tea Powder, 1 Kg</t>
  </si>
  <si>
    <t>Marimbula - Frappe Coffee Powder, 1 Kg</t>
  </si>
  <si>
    <t>Wagh Bakri - Navchetan Leaf Tea, 1 Kg</t>
  </si>
  <si>
    <t>Bene Tibi (By Veeba) - Mojito Mint Syrup, 750 ml</t>
  </si>
  <si>
    <t>Coca Cola - 330 ml Can (Pack of 24), MRP - 70/pc</t>
  </si>
  <si>
    <t>Nescafe - Classic Coffee, 500 gm</t>
  </si>
  <si>
    <t>Tata Tea - Elaichi, 1 Kg</t>
  </si>
  <si>
    <t>Mala's - Strawberry Crush, 1L</t>
  </si>
  <si>
    <t>Coca Cola - Diet Coke, 300 ml Can (Pack of 24) MRP - 40/pc</t>
  </si>
  <si>
    <t>Frappik - Vanilla Frappe Powder, 1 Kg</t>
  </si>
  <si>
    <t>Mala's - Mango Crush, 1 L</t>
  </si>
  <si>
    <t>Coca Cola - 300 ml Can (Pack of 24), MRP - 40/pc</t>
  </si>
  <si>
    <t>Nestea - Lemon Iced Tea Premix, 1 Kg</t>
  </si>
  <si>
    <t>Coca Cola - 750 ml Pet Bottle (Pack of 24), MRP - 40/pc</t>
  </si>
  <si>
    <t>Thums Up - 250 ml Pet Bottle (Pack of 30), MRP - 20/pc</t>
  </si>
  <si>
    <t>Sprite - 750 ml Pet Bottle (Pack of 24), MRP - 40/pc</t>
  </si>
  <si>
    <t>Mapro - Strawberry Crush, 1 L</t>
  </si>
  <si>
    <t>Bene Tibi (By Veeba) - Water Melon Syrup, 750 ml</t>
  </si>
  <si>
    <t>Coca Cola - 250 ml Pet Bottle (Pack of 30), MRP - 20/pc</t>
  </si>
  <si>
    <t>Thums Up - 330 ml Can, (Pack of 24) MRP - 70/pc</t>
  </si>
  <si>
    <t>Mapro - Blue Berry Crush, 750 ml</t>
  </si>
  <si>
    <t>Bene Tibi (By Veeba) - Peach Syrup, 750 ml</t>
  </si>
  <si>
    <t>Coke Zero - 300 ml Can (Pack of 24) MRP - 40/pc</t>
  </si>
  <si>
    <t>Mapro - Mango Crush, 1 L</t>
  </si>
  <si>
    <t>Bene Tibi (By Veeba) - Blue Curacao Syrup, 750 ml</t>
  </si>
  <si>
    <t>Frappik - Base Frappe Powder, 1 Kg</t>
  </si>
  <si>
    <t>Golden Crown - Strawberry Fruit Crush, 1 L</t>
  </si>
  <si>
    <t>Bene Tibi (By Veeba) - Green Apple Syrup, 750 ml</t>
  </si>
  <si>
    <t>Sprite - 330 ml Can (Pack of 24), MRP - 70/pc</t>
  </si>
  <si>
    <t>Sprite - 300 ml Can (Pack of 24) MRP - 40/pc</t>
  </si>
  <si>
    <t>Marimbula - Mojito Mint Syrup, 1 L</t>
  </si>
  <si>
    <t>Bene Tibi (By Veeba) - Hazelnut Syrup, 750 ml</t>
  </si>
  <si>
    <t>Red Bull - Energy Drink Can, 250 ml (Pack of 24)</t>
  </si>
  <si>
    <t>Mapro - Butterscotch Flavoured Apple Crush, 1 L</t>
  </si>
  <si>
    <t>Thums Up - 300 ml Can (Pack of 24), MRP - 40/pc</t>
  </si>
  <si>
    <t>Rage - Whole Beans (75:25), 500 gm</t>
  </si>
  <si>
    <t>Golden Crown - Kiwi Fruit Crush, 1 L</t>
  </si>
  <si>
    <t>Mapro - Rose Sharbat, 1 L</t>
  </si>
  <si>
    <t>Rage - Pegasus Blend Coffee, 200 gm</t>
  </si>
  <si>
    <t>Mala's - Pineapple Crush, 1L</t>
  </si>
  <si>
    <t>Sprite - 250 ml Pet (Pack of 30)</t>
  </si>
  <si>
    <t>Blue Tokai - Magpie Blend, 1 Kg</t>
  </si>
  <si>
    <t>Monin - Mojito Mint Syrup, 1 L</t>
  </si>
  <si>
    <t>Mala's - Crush Orange, 1 L</t>
  </si>
  <si>
    <t>Thums Up - 750 ml Pet Bottle (Pack of 24), MRP - 40/pc</t>
  </si>
  <si>
    <t>Bene Tibi (By Veeba) - Ice Tea Syrup, 750 ml</t>
  </si>
  <si>
    <t>Golden Crown - Orange Fruit Crush, 1 L</t>
  </si>
  <si>
    <t>Vedica Zen - Water Bottle, 500 ml (Pack of 20)</t>
  </si>
  <si>
    <t>Pepsi - Lehar Soda, 750 ml (Pack of 24), MRP - 20/pc</t>
  </si>
  <si>
    <t>Tropicana - Mango Juice, 1 L Tetra Pak</t>
  </si>
  <si>
    <t>Tropicana - Cranberry Juice, 1 L Tetra Pak</t>
  </si>
  <si>
    <t>Real - Apple Juice, 180 ml</t>
  </si>
  <si>
    <t>Frappik - Coffee Frappe Powder, 1 Kg</t>
  </si>
  <si>
    <t>Rage - Silk Blend Classic, 500 gm</t>
  </si>
  <si>
    <t>SWA - Jamun Kala Khatta, 500 ml, Ambient</t>
  </si>
  <si>
    <t>Golden Crown - Pineapple Fruit Crush, 1 L</t>
  </si>
  <si>
    <t>Tropicana - Mix Fruit Juice, 1 L Tera Pak</t>
  </si>
  <si>
    <t>Vedica Zen - Water Bottle, 1 L (Pack of 12)</t>
  </si>
  <si>
    <t>Marimbula - Peach Syrup, 1 L</t>
  </si>
  <si>
    <t>SWA - Mango Passion, 500 ml, Ambient</t>
  </si>
  <si>
    <t>Mapro - Kokum Crush, 1 L</t>
  </si>
  <si>
    <t>Bene Tibi (By Veeba) - Vanilla Syrup, 750 ml</t>
  </si>
  <si>
    <t>The Original - Nimbu Masala, 200 ml (Pack of 12)</t>
  </si>
  <si>
    <t>SWA - Summer Berries, 500 ml, Ambient</t>
  </si>
  <si>
    <t>Marimbula - Coconut Syrup, 1 L</t>
  </si>
  <si>
    <t>Bene Tibi (By Veeba) - Irish Creme Syrup, 750 ml</t>
  </si>
  <si>
    <t>Monin - Passion Fruit Syrup, 1 L</t>
  </si>
  <si>
    <t>Mapro - Pineapple Crush, 1 L</t>
  </si>
  <si>
    <t>Rage - Cold Coffee Bottle, 180 ml</t>
  </si>
  <si>
    <t>SWA - Hibiscus Tea, 500 ml, Ambient</t>
  </si>
  <si>
    <t>Marimbula - Green Apple Syrup, 1 L</t>
  </si>
  <si>
    <t>SWA - Peach Tea, 500 ml/Bottle, Ambient</t>
  </si>
  <si>
    <t>SWA - Pineapple Chili, 500 ml, Ambient</t>
  </si>
  <si>
    <t>Marimbula - Caramel Syrup, 1 L</t>
  </si>
  <si>
    <t>The Original - Aam Panna, 200 ml (Pack of 12)</t>
  </si>
  <si>
    <t>Marimbula - Vanilla Cream Syrup, 1 L</t>
  </si>
  <si>
    <t>Monin - Watermelon Pasteque, 1 L</t>
  </si>
  <si>
    <t>Monin - Peach Syrup, 1 L</t>
  </si>
  <si>
    <t>Golden Crown - Litchi Fruit Crush, 1 L</t>
  </si>
  <si>
    <t>Marimbula - Cucumber Syrup, 1 L</t>
  </si>
  <si>
    <t>SWA - Lemon Tea, 500 ml, Ambient</t>
  </si>
  <si>
    <t>Marimbula - Hazelnut Syrup, 1 L</t>
  </si>
  <si>
    <t>Mapro - Litchi Crush, 1 L</t>
  </si>
  <si>
    <t>Monin - Blue Curacao, 1 L</t>
  </si>
  <si>
    <t>Tropicana - Apple, 1 L Tetra Pak</t>
  </si>
  <si>
    <t>Maaza, 600 ml Pet (Pack of 24) MRP - 40/pc</t>
  </si>
  <si>
    <t>The Original - Anaar Masala, 200 ml (Pack of 12)</t>
  </si>
  <si>
    <t>SWA - Passion Fruit Tea, 500 ml, Ambient</t>
  </si>
  <si>
    <t>SWA - Guava Chili, 500 ml, Ambient</t>
  </si>
  <si>
    <t>Tropicana - Pomegranate, 1 L Tetra Pak</t>
  </si>
  <si>
    <t>SWA - Kokam Cumin, 500 ml, Ambient</t>
  </si>
  <si>
    <t>SWA - Orange Mint, 500 ml, Ambient</t>
  </si>
  <si>
    <t>Monin - Strawberry Syrup, 1 L</t>
  </si>
  <si>
    <t>Tropicana - Lychee, 1 L Tera Pak</t>
  </si>
  <si>
    <t>The Original - Jamun Masala, 200 ml (Pack of 12)</t>
  </si>
  <si>
    <t>Panama - Masala Shikanji, 1 Kg Pack (Ambient)</t>
  </si>
  <si>
    <t>Marimbula - Cinnamon Syrup, 1 L</t>
  </si>
  <si>
    <t>SWA - Hazelnut Syrup 500 ml/Bottle, Ambient</t>
  </si>
  <si>
    <t>Marimbula - Saffron Cream, 1 L</t>
  </si>
  <si>
    <t>Monster - Energy Drink, 350 ml, MRP - 125/pc</t>
  </si>
  <si>
    <t>SWA - Mojito Mint, 500 ml, Ambient</t>
  </si>
  <si>
    <t>Marimbula - Watermelon Syrup, 1 L</t>
  </si>
  <si>
    <t>Marimbula - Blue Curacao, 1 L</t>
  </si>
  <si>
    <t>Monin - Raspberry Syrup, 1 L</t>
  </si>
  <si>
    <t>Panama - Masala Chai, 1 Kg Pack (Ambient)</t>
  </si>
  <si>
    <t>SWA - Lychee Lemon, 500 ml/Bottle, Ambient</t>
  </si>
  <si>
    <t>Marimbula - Irish Cream Syrup, 1 L</t>
  </si>
  <si>
    <t>Bene Tibi (By Veeba) - Malt Syrup, 750 ml</t>
  </si>
  <si>
    <t>SWA - Berry Tea, 500 ml/Bottle, Ambient</t>
  </si>
  <si>
    <t>Pepsi - 750 ml Pet (Pack of 24), MRP - 40/pc</t>
  </si>
  <si>
    <t>Monster - Energy Drink, 350 ml (Pack of 24), MRP - 125/pc</t>
  </si>
  <si>
    <t>SWA - Lemon Ginger Naariyal Paani, 500 ml, Ambient</t>
  </si>
  <si>
    <t>Coca Cola - 250 ml Pet Bottle (Pack of 28), MRP - 15/pc</t>
  </si>
  <si>
    <t>Paper Boat - Chilli Guava, 200 ml (Pack of 45)</t>
  </si>
  <si>
    <t>Paper Boat - Aamras, 200 ml (Pack of 45)</t>
  </si>
  <si>
    <t>Chai Craft - CTC Kadak Tea, 1 Kg</t>
  </si>
  <si>
    <t>Minute Maid - Pulpy Orange, 1 L (Pack of 12)</t>
  </si>
  <si>
    <t>Plantaway - Plant Based Almond Drink (Barista Edition), 1 L</t>
  </si>
  <si>
    <t>Plantaway - Plant Based Oat Drink (Barista Edition), 1 L</t>
  </si>
  <si>
    <t>DaVinci Gourmet - Frappease Powder (Powder Frappe Mix), 1.5 Kg</t>
  </si>
  <si>
    <t>Ice Cubes, 10 Kg</t>
  </si>
  <si>
    <t>Mala's - Paan Shot Syrup, 750 ml</t>
  </si>
  <si>
    <t>Mala's - Watermelon Syrup, 750 ml</t>
  </si>
  <si>
    <t>Mala's - Transparent Mojito Mint Syrup, 750 ml</t>
  </si>
  <si>
    <t>Mala's - Green Mint Mocktail Syrup, 750 ml</t>
  </si>
  <si>
    <t>Mala's - Blue Curacao Mocktail Syrup, 750 ml</t>
  </si>
  <si>
    <t xml:space="preserve">Sprite Zero - 300 ml Can (Pack of 24) MRP - 40/pc	</t>
  </si>
  <si>
    <t>Hershey's - Exotic Dark Hot Chocolate Drink Powder Mix, 250 gm</t>
  </si>
  <si>
    <t>No.1 Chai - Premium Assam CTC Tea, 1 Kg</t>
  </si>
  <si>
    <t>Chai Craft - English Breakfast Black Tea Bags (200 Dips)</t>
  </si>
  <si>
    <t>Chai Craft - Darjeeling Black Tea Bags, (100 Dips)</t>
  </si>
  <si>
    <t>Chai Craft - Lemon &amp; Honey Green Tea Bags, (100 Dips)</t>
  </si>
  <si>
    <t>Chai Craft - Assam Black Tea Bags (200 Dips)</t>
  </si>
  <si>
    <t>BIG - Cola Pet Bottle, 1.5 L (Pack of 12) - MRP 60/pc</t>
  </si>
  <si>
    <t>BIG - Lime Pet Bottle, 600 ml (Pack of 20) - MRP 30/pc</t>
  </si>
  <si>
    <t>BIG - Cola Pet Bottle, 600 ml (Pack of 20) - MRP 30/pc</t>
  </si>
  <si>
    <t>BIG - Lime Pet Bottle, 300 ml (Pack of 30) - MRP 20/pc</t>
  </si>
  <si>
    <t>BIG - Cola Pet Bottle, 300 ml (Pack of 30) - MRP 20/pc</t>
  </si>
  <si>
    <t>Nescafe - Sunrise Extra Instant Coffee, 1 Kg</t>
  </si>
  <si>
    <t>Fanta - 330 ml Can (Pack of 24) MRP - INR 70/pc</t>
  </si>
  <si>
    <t>Nescafe - Classic Coffee, 200 gm</t>
  </si>
  <si>
    <t>Lipton - Clear &amp; Light Green Tea Bags, 100 Pcs</t>
  </si>
  <si>
    <t>Mala's - Lime Cordial, 750 ml</t>
  </si>
  <si>
    <t>Horlicks - Classic Malt, 900 gm</t>
  </si>
  <si>
    <t>Thums Up - 750 ml Pet Bottle (Pack of 24), MRP - 45/pc</t>
  </si>
  <si>
    <t>Sprite - 750 ml Pet Bottle (Pack of 24), MRP - 45/pc</t>
  </si>
  <si>
    <t>Coca Cola - 750 ml Pet Bottle (Pack of 24), MRP - 45/pc</t>
  </si>
  <si>
    <t>Horlicks - Classic Malt, 750 gm</t>
  </si>
  <si>
    <t xml:space="preserve">Tulsi - Vatan Tea, 1 Kg  </t>
  </si>
  <si>
    <t>Tulsi - Broken Tea, 1 Kg</t>
  </si>
  <si>
    <t>Coke - Zero 330 ml Can (Pack of 24), MRP - 70/pc</t>
  </si>
  <si>
    <t>Schweppes - Ginger Ale, 300 ml, MRP - 60/pc</t>
  </si>
  <si>
    <t>SWA - Tamarind Shikanji, 500 ml/Bottle, Ambient</t>
  </si>
  <si>
    <t>Manama - Mango Crush, 1 L</t>
  </si>
  <si>
    <t>Manama - Rose Syrup, 1 L</t>
  </si>
  <si>
    <t>Pepsi - 475 ml Pet (Pack of 24) MRP - 60/pc</t>
  </si>
  <si>
    <t>7 Beanstalk - Coffee Beans (Arabica Robusta Blend 70 : 30), 1 Kg</t>
  </si>
  <si>
    <t>Golden Crown - Rose Syrup, 700 ml</t>
  </si>
  <si>
    <t>Manama - Pineapple Crush, 1 L</t>
  </si>
  <si>
    <t>Manama - Strawberry Crush, 1 L</t>
  </si>
  <si>
    <t>Manama - Orange Crush, 1 L</t>
  </si>
  <si>
    <t>Marimbula - Mango Crush, 1 L</t>
  </si>
  <si>
    <t>Marimbula - Cumin Spice Syrup, 1 L</t>
  </si>
  <si>
    <t>Marimbula - Mango Syrup, 1 L</t>
  </si>
  <si>
    <t>Bene Tibi (By Veeba) - Spicy Mango Syrup, 750 ml</t>
  </si>
  <si>
    <t>Bene Tibi (By Veeba) - Spicy Lemonade Syrup, 750 ml</t>
  </si>
  <si>
    <t>Bene Tibi (By Veeba) - Pina Colada Syrup, 750 ml</t>
  </si>
  <si>
    <t>Bene Tibi (By Veeba) - Kala Khatta Syrup, 750 ml</t>
  </si>
  <si>
    <t>Bene Tibi (By Veeba) - Grenadine Syrup, 750 ml</t>
  </si>
  <si>
    <t>Bene Tibi (By Veeba) - Chilli Guava Syrup, 750 ml</t>
  </si>
  <si>
    <t>Bene Tibi (By Veeba) - Bubble Gum Syrup, 750 ml</t>
  </si>
  <si>
    <t>Monin - Sangria Syrup, 700 ml</t>
  </si>
  <si>
    <t>Monin - Orange Syrup, 700 ml</t>
  </si>
  <si>
    <t>Monin - Guava Syrup, 700 ml</t>
  </si>
  <si>
    <t>Monin - Butterscotch Syrup, 700 ml</t>
  </si>
  <si>
    <t>Monin - Blackberry Syrup, 700 ml</t>
  </si>
  <si>
    <t>Monin - Amaretto Syrup, 700 ml</t>
  </si>
  <si>
    <t>Monin - Strawberry Fruit Mix, 1 L</t>
  </si>
  <si>
    <t>Monin - Raspberry Fruit Mix, 1 L</t>
  </si>
  <si>
    <t>Monin - Peach Fruit Mix, 1 L</t>
  </si>
  <si>
    <t>Monin - Passion Fruit Mix, 1 L</t>
  </si>
  <si>
    <t>Monin - Lichi Fruit Mix, 1 L</t>
  </si>
  <si>
    <t>Monin - Kiwi Fruit Mix, 1 L</t>
  </si>
  <si>
    <t>Monin - Blueberry Fruit Mix, 1 L</t>
  </si>
  <si>
    <t>Monin - Triple Sec Curacao, 1 L</t>
  </si>
  <si>
    <t>Monin - Pomegranate Syrup, 1 L</t>
  </si>
  <si>
    <t>Monin - Pink Grapefruit Syrup, 1 L</t>
  </si>
  <si>
    <t>Monin - Lemon Tea Syrup, 1 L</t>
  </si>
  <si>
    <t>Monin - Green Mint Syrup, 1 L</t>
  </si>
  <si>
    <t>Monin - Cucumber Syrup, 1 L</t>
  </si>
  <si>
    <t>Monin - Cinnamon Syrup, 1 L</t>
  </si>
  <si>
    <t>Monin - Caramel Syrup, 1 L</t>
  </si>
  <si>
    <t>Monin - Blood Orange Syrup, 1 L</t>
  </si>
  <si>
    <t>Wagh Bakri - Navchetan Leaf Tea, 5 Kg</t>
  </si>
  <si>
    <t>Wagh Bakri - Premium Leaf Tea, 1 Kg</t>
  </si>
  <si>
    <t>Rage Coffee - Butterscotch (Instant Coffee), 100 gm</t>
  </si>
  <si>
    <t>Rage Coffee - Irish Hazelnut (Instant Coffee), 100 gm</t>
  </si>
  <si>
    <t>Mathieu Teisseire - Kiwi, 1 L</t>
  </si>
  <si>
    <t>Mathieu Teisseire - Green Mint, 1 L</t>
  </si>
  <si>
    <t>Mathieu Teisseire - Cinnamon, 1 L</t>
  </si>
  <si>
    <t>Monin - Hazelnut Syrup, 1 L</t>
  </si>
  <si>
    <t>Monin - Coconut Syrup, 1 L</t>
  </si>
  <si>
    <t>Mala's - Strawberry Crush, 1 L</t>
  </si>
  <si>
    <t>Mala's - Guava Crush, 1 L</t>
  </si>
  <si>
    <t>Mala's - Pineapple Crush, 1 L</t>
  </si>
  <si>
    <t>Mala's - Litchi Crush, 1 L</t>
  </si>
  <si>
    <t>Mala's - Blueberry Crush, 1 L</t>
  </si>
  <si>
    <t>Mala's - Green Apple Crush, 1 L</t>
  </si>
  <si>
    <t>Mala's - Black Currant Crush, 1 L</t>
  </si>
  <si>
    <t>Mala's - Butterscotch Crush, 1 L</t>
  </si>
  <si>
    <t>Mala's - Kiwi Crush, 1 L</t>
  </si>
  <si>
    <t>Aquafina - Mineral Water, 250 ml (Pack of 36)</t>
  </si>
  <si>
    <t>Pepsi - 330 ml Can, (Pack of 24) MRP - 60/pc</t>
  </si>
  <si>
    <t>Swastiks - Badam Beverage, 200 gm</t>
  </si>
  <si>
    <t>Coolberg - Non Alcoholic Beer, 6 Flavors (Malt, Strawberry, Cranberry, Peach, Ginger and Mint), 330 ml (Pack of 6)</t>
  </si>
  <si>
    <t>Marimbula - Lemon Tea Syrup, 1 L</t>
  </si>
  <si>
    <t>Marimbula - Triple Sec Syrup, 1 L</t>
  </si>
  <si>
    <t>Goodmylk - Cashew &amp; Oats Milk, 200 ml Tetra Pak</t>
  </si>
  <si>
    <t>SLAY - X Coffee Beans, 250 gm</t>
  </si>
  <si>
    <t>SLAY - Signature Coffee Beans, 250 gm</t>
  </si>
  <si>
    <t>Monin - Irish Cream Syrup, 1 L</t>
  </si>
  <si>
    <t>Pepsi - 500 ml Pet (Pack of 24) MRP - 60/pc</t>
  </si>
  <si>
    <t>Tata Tea - Kanan Devan Red (Strong), 1 Kg (2X500 gm)</t>
  </si>
  <si>
    <t>Monin - Yellow Banana, 1 L</t>
  </si>
  <si>
    <t>Monin - Vanilla Syrup, 1 L</t>
  </si>
  <si>
    <t>Monin - Strawberry Syrup, 700 ml</t>
  </si>
  <si>
    <t>Monin - Grenadine Syrup, 1 L</t>
  </si>
  <si>
    <t>Monin - Green Mint Syrup, 700 ml</t>
  </si>
  <si>
    <t>Monin - Green Apple Syrup, 700 ml</t>
  </si>
  <si>
    <t>Monin - Coffee Syrup, 700 ml</t>
  </si>
  <si>
    <t>Monin - Chocolate Syrup, 700 ml</t>
  </si>
  <si>
    <t>Monin - Blueberry Syrup, 700 ml</t>
  </si>
  <si>
    <t>Monin - Raspberry Syrup, 700 ml</t>
  </si>
  <si>
    <t>Coke - Zero 330 ml Can (Pack of 24),  MRP - 70/pc</t>
  </si>
  <si>
    <t>Pepsi - Pet Bottle, 250 ml (Pack of 30)</t>
  </si>
  <si>
    <t>Pepsi - Black 330 ml Can, (Pack of 24) MRP - 70/pc</t>
  </si>
  <si>
    <t>Mountain Dew - 250 ml Can (Pack of 24)</t>
  </si>
  <si>
    <t>Cothas Coffee - Nova Therm Pure Coffee, 200 gm</t>
  </si>
  <si>
    <t>Cothas Coffee - Cotha Blend (60:40), 200 gm</t>
  </si>
  <si>
    <t>Cothas Coffee - Premium Special 80:20, 200 gm</t>
  </si>
  <si>
    <t>Simba Family Choice - CTC Tea, 500 gm</t>
  </si>
  <si>
    <t>Kinley - Water, 1 L Bottle (Pack of 15) MRP - 20/pc</t>
  </si>
  <si>
    <t>Coca Cola - 250 ml Pet Bottle (Pack of 28)</t>
  </si>
  <si>
    <t>Sprite - 250 ml Pet Bottle (Pack of 28)</t>
  </si>
  <si>
    <t>Thums Up - 250 ml Pet Bottle (Pack of 28)</t>
  </si>
  <si>
    <t>Monin - Passion Fruit Syrup, 700 ml</t>
  </si>
  <si>
    <t>Monin - Banana Puree, 1 L</t>
  </si>
  <si>
    <t>Monin - Pina Colada, 700 ml</t>
  </si>
  <si>
    <t>Monin - Black Current Syrup, 700 ml</t>
  </si>
  <si>
    <t>Monin - Litchi Syrup, 700 ml</t>
  </si>
  <si>
    <t>Monin - Bubble Gum Syrup, 700 ml</t>
  </si>
  <si>
    <t>Monin - Lavender Syrup, 700 ml</t>
  </si>
  <si>
    <t>Monin - Rose Syrup, 700 ml</t>
  </si>
  <si>
    <t>Monin - Ginger Syrup, 700 ml</t>
  </si>
  <si>
    <t>Mala's - Crush Blueberry, 750 ml</t>
  </si>
  <si>
    <t>Schweppes - Tonic Water, 300 ml</t>
  </si>
  <si>
    <t>Schweppes - Ginger Ale, 300 ml, MRP - 50/pc</t>
  </si>
  <si>
    <t>Mala's - Whole Strawberry Crush, 750 ml</t>
  </si>
  <si>
    <t>Mala's - Strawberry Crush, 5 L</t>
  </si>
  <si>
    <t>Mala's - Rose Syrup, 750 ml</t>
  </si>
  <si>
    <t>Mala's - Pineapple Crush, 5 L</t>
  </si>
  <si>
    <t>Mala's - Orange Crush, 5 L</t>
  </si>
  <si>
    <t>Mala's - Mango Crush, 5 L</t>
  </si>
  <si>
    <t>Mala's - Kiwi Crush, 5 L</t>
  </si>
  <si>
    <t>Mala's - Black Currant Crush, 750 ml</t>
  </si>
  <si>
    <t>Rasna - Instant Mango, 500 gm</t>
  </si>
  <si>
    <t>Limca - 300 ml Can (Pack of 24)</t>
  </si>
  <si>
    <t>Mala's - Litchi Crush, 5 L</t>
  </si>
  <si>
    <t>Mala's - Ginger &amp; Lime Cordial, 750 ml</t>
  </si>
  <si>
    <t>Mala's - Blueberry Crush, 750 ml</t>
  </si>
  <si>
    <t>Mala's - Banana Crush, 750 ml</t>
  </si>
  <si>
    <t>Mala's - Butterscotch Crush, 750 ml</t>
  </si>
  <si>
    <t>Mala's - Guava Crush, 750 ml</t>
  </si>
  <si>
    <t>Mala's - Black Current Crush, 5 L</t>
  </si>
  <si>
    <t>Mala's - Butterscotch Crush, 5 L</t>
  </si>
  <si>
    <t>Mala's - Green Apple Crush, 5 L</t>
  </si>
  <si>
    <t>Mala's - Litchi Crush, 750 ml</t>
  </si>
  <si>
    <t>Mala's - Rose Syrup, 1 L</t>
  </si>
  <si>
    <t>Real - Guava Juice, 180 ml</t>
  </si>
  <si>
    <t>Nescafe - Sunrise Coffee Powder (Slow Roasted), 500 gm</t>
  </si>
  <si>
    <t>Monin - Blood Orange Syrup, 700 ml</t>
  </si>
  <si>
    <t>Monin - Grenadine Syrup, 700 ml</t>
  </si>
  <si>
    <t>Monin - Green Apple Syrup, 1 L</t>
  </si>
  <si>
    <t>Monin - Melon Syrup, 700 ml</t>
  </si>
  <si>
    <t>Monin - Passion Fruit, 700 ml</t>
  </si>
  <si>
    <t>Monin - Peach Syrup, 700 ml</t>
  </si>
  <si>
    <t>Monin - Coconut Syrup, 700 ml</t>
  </si>
  <si>
    <t>Mala's - Strawberry Crush, 750 ml</t>
  </si>
  <si>
    <t>Mala's - Green Apple Crush, 750 ml</t>
  </si>
  <si>
    <t>Mala's - Kiwi Crush, 750 ml</t>
  </si>
  <si>
    <t>Mala's - Orange Crush, 750 ml</t>
  </si>
  <si>
    <t>Mala's - Black Currant, 750ml</t>
  </si>
  <si>
    <t>Mala's - Mango Crush, 750 ml</t>
  </si>
  <si>
    <t>Mala's - Pineapple Crush, 750 ml</t>
  </si>
  <si>
    <t>Manama - Blueberry Crush, 750 ml</t>
  </si>
  <si>
    <t>Monin - Passion Fruit Puree, 1 L</t>
  </si>
  <si>
    <t>Real - Grape Juice, 1 L</t>
  </si>
  <si>
    <t>Real - Guava Juice, 1 L</t>
  </si>
  <si>
    <t xml:space="preserve"> Beverages &amp; Mixers</t>
  </si>
  <si>
    <t xml:space="preserve">Tea &amp; Coffee </t>
  </si>
  <si>
    <t xml:space="preserve">Juices &amp; Bar Mixers </t>
  </si>
  <si>
    <t xml:space="preserve">Syrups &amp; Crushes </t>
  </si>
  <si>
    <t xml:space="preserve">Cold Drinks </t>
  </si>
  <si>
    <t xml:space="preserve">Energy &amp; Flavored Drinks </t>
  </si>
  <si>
    <t xml:space="preserve">Ice Essential </t>
  </si>
  <si>
    <t>₹398.05/Piece for 2 pcs+</t>
  </si>
  <si>
    <t>₹396.02/Piece for 4 pcs+</t>
  </si>
  <si>
    <t>₹182.29/kg for 3 kgs+</t>
  </si>
  <si>
    <t>₹181.33/kg for 5 kgs+</t>
  </si>
  <si>
    <t>₹485/Piece for 2 pcs+</t>
  </si>
  <si>
    <t>₹480/Piece for 4 pcs+</t>
  </si>
  <si>
    <t>₹176.76/kg for 3 kgs+</t>
  </si>
  <si>
    <t>₹175.05/kg for 5 kgs+</t>
  </si>
  <si>
    <t>₹94.38/pc for 4 pcs+</t>
  </si>
  <si>
    <t>₹267.88/bottle for 2 bottles+</t>
  </si>
  <si>
    <t>₹265.93/bottle for 4 bottles+</t>
  </si>
  <si>
    <t>₹28.29/pc for 48 pcs+</t>
  </si>
  <si>
    <t>₹28.25/pc for 96 pcs+</t>
  </si>
  <si>
    <t>₹1,178.56/pc for 3 pcs+</t>
  </si>
  <si>
    <t>₹1,172.63/pc for 9 pcs+</t>
  </si>
  <si>
    <t>₹93.12/pc for 5 pcs+</t>
  </si>
  <si>
    <t>₹16.19/pc for 48 pcs+</t>
  </si>
  <si>
    <t>₹16.1/pc for 96 pcs+</t>
  </si>
  <si>
    <t>₹265.14/pc for 3 pcs+</t>
  </si>
  <si>
    <t>₹263.14/pc for 5 pcs+</t>
  </si>
  <si>
    <t>₹176.61/bottle for 3 bottles+</t>
  </si>
  <si>
    <t>₹174.82/bottle for 5 bottles+</t>
  </si>
  <si>
    <t>₹22.91/pc for 48 pcs+</t>
  </si>
  <si>
    <t>₹22.44/pc for 96 pcs+</t>
  </si>
  <si>
    <t>₹173.75/bottle for 3 bottles+</t>
  </si>
  <si>
    <t>₹172.05/bottle for 6 bottles+</t>
  </si>
  <si>
    <t>₹97.14/pc for 3 pcs+</t>
  </si>
  <si>
    <t>₹93.21/pc for 6 pcs+</t>
  </si>
  <si>
    <t>₹347.37/kg for 3 kgs+</t>
  </si>
  <si>
    <t>₹343.39/kg for 6 kgs+</t>
  </si>
  <si>
    <t>₹25.27/pc for 72 pcs+</t>
  </si>
  <si>
    <t>₹24.5/pc for 144 pcs+</t>
  </si>
  <si>
    <t>₹13.3/pc for 90 pcs+</t>
  </si>
  <si>
    <t>₹12.9/pc for 180 pcs+</t>
  </si>
  <si>
    <t>₹210.54/bottle for 3 bottles+</t>
  </si>
  <si>
    <t>₹208.39/bottle for 6 bottles+</t>
  </si>
  <si>
    <t>₹398.3/bottle for 3 bottles+</t>
  </si>
  <si>
    <t>₹394.29/bottle for 6 bottles+</t>
  </si>
  <si>
    <t>₹273.81/bottle for 3 bottles+</t>
  </si>
  <si>
    <t>₹268.81/bottle for 6 bottles+</t>
  </si>
  <si>
    <t>₹23.96/pc for 48 pcs+</t>
  </si>
  <si>
    <t>₹23.47/pc for 96 pcs+</t>
  </si>
  <si>
    <t>₹213.93/bottle for 3 bottles+</t>
  </si>
  <si>
    <t>₹211.79/bottle for 6 bottles+</t>
  </si>
  <si>
    <t>₹132.77/pc for 3 pcs+</t>
  </si>
  <si>
    <t>₹130.09/pc for 6 pcs+</t>
  </si>
  <si>
    <t>₹274.92/bottle for 3 bottles+</t>
  </si>
  <si>
    <t>₹269.92/bottle for 6 bottles+</t>
  </si>
  <si>
    <t>₹23.26/pc for 72 pcs+</t>
  </si>
  <si>
    <t>₹22.55/pc for 144 pcs+</t>
  </si>
  <si>
    <t>₹463.05/bottle for 3 bottles+</t>
  </si>
  <si>
    <t>₹462.03/bottle for 6 bottles+</t>
  </si>
  <si>
    <t>₹273.05/bottle for 3 bottles+</t>
  </si>
  <si>
    <t>₹268.05/bottle for 6 bottles+</t>
  </si>
  <si>
    <t>₹70.54/can for 72 cans+</t>
  </si>
  <si>
    <t>₹70.46/can for 144 cans+</t>
  </si>
  <si>
    <t>₹208.75/bottle for 2 bottles+</t>
  </si>
  <si>
    <t>₹206.61/bottle for 4 bottles+</t>
  </si>
  <si>
    <t>₹23.22/pc for 48 pcs+</t>
  </si>
  <si>
    <t>₹22.74/pc for 96 pcs+</t>
  </si>
  <si>
    <t>₹274/pc for 2 pcs+</t>
  </si>
  <si>
    <t>₹269.05/pc for 4 pcs+</t>
  </si>
  <si>
    <t>₹159.02/pc for 3 pcs+</t>
  </si>
  <si>
    <t>₹155.71/pc for 6 pcs+</t>
  </si>
  <si>
    <t>₹203.22/bottle for 3 bottles+</t>
  </si>
  <si>
    <t>₹202.2/bottle for 6 bottles+</t>
  </si>
  <si>
    <t>₹180.45/bottle for 3 bottles+</t>
  </si>
  <si>
    <t>₹178.57/bottle for 6 bottles+</t>
  </si>
  <si>
    <t>₹13.53/pc for 60 pcs+</t>
  </si>
  <si>
    <t>₹13.26/pc for 120 pcs+</t>
  </si>
  <si>
    <t>₹789.05/pc for 3 pcs+</t>
  </si>
  <si>
    <t>₹779.05/pc for 6 pcs+</t>
  </si>
  <si>
    <t>₹670/bottle for 2 bottles+</t>
  </si>
  <si>
    <t>₹665/bottle for 4 bottles+</t>
  </si>
  <si>
    <t>₹166.7/bottle for 3 bottles+</t>
  </si>
  <si>
    <t>₹165.8/bottle for 6 bottles+</t>
  </si>
  <si>
    <t>₹24.71/pc for 72 pcs+</t>
  </si>
  <si>
    <t>₹24.2/pc for 144 pcs+</t>
  </si>
  <si>
    <t>₹15.86/pc for 72 pcs+</t>
  </si>
  <si>
    <t>₹15.67/pc for 144 pcs+</t>
  </si>
  <si>
    <t>₹102.5/pc for 4 pcs+</t>
  </si>
  <si>
    <t>₹13.84/pc for 2 pcs+</t>
  </si>
  <si>
    <t>₹13.66/pc for 4 pcs+</t>
  </si>
  <si>
    <t>₹422.03/pc for 2 pcs+</t>
  </si>
  <si>
    <t>₹420/pc for 4 pcs+</t>
  </si>
  <si>
    <t>₹355/bottle for 3 bottles+</t>
  </si>
  <si>
    <t>₹354.02/bottle for 5 bottles+</t>
  </si>
  <si>
    <t>₹88.21/pc for 3 pcs+</t>
  </si>
  <si>
    <t>₹87.32/pc for 6 pcs+</t>
  </si>
  <si>
    <t>₹31.27/pc for 24 pcs+</t>
  </si>
  <si>
    <t>₹29.77/pc for 48 pcs+</t>
  </si>
  <si>
    <t>₹519.07/bottle for 2 bottles+</t>
  </si>
  <si>
    <t>₹518.05/bottle for 4 bottles+</t>
  </si>
  <si>
    <t>₹217.41/bottle for 3 bottles+</t>
  </si>
  <si>
    <t>₹215.27/bottle for 6 bottles+</t>
  </si>
  <si>
    <t>₹30.22/pc for 36 pcs+</t>
  </si>
  <si>
    <t>₹29.76/pc for 72 pcs+</t>
  </si>
  <si>
    <t>₹485/pc for 3 pcs+</t>
  </si>
  <si>
    <t>₹484.07/pc for 6 pcs+</t>
  </si>
  <si>
    <t>₹640.59/bottle for 3 bottles+</t>
  </si>
  <si>
    <t>₹634.15/bottle for 6 bottles+</t>
  </si>
  <si>
    <t>₹214.29/bottle for 3 bottles+</t>
  </si>
  <si>
    <t>₹212.14/bottle for 6 bottles+</t>
  </si>
  <si>
    <t>₹364.02/bottle for 3 bottles+</t>
  </si>
  <si>
    <t>₹362.05/bottle for 5 bottles+</t>
  </si>
  <si>
    <t>₹463.22/bottle for 4 bottles+</t>
  </si>
  <si>
    <t>₹458.56/bottle for 8 bottles+</t>
  </si>
  <si>
    <t>₹444.07/bottle for 4 bottles+</t>
  </si>
  <si>
    <t>₹443.05/bottle for 8 bottles+</t>
  </si>
  <si>
    <t>₹641.95/bottle for 3 bottles+</t>
  </si>
  <si>
    <t>₹635.42/bottle for 6 bottles+</t>
  </si>
  <si>
    <t>₹117.05/pc for 4 pcs+</t>
  </si>
  <si>
    <t>₹116.07/pc for 8 pcs+</t>
  </si>
  <si>
    <t>₹473.39/bottle for 4 bottles+</t>
  </si>
  <si>
    <t>₹468.64/bottle for 8 bottles+</t>
  </si>
  <si>
    <t>₹30.76/pc for 72 pcs+</t>
  </si>
  <si>
    <t>₹29.82/pc for 144 pcs+</t>
  </si>
  <si>
    <t>₹92.05/pc for 3 pcs+</t>
  </si>
  <si>
    <t>₹90/pc for 6 pcs+</t>
  </si>
  <si>
    <t>₹354.02/bottle for 3 bottles+</t>
  </si>
  <si>
    <t>₹352.05/bottle for 6 bottles+</t>
  </si>
  <si>
    <t>₹480/bottle for 3 bottles+</t>
  </si>
  <si>
    <t>₹479.07/bottle for 6 bottles+</t>
  </si>
  <si>
    <t>₹64.16/pc for 96 pcs+</t>
  </si>
  <si>
    <t>₹63.51/pc for 168 pcs+</t>
  </si>
  <si>
    <t>₹518.05/bottle for 2 bottles+</t>
  </si>
  <si>
    <t>₹516.02/bottle for 4 bottles+</t>
  </si>
  <si>
    <t>₹469.07/bottle for 2 bottles+</t>
  </si>
  <si>
    <t>₹467.03/bottle for 4 bottles+</t>
  </si>
  <si>
    <t>₹682.03/pc for 2 pcs+</t>
  </si>
  <si>
    <t>₹677.03/pc for 4 pcs+</t>
  </si>
  <si>
    <t>₹348.04/bottle for 2 bottles+</t>
  </si>
  <si>
    <t>₹341.07/bottle for 4 bottles+</t>
  </si>
  <si>
    <t>₹275/bottle for 3 bottles+</t>
  </si>
  <si>
    <t>₹270/bottle for 6 bottles+</t>
  </si>
  <si>
    <t>₹25.58/bottle for 48 bottles+</t>
  </si>
  <si>
    <t>₹24.83/bottle for 96 bottles+</t>
  </si>
  <si>
    <t>₹9.97/pc for 84 pcs+</t>
  </si>
  <si>
    <t>₹9.77/pc for 168 pcs+</t>
  </si>
  <si>
    <t>₹12.29/pack for 60 packs+</t>
  </si>
  <si>
    <t>₹11.95/pack for 120 packs+</t>
  </si>
  <si>
    <t>₹27.96/pc for 48 pcs+</t>
  </si>
  <si>
    <t>₹27.63/pc for 96 pcs+</t>
  </si>
  <si>
    <t>₹121.61/pc for 2 pcs+</t>
  </si>
  <si>
    <t>₹119.64/pc for 4 pcs+</t>
  </si>
  <si>
    <t>₹25.87/pc for 72 pcs+</t>
  </si>
  <si>
    <t>₹25.08/pc for 144 pcs+</t>
  </si>
  <si>
    <t>₹25.54/pc for 72 pcs+</t>
  </si>
  <si>
    <t>₹24.76/pc for 144 pcs+</t>
  </si>
  <si>
    <t>₹172.48/pc for 3 pcs+</t>
  </si>
  <si>
    <t>₹163.43/pc for 5 pcs+</t>
  </si>
  <si>
    <t>₹322.48/pc for 3 pcs+</t>
  </si>
  <si>
    <t>₹309.05/pc for 6 pcs+</t>
  </si>
  <si>
    <t>₹29.16/pc for 72 pcs+</t>
  </si>
  <si>
    <t>₹28.27/pc for 144 pcs+</t>
  </si>
  <si>
    <t>₹33.36/pc for 3 pcs+</t>
  </si>
  <si>
    <t>₹32.36/pc for 6 pcs+</t>
  </si>
  <si>
    <t>₹176.79/bottle for 3 bottles+</t>
  </si>
  <si>
    <t>₹174.11/bottle for 6 bottles+</t>
  </si>
  <si>
    <t>₹176.78/pc for 3 pcs+</t>
  </si>
  <si>
    <t>₹174.15/pc for 6 pcs+</t>
  </si>
  <si>
    <t>₹649.71/pack for 3 packs+</t>
  </si>
  <si>
    <t>₹643.14/pack for 6 packs+</t>
  </si>
  <si>
    <t>₹787.62/pc for 3 pcs+</t>
  </si>
  <si>
    <t>₹779.71/pc for 6 pcs+</t>
  </si>
  <si>
    <t>₹84.75/pc for 3 pcs+</t>
  </si>
  <si>
    <t>₹82.97/pc for 6 pcs+</t>
  </si>
  <si>
    <t>₹167.32/bottle for 2 bottles+</t>
  </si>
  <si>
    <t>₹165.36/bottle for 4 bottles+</t>
  </si>
  <si>
    <t>₹181.25/bottle for 3 bottles+</t>
  </si>
  <si>
    <t>₹179.46/bottle for 6 bottles+</t>
  </si>
  <si>
    <t>₹166.52/bottle for 3 bottles+</t>
  </si>
  <si>
    <t>₹164.82/bottle for 6 bottles+</t>
  </si>
  <si>
    <t>₹274.91/bottle for 3 bottles+</t>
  </si>
  <si>
    <t>₹269.91/bottle for 6 bottles+</t>
  </si>
  <si>
    <t>₹270/pc for 3 pcs+</t>
  </si>
  <si>
    <t>₹265/pc for 6 pcs+</t>
  </si>
  <si>
    <t>₹254.92/pc for 3 pcs+</t>
  </si>
  <si>
    <t>₹249.92/pc for 6 pcs+</t>
  </si>
  <si>
    <t>₹574.58/bottle for 4 bottles+</t>
  </si>
  <si>
    <t>₹574.07/bottle for 8 bottles+</t>
  </si>
  <si>
    <t>₹530/bottle for 3 bottles+</t>
  </si>
  <si>
    <t>₹525/bottle for 6 bottles+</t>
  </si>
  <si>
    <t>₹585.85/bottle for 3 bottles+</t>
  </si>
  <si>
    <t>₹580/bottle for 6 bottles+</t>
  </si>
  <si>
    <t>₹360.42/pc for 3 pcs+</t>
  </si>
  <si>
    <t>₹358.56/pc for 6 pcs+</t>
  </si>
  <si>
    <t>₹509.83/bottle for 3 bottles+</t>
  </si>
  <si>
    <t>₹637.12/bottle for 3 bottles+</t>
  </si>
  <si>
    <t>₹630.68/bottle for 6 bottles+</t>
  </si>
  <si>
    <t>₹162.05/bottle for 3 bottles+</t>
  </si>
  <si>
    <t>₹161.07/bottle for 5 bottles+</t>
  </si>
  <si>
    <t>₹161.07/bottle for 3 bottles+</t>
  </si>
  <si>
    <t>₹160/bottle for 6 bottles+</t>
  </si>
  <si>
    <t>₹143.48/bottle for 3 bottles+</t>
  </si>
  <si>
    <t>₹141.52/bottle for 6 bottles+</t>
  </si>
  <si>
    <t>₹359.55/bottle for 3 bottles+</t>
  </si>
  <si>
    <t>₹358.57/bottle for 6 bottles+</t>
  </si>
  <si>
    <t>₹158.04/bottle for 3 bottles+</t>
  </si>
  <si>
    <t>₹157.05/bottle for 6 bottles+</t>
  </si>
  <si>
    <t>₹160/bottle for 3 bottles+</t>
  </si>
  <si>
    <t>₹159.02/bottle for 6 bottles+</t>
  </si>
  <si>
    <t>₹159.02/bottle for 3 bottles+</t>
  </si>
  <si>
    <t>₹158.04/bottle for 6 bottles+</t>
  </si>
  <si>
    <t>₹220/bottle for 3 bottles+</t>
  </si>
  <si>
    <t>₹219.02/bottle for 6 bottles+</t>
  </si>
  <si>
    <t>₹4.66/pc for 108 pcs+</t>
  </si>
  <si>
    <t>₹4.57/pc for 180 pcs+</t>
  </si>
  <si>
    <t>₹26.73/pc for 72 pcs+</t>
  </si>
  <si>
    <t>₹40.32/bottle for 18 bottles+</t>
  </si>
  <si>
    <t>₹39.96/bottle for 30 bottles+</t>
  </si>
  <si>
    <t>₹484.83/bottle for 3 bottles+</t>
  </si>
  <si>
    <t>₹482.46/bottle for 6 bottles+</t>
  </si>
  <si>
    <t>₹21.23/pc for 72 pcs+</t>
  </si>
  <si>
    <t>₹20.8/pc for 120 pcs+</t>
  </si>
  <si>
    <t>₹103.5/pc for 2 pcs+</t>
  </si>
  <si>
    <t>₹101.54/pc for 4 pcs+</t>
  </si>
  <si>
    <t>₹326.57/pc for 3 pcs+</t>
  </si>
  <si>
    <t>₹325.52/pc for 5 pcs+</t>
  </si>
  <si>
    <t>₹13.27/ltr for 45 ltrs+</t>
  </si>
  <si>
    <t>₹12.8/ltr for 90 ltrs+</t>
  </si>
  <si>
    <t>₹13.21/pc for 56 pcs+</t>
  </si>
  <si>
    <t>₹13.14/pc for 112 pcs+</t>
  </si>
  <si>
    <t>₹13.5/pc for 56 pcs+</t>
  </si>
  <si>
    <t>₹13.43/pc for 112 pcs+</t>
  </si>
  <si>
    <t>₹13.43/pc for 56 pcs+</t>
  </si>
  <si>
    <t>₹13.29/pc for 112 pcs+</t>
  </si>
  <si>
    <t>₹601.02/bottle for 3 bottles+</t>
  </si>
  <si>
    <t>₹595/bottle for 6 bottles+</t>
  </si>
  <si>
    <t>₹584.41/bottle for 3 bottles+</t>
  </si>
  <si>
    <t>₹578.56/bottle for 6 bottles+</t>
  </si>
  <si>
    <t>₹610/bottle for 6 bottles+</t>
  </si>
  <si>
    <t>₹612.03/bottle for 3 bottles+</t>
  </si>
  <si>
    <t>₹605.85/bottle for 6 bottles+</t>
  </si>
  <si>
    <t>₹260/bottle for 3 bottles+</t>
  </si>
  <si>
    <t>₹258.04/bottle for 6 bottles+</t>
  </si>
  <si>
    <t>₹33/pc for 6 pcs+</t>
  </si>
  <si>
    <t>₹125.54/bottle for 2 bottles+</t>
  </si>
  <si>
    <t>₹124.82/bottle for 4 bottles+</t>
  </si>
  <si>
    <t>₹157.37/bottle for 3 bottles+</t>
  </si>
  <si>
    <t>₹156.36/bottle for 6 bottles+</t>
  </si>
  <si>
    <t>₹13.75/pc for 3 pcs+</t>
  </si>
  <si>
    <t>₹13.57/pc for 6 pcs+</t>
  </si>
  <si>
    <t>₹641.61/bottle for 3 bottles+</t>
  </si>
  <si>
    <t>₹635.17/bottle for 6 bottles+</t>
  </si>
  <si>
    <t>₹125.54/bottle for 3 bottles+</t>
  </si>
  <si>
    <t>₹124.82/bottle for 5 bottles+</t>
  </si>
  <si>
    <t>₹131.07/bottle for 3 bottles+</t>
  </si>
  <si>
    <t>₹130.54/bottle for 6 bottles+</t>
  </si>
  <si>
    <t>₹143.57/bottle for 3 bottles+</t>
  </si>
  <si>
    <t>₹142.14/bottle for 6 bottles+</t>
  </si>
  <si>
    <t>₹124.82/bottle for 6 bottles+</t>
  </si>
  <si>
    <t>₹125.89/bottle for 3 bottles+</t>
  </si>
  <si>
    <t>₹125.54/bottle for 6 bottles+</t>
  </si>
  <si>
    <t>₹237.14/pc for 3 pcs+</t>
  </si>
  <si>
    <t>₹236.61/pc for 6 pcs+</t>
  </si>
  <si>
    <t>77a6bfebf6a8115e806c31309aa9ccb5.png</t>
  </si>
  <si>
    <t>7906ff49995ecd7962a994e6efe8a344.png</t>
  </si>
  <si>
    <t>589a6c77f163e81ca448c32a57e0843c.png</t>
  </si>
  <si>
    <t>0d590374665b9ab1fc1034babddb1f13.jpeg</t>
  </si>
  <si>
    <t>605b1a0024fccfcb5b1f45fd9302b996.png</t>
  </si>
  <si>
    <t>6d9a62436f807862ec8b12f4bfaba1be.jpg</t>
  </si>
  <si>
    <t>a22e66bb60f90949129bf3f502038913.png</t>
  </si>
  <si>
    <t>74bc227305598943b4a1cbc3d2ffdc38.png</t>
  </si>
  <si>
    <t>ddb83c093b922eb115643154272d3458.png</t>
  </si>
  <si>
    <t>realPineapple.png</t>
  </si>
  <si>
    <t>7c79f44ebfe73be1c7b834ed920dbf28.webp</t>
  </si>
  <si>
    <t>e39fcfe9cdadb5c90ae1d4f7ab237c11.png</t>
  </si>
  <si>
    <t>a4bfcfec24a5674441ef8a994705bbca.png</t>
  </si>
  <si>
    <t>98a4c6e6b2f6c692850cfd58853c880e.png</t>
  </si>
  <si>
    <t>73b6ea3bacbf83c22d937434f499f9f6.png</t>
  </si>
  <si>
    <t>b3a4d394a032509a003edb8e4570fd84.png</t>
  </si>
  <si>
    <t>b0d0a6402be3485af7f7113c1e8ec042.png</t>
  </si>
  <si>
    <t>d53961065493948f48763257607261b7.png</t>
  </si>
  <si>
    <t>realMixedFruit.png</t>
  </si>
  <si>
    <t>b3d0a806a03326551ba4a58dda48becd.jpg</t>
  </si>
  <si>
    <t>699d5a2162728c1162c7b2f1343100f3.jpg</t>
  </si>
  <si>
    <t>f639a3b77a20066b81a5b81c309be6bf.png</t>
  </si>
  <si>
    <t>00ed56ad4f28f4f6631bd4f463bde5ae.jpg</t>
  </si>
  <si>
    <t>3f491ee3f300df9003663df11fa25ded.jpg</t>
  </si>
  <si>
    <t>254a7a43e2057509d736cb3ed306868d.jpg</t>
  </si>
  <si>
    <t>32de2355b1972e9e2176ab3c4d5d613f.png</t>
  </si>
  <si>
    <t>c09bf8059ba68fb18e5461d5256625fe.webp</t>
  </si>
  <si>
    <t>adb01f587c6d5639a7fe9c00b175a23d.jpg</t>
  </si>
  <si>
    <t>7093db5b9286ea037ab0d1ce2cf72330.png</t>
  </si>
  <si>
    <t>961fa37773f4543cd1045bd4280876fe.jpg</t>
  </si>
  <si>
    <t>397313db1e071966c16f9f3b277cd2c2.png</t>
  </si>
  <si>
    <t>bfef7d437870529404e21707b471d753.png</t>
  </si>
  <si>
    <t>6be28f9aa1827875b07bf6dbe85e9e00.jpg</t>
  </si>
  <si>
    <t>fde686d1cd2f962c1225c5a2766a271c.jpg</t>
  </si>
  <si>
    <t>9891546503cadc70d2c2a8c3cccf2d61.png</t>
  </si>
  <si>
    <t>a73bfddaa5476fce23b5799a28325930.png</t>
  </si>
  <si>
    <t>d7269537dddbe62d6cdb3dfb2d872762.jpg</t>
  </si>
  <si>
    <t>b3f81768df218edcb63dfd468a468fca.jpg</t>
  </si>
  <si>
    <t>8b864604a98318edc688fbbbaf5516b1.png</t>
  </si>
  <si>
    <t>6d78ece0a241d4f9b01650c051b04adf.jpeg</t>
  </si>
  <si>
    <t>4875369379be09449c12d23bee06a759.jpg</t>
  </si>
  <si>
    <t>fbd1a2945a02af1e9db4d7dcb219f55a.jpg</t>
  </si>
  <si>
    <t>377ebdc5f3e39ca52183b0c489fabe8b.png</t>
  </si>
  <si>
    <t>6c31c22757313f745b8352d86bf5956f.jpg</t>
  </si>
  <si>
    <t>c7ec318f17e9785da8811153bbceeb53.jpeg</t>
  </si>
  <si>
    <t>ca32e4b8598f1afb9564501cc983d696.jpg</t>
  </si>
  <si>
    <t>671d274b260ea9f0e46829dd1fa3c124.png</t>
  </si>
  <si>
    <t>61dffd3e781a67f31e3e9a50731403fe.webp</t>
  </si>
  <si>
    <t>50d2c47e0ca60c360bda3f1edc720854.jpg</t>
  </si>
  <si>
    <t>f3fa45a164ee0394048cc03c5f59d0f0.jpg</t>
  </si>
  <si>
    <t>f0b49a7577f04b9d5f70c0744e4b964f.png</t>
  </si>
  <si>
    <t>0642e9c751375f9d6694e1e0daf8aa8a.jpg</t>
  </si>
  <si>
    <t>d680a70a54bfc70050c7523570848201.png</t>
  </si>
  <si>
    <t>615cd693b425128bd07c33021b27af80.jpg</t>
  </si>
  <si>
    <t>589ab8c49b64c0636fcef25109f51595.jpg</t>
  </si>
  <si>
    <t>418bb38af6b6fd6b485b7dd215cc4757.png</t>
  </si>
  <si>
    <t>9b3c4839524eb183b31aad030099fc0a.png</t>
  </si>
  <si>
    <t>c341b3330821d5ee7e998cedf7650259.webp</t>
  </si>
  <si>
    <t>ff3864b9a79f64c2f1c1f025f38a8ceb.png</t>
  </si>
  <si>
    <t>a47a7d4267d5eee164221f839cca7f51.png</t>
  </si>
  <si>
    <t>4209546d2212236d7cab2b37a62e49ed.png</t>
  </si>
  <si>
    <t>aef6f7fab2bde194b4b5c3090169e993.png</t>
  </si>
  <si>
    <t>b1f2d8da9132b40ef928067a9ce26946.png</t>
  </si>
  <si>
    <t>b96bbd653450eec14b03360498914d4b.png</t>
  </si>
  <si>
    <t>33a934de433ea40c46fe03eb2e080e52.jpg</t>
  </si>
  <si>
    <t>211c918b7cf3872c73a0db1b335b2266.jpg</t>
  </si>
  <si>
    <t>da299161676d540f2902ce954896f2f0.png</t>
  </si>
  <si>
    <t>8713afe99ac665a098fc60eaeac81a9b.png</t>
  </si>
  <si>
    <t>8b1f23b5aeb3ff2440b57e2b67cf11ef.png</t>
  </si>
  <si>
    <t>bcfdfa5f13a4c49f145e51625dbaf53e.jpeg</t>
  </si>
  <si>
    <t>6956bd4e-aad1-4b82-98c9-eb1a223d5745_RealPomogranateJuice200ml.jpg</t>
  </si>
  <si>
    <t>3252e2aa43bf27f12feee1338d9e3e6b.png</t>
  </si>
  <si>
    <t>1220f5cc7ff3b81d187e81840ea72274.jpg</t>
  </si>
  <si>
    <t>a8c4b9d054fbafd63f88c4041b6fb918.jpg</t>
  </si>
  <si>
    <t>148b5e90298a73fd61b12baaa9403058.png</t>
  </si>
  <si>
    <t>bb6c84338d3c6e177b344cbae7013969.jpg</t>
  </si>
  <si>
    <t>db5e731c732ec5fa1a4e42baf0a20bac.png</t>
  </si>
  <si>
    <t>4c1c2518f049673290a4f0fd30020196.png</t>
  </si>
  <si>
    <t>acd0563984d0a1d22cf21a69b809363d.png</t>
  </si>
  <si>
    <t>1b2116259576da17868297feea913adf.png</t>
  </si>
  <si>
    <t>ba8dbe0a390fa34c6022bae321397341.png</t>
  </si>
  <si>
    <t>62d1f4a802ca5653acc306b54cccc987.png</t>
  </si>
  <si>
    <t>f154502b3a2c90298f3b8754457dfc96.jpg</t>
  </si>
  <si>
    <t>264b20a0e499ad3a4af9ae278f0a366a.png</t>
  </si>
  <si>
    <t>af3adb8c97a2a89c318dd1dedae7c2b6.png</t>
  </si>
  <si>
    <t>6e9593d14427061bea03b369e429cfaa.png</t>
  </si>
  <si>
    <t>5340fdd6e6bd7a79fb8043c38ab09d32.jpg</t>
  </si>
  <si>
    <t>c2df6a4a39a50daa07a8317be9860fb9.jpg</t>
  </si>
  <si>
    <t>b7c56747c038753edad7b29c299a0860.png</t>
  </si>
  <si>
    <t>5cd614aa4c4af66b3ccd5aec75afdaea.jpg</t>
  </si>
  <si>
    <t>39bb334b5dcb81b473af1befc76fc1ad.jpg</t>
  </si>
  <si>
    <t>ce123c05b4deacec6dddeaf25940b66a.png</t>
  </si>
  <si>
    <t>83b9f0f7de79fff1c287251369cef52f.png</t>
  </si>
  <si>
    <t>d29ab29d269b72b2fe102b2f34f9fa18.png</t>
  </si>
  <si>
    <t>ff8d77cd4c57095cf899ff1064b4cf04.png</t>
  </si>
  <si>
    <t>bcc705415288177ec2154bcf26682dca.png</t>
  </si>
  <si>
    <t>776f71b0647610bdbe8aedbdd5e16436.png</t>
  </si>
  <si>
    <t>440b284e34fb5f6855333e67f319cc4d.png</t>
  </si>
  <si>
    <t>7190092465f91666197a9f9436743e3e.png</t>
  </si>
  <si>
    <t>4ec6ee33ab842415a5359dd41ca771a3.png</t>
  </si>
  <si>
    <t>bbdb4034eb0ce525efd9e7708c7fe069.png</t>
  </si>
  <si>
    <t>e52a411e7e4e74205d7b0f46b28a374a.jpg</t>
  </si>
  <si>
    <t>1cdad33381c8881d1f9c2ab821e3872d.png</t>
  </si>
  <si>
    <t>b1e1e87e3bbe955145e59bee4b2647c8.png</t>
  </si>
  <si>
    <t>a92c86eeca71a3eae6b38cd2fe289541.jpg</t>
  </si>
  <si>
    <t>9cf01f42e245f305121ce84c9e8130e1.jpg</t>
  </si>
  <si>
    <t>c46f94da4f8d1c40f43748d22123eb40.png</t>
  </si>
  <si>
    <t>15f3b2259021ca809c80ada58228852a.webp</t>
  </si>
  <si>
    <t>9f917a6aa0121bc0aee63177c54aab70.png</t>
  </si>
  <si>
    <t>b6aa1b7cc01d0da0e9d1461a81a1fd50.png</t>
  </si>
  <si>
    <t>fc3bfa7486c38acda752eb0b05408094.png</t>
  </si>
  <si>
    <t>bdce992b79eb16f9b0e439865d6b82a0.png</t>
  </si>
  <si>
    <t>c96d80ec45b8f23514ed799f35ce6474.png</t>
  </si>
  <si>
    <t>3661adb7ca3518bb1cb6634d32cdcd81.png</t>
  </si>
  <si>
    <t>d4e13e3cb4fe3837829dcaf25e862962.webp</t>
  </si>
  <si>
    <t>1812471d27aa017b56f604b80ceed1dc.png</t>
  </si>
  <si>
    <t>9fb10175cea0b815107bb7a1f2386041.png</t>
  </si>
  <si>
    <t>14aa3c4dc38b75e59c1245df6c59d159.png</t>
  </si>
  <si>
    <t>6e881973b6d1001d0bf6112d68aeb486.png</t>
  </si>
  <si>
    <t>778d9eeaad611411333d57585024d882.png</t>
  </si>
  <si>
    <t>629cffad8b294d5a307a3204f31c69a4.png</t>
  </si>
  <si>
    <t>7f881fb761a804134c8068a21c14f00e.png</t>
  </si>
  <si>
    <t>2b3cc1543aad0503bed9968e007af11b.png</t>
  </si>
  <si>
    <t>1cba3aab19704493ed1881c1b6ba5956.png</t>
  </si>
  <si>
    <t>fbe71d88-9d14-4b8d-b13e-f725a7d2d637_MarimbulaBlueCuracao1000ml.jpg</t>
  </si>
  <si>
    <t>859aa5559f498625c0999bc49f78599e.png</t>
  </si>
  <si>
    <t>d8d4bb39e9c6d107f5ad6f4c58812c20.png</t>
  </si>
  <si>
    <t>3f51081fec61ad239ac5f993f89b5fee.png</t>
  </si>
  <si>
    <t>8b14ce9d246be93f13eeaa41d2f0e11a.png</t>
  </si>
  <si>
    <t>f148934f0b1159787baa9919f18f16c8.png</t>
  </si>
  <si>
    <t>b7d557bc1da5839cb1a6a161d975df6b.png</t>
  </si>
  <si>
    <t>ac20532610426f00d7a98d5c241f8345.png</t>
  </si>
  <si>
    <t>6e74bd30993c7a7ace5588329ec4cc4c.png</t>
  </si>
  <si>
    <t>b2b543cd7f95d6fca2e564b997671fc3.png</t>
  </si>
  <si>
    <t>d17f50ccc4bbc6a953d50a3587e8609e.png</t>
  </si>
  <si>
    <t>07b5cec0d5f17238d8224257786e7158.jpg</t>
  </si>
  <si>
    <t>b2aa85be28e5969bdaa6c24e0fb1ebe6.jpeg</t>
  </si>
  <si>
    <t>d30fe516cd339735c98ca81294e73dc1.png</t>
  </si>
  <si>
    <t>a0149176547a57810cdc483757e06c7a.jpeg</t>
  </si>
  <si>
    <t>f84662962d177adb9099d790eaddadbd.png</t>
  </si>
  <si>
    <t>a363e0b36586098de99a823cdf676cf2.png</t>
  </si>
  <si>
    <t>ec0c93621301c280bbddec41059791c3.jpg</t>
  </si>
  <si>
    <t>97dff5aee8bf1d9d545c8855a6d7f246.png</t>
  </si>
  <si>
    <t>e3c8ec12cb99ead5c52fbc5568a8226e.png</t>
  </si>
  <si>
    <t>f2b111de4870aa3f07d927756eadc8a4.png</t>
  </si>
  <si>
    <t>af6b701b9ee872370e0393896117c241.png</t>
  </si>
  <si>
    <t>c50cf517e8a693f014d27937f5ffe562.jpg</t>
  </si>
  <si>
    <t>3dd0b99d9b3de0a85d0f0d9297dae42c.jpg</t>
  </si>
  <si>
    <t>b0f5b0ade9bcc4442c079975515d5838.png</t>
  </si>
  <si>
    <t>1d946d02ff51db0dec3c98ce03874c33.png</t>
  </si>
  <si>
    <t>e39e391ac6339029a2dee5f4b4f624fd.png</t>
  </si>
  <si>
    <t>108bb9b0ec510a6b8b2008c8f37ee564.png</t>
  </si>
  <si>
    <t>0d9f957bd7c78e4eedeac476d7f1343e.png</t>
  </si>
  <si>
    <t>46de1ef026eae66bc3d13cb03799c64b.png</t>
  </si>
  <si>
    <t>1caed877332e22a3ca1bb2851d3714e9.png</t>
  </si>
  <si>
    <t>2fff19500334e16ec1cacb62e0a186b2.png</t>
  </si>
  <si>
    <t>e62583e1a2b2a86e0c415d25d9ea4aec.png</t>
  </si>
  <si>
    <t>55b8fe5ea515dfa31a373b5a51829561.png</t>
  </si>
  <si>
    <t>b224a813c0ab73335cdfc8b50bf68ffb.png</t>
  </si>
  <si>
    <t>f1d62a2989b4b728ed0f1cf6c7e66951.png</t>
  </si>
  <si>
    <t>6af973da40f390b5bbde3511d91156ea.webp</t>
  </si>
  <si>
    <t>eb0dca008ed3b1d25430898887c51b55.jpg</t>
  </si>
  <si>
    <t>52c8dd12113ce17dc2d030094713503a.webp</t>
  </si>
  <si>
    <t>d76ef966c0c4d1933d5c9200906afb6e.webp</t>
  </si>
  <si>
    <t>c664d3b38459aa71f1b7ab1e4912f203.png</t>
  </si>
  <si>
    <t>fb42344bbfc3a8faa28743dbefba6bb2.png</t>
  </si>
  <si>
    <t>b598cb59654b98c6175a356d9f829be8.png</t>
  </si>
  <si>
    <t>d434c9ee265f9403d6c22282b58802d2.jpg</t>
  </si>
  <si>
    <t>36f765390201e9063b8ded180fd3a23e.jpg</t>
  </si>
  <si>
    <t>bc945a983cd599ccbbcb353f5f43be3d.jpg</t>
  </si>
  <si>
    <t>db53f6d5811f49ce3579022e93966144.png</t>
  </si>
  <si>
    <t>bcb0fba6aec73480ae3e9f72bc9a09f5.png</t>
  </si>
  <si>
    <t>c608b1992ab11ad4fffe9fef15b6b0ab.png</t>
  </si>
  <si>
    <t>0cfb3caa436878e5f201cb1c4ffc0882.webp</t>
  </si>
  <si>
    <t>18ca8a5df93e3c1eee136c37ca0fa2f1.png</t>
  </si>
  <si>
    <t>1d11af4439d61d0565e5d912f407cc43.png</t>
  </si>
  <si>
    <t>884d60905cc9d67e3b6061e82f063a7a.png</t>
  </si>
  <si>
    <t>7fe91bd1a4d2bea3e2789020ec4500c4.jpg</t>
  </si>
  <si>
    <t>b31cf7e252c183843a73160a98f4c322.png</t>
  </si>
  <si>
    <t>6c2da60979c7ef80d192a03c12d8c300.jpg</t>
  </si>
  <si>
    <t>e677616719246d11a18088087506a634.png</t>
  </si>
  <si>
    <t>387301273b4ed72e5d44a547db02f22c.png</t>
  </si>
  <si>
    <t>e0bdda3ac035078d03d34e45dce35233.png</t>
  </si>
  <si>
    <t>184a9892fce745c64ef8c18ff439ba3f.png</t>
  </si>
  <si>
    <t>6508dc64fe475d02a8932b2712e42b1e.png</t>
  </si>
  <si>
    <t>a387fcbbe12e2aff153f336a3bc23769.png</t>
  </si>
  <si>
    <t>23d9c1fcbddbd2698762bde7168a8e47.jpg</t>
  </si>
  <si>
    <t>318ebfc9a78d834a5559da089827a45e.png</t>
  </si>
  <si>
    <t>d57e1b2431756e5a8dc4d82d07021b85.png</t>
  </si>
  <si>
    <t>d9c56199e43bcc62f2944b29c4749a63.png</t>
  </si>
  <si>
    <t>412b8c11011abb5494565a10f54bdf59.png</t>
  </si>
  <si>
    <t>a6f53b47a8b1f5162db3d46fed7e6acb.png</t>
  </si>
  <si>
    <t>ce34475d7cdd5d8a1633eeb16220d2a7.png</t>
  </si>
  <si>
    <t>4d69cea80825e80b0213bd7a875fd314.jpg</t>
  </si>
  <si>
    <t>981801ad106eecd2014999d3a6601ad7.jpg</t>
  </si>
  <si>
    <t>51f4e9cc46401c76aebb1bfc075bfdce.png</t>
  </si>
  <si>
    <t>f0bf02f881d32a386512ccb80590aa1c.jpg</t>
  </si>
  <si>
    <t>0df2e834b56d734ea5b49415f24faeb3.jpg</t>
  </si>
  <si>
    <t>f74d23744ea738d7f72540cf8489bd04.png</t>
  </si>
  <si>
    <t>5ab67f30d279bcf7f122af10fa3c11fc.jpg</t>
  </si>
  <si>
    <t>a72616f62f75bff07e5197b9ce665bd3.jpg</t>
  </si>
  <si>
    <t>d69f27b07a71de555afdc681b76c35cc.jpg</t>
  </si>
  <si>
    <t>167f1dbc0680e02942658c2178b093f1.jpeg</t>
  </si>
  <si>
    <t>07287b87d915c251e7300fe85e18376e.jpg</t>
  </si>
  <si>
    <t>fcdcb1c2e09804df4171a1652f0fbe98.jpg</t>
  </si>
  <si>
    <t>cbc88b48195bb0d82c4e33c0ee4e1320.png</t>
  </si>
  <si>
    <t>e5d02f73ca8b23256c7066f342278e98.png</t>
  </si>
  <si>
    <t>e76a34e2c8b42d2375e946bd5a1248d7.png</t>
  </si>
  <si>
    <t>b6da7905f063801bda67c526809c8f85.jpg</t>
  </si>
  <si>
    <t>e5f2ea0b4b1bbaedda5adb128ce6b0bf.png</t>
  </si>
  <si>
    <t>d6acd83b40fac592f2c6ae6e5ccd0cde.jpg</t>
  </si>
  <si>
    <t>d72f0bdf3d250bcd033e6ca6f0a4c67e.jpg</t>
  </si>
  <si>
    <t>fb03af2691d04c6a76d76caf2b952617.jpg</t>
  </si>
  <si>
    <t>02443e13b8bbebb91d4fbdfeb039dfb1.jpg</t>
  </si>
  <si>
    <t>f0469d120cfb6fc5851abab43bc66644.jpg</t>
  </si>
  <si>
    <t>ec4d3b8b25922fdf14450dfc9c6d64f1.jpg</t>
  </si>
  <si>
    <t>553aab47c10ad2959b0bbd67378027a1.jpg</t>
  </si>
  <si>
    <t>cad2c0078cb7dbb5697d18e31e4bf9d0.png</t>
  </si>
  <si>
    <t>c3edd32c17ab7634ceb8576f1c03e8c6.png</t>
  </si>
  <si>
    <t>1328ed0ef6714a9497432f4d0b57d615.jpg</t>
  </si>
  <si>
    <t>ce7cc90bfc70a652ad1efe3e0125a5a8.jpg</t>
  </si>
  <si>
    <t>854db44b9334172b40a2c56d25d4f11b.jpg</t>
  </si>
  <si>
    <t>bb3bec6b3f25b7d96aa1d31eb7369993.jpg</t>
  </si>
  <si>
    <t>f8c50664c33b3f25a0d543807d9e5ea4.png</t>
  </si>
  <si>
    <t>bafb07de96d309dccdb401e9db460b64.png</t>
  </si>
  <si>
    <t>3d794f2abce233e235de2cda64a287f3.png</t>
  </si>
  <si>
    <t>ec19e3cbb6a4ca0b26ac644650a90d8a.png</t>
  </si>
  <si>
    <t>cd2486e5a69f4ce257a1b3c07729a750.png</t>
  </si>
  <si>
    <t>30ce9100c8e5e68edea4966b7da0afc3.png</t>
  </si>
  <si>
    <t>646c9a3cf13aeef5f5a3ed1883f32709.png</t>
  </si>
  <si>
    <t>de0b7f1e62b29ce0f42a7f53bc2c895e.png</t>
  </si>
  <si>
    <t>39d1f684271e7ad0c580db793e24e589.png</t>
  </si>
  <si>
    <t>a36158c3942d4e31ced2439eaa15940a.png</t>
  </si>
  <si>
    <t>495fa784bfef8f8de4ee737a4f5cbfce.jpg</t>
  </si>
  <si>
    <t>e811575963a0aeb82809bed95945342d.jpg</t>
  </si>
  <si>
    <t>9db10ca292991e7c2465d4d3f8bd9b0b.jpg</t>
  </si>
  <si>
    <t>09561f49e72c58d5d8a25b94b71ee4c4.png</t>
  </si>
  <si>
    <t>dd8a6f65312247906128ad887a34e804.png</t>
  </si>
  <si>
    <t>fa1b2adf4383a789c448a74af2186863.png</t>
  </si>
  <si>
    <t>0c945ee44994c5dbf2f71c712bbc294e.png</t>
  </si>
  <si>
    <t>f7bd14f018168803ff72b2556c29dc5e.webp</t>
  </si>
  <si>
    <t>3691a9b19e6e7f54f8b5f7a43917099a.jpg</t>
  </si>
  <si>
    <t>991e8a402090946a2a20ea7a10c564b0.png</t>
  </si>
  <si>
    <t>05cfeb59946195e21395d1077887027e.png</t>
  </si>
  <si>
    <t>43846e33c1403f0229adc58125fb25ce.png</t>
  </si>
  <si>
    <t>4ffa5b2c059fbb79c3b5a6088831cb9e.png</t>
  </si>
  <si>
    <t>660708b61e74b412f07de39d9eb8191c.png</t>
  </si>
  <si>
    <t>29822254ccab379232cac940610a4c79.png</t>
  </si>
  <si>
    <t>3db01a0868c3054b928d4520f3091498.png</t>
  </si>
  <si>
    <t>64b2696fe1fefd09543dc7a03a5da469.png</t>
  </si>
  <si>
    <t>f90a4d002108ae3a0e4399b29a608758.png</t>
  </si>
  <si>
    <t>97b58942bb866360e54bf4de23e9b7e0.png</t>
  </si>
  <si>
    <t>90fca5930e7a7b9b2be09bbeaabd87c3.png</t>
  </si>
  <si>
    <t>04bb62ef86c459edd518948e8f2bf37e.png</t>
  </si>
  <si>
    <t>720818d3f4ab2209c0c8b23268d17095.png</t>
  </si>
  <si>
    <t>a2b0af963cd875208556fbc0e0ef9202.png</t>
  </si>
  <si>
    <t>8731508820596a09f76d16c5c26324d4.png</t>
  </si>
  <si>
    <t>41df1194745b38934c937c8336b70afe.jpg</t>
  </si>
  <si>
    <t>bb27156ebb851682f60d9e2ac1c298f2.png</t>
  </si>
  <si>
    <t>39df3c9a801ab03cd6a9fdc81b90e357.png</t>
  </si>
  <si>
    <t>6269f71b321b34839ce2e1fc2010c8c9.jpg</t>
  </si>
  <si>
    <t>c89f2d11889982159b98aa10b2752095.png</t>
  </si>
  <si>
    <t>597ba12e6b10feccf6b6b2704628d525.png</t>
  </si>
  <si>
    <t>fb537ceac80621cef9441013bb7018dd.jpg</t>
  </si>
  <si>
    <t>43277e0998353f679f4b7d3c33229465.png</t>
  </si>
  <si>
    <t>9ac4feb1f42bf2e08a53071475af1628.png</t>
  </si>
  <si>
    <t>a0a1fcea-36cd-4a14-b7e8-d26383427e44_ThumsUp250mlPetPackof28.jpg</t>
  </si>
  <si>
    <t>9edad84ac8d0e35a6e99f5439fdd5abd.jpg</t>
  </si>
  <si>
    <t>147f69a0aaac76a2e4b90f21ed0f4224.jpg</t>
  </si>
  <si>
    <t>1edb5fe85d818828ff9f529fbf5d4c1e.png</t>
  </si>
  <si>
    <t>856c76c5ce3f489700cd0634c71bbd13.jpg</t>
  </si>
  <si>
    <t>62ef9e408649335c7ea75f2bc1f6eef3.jpg</t>
  </si>
  <si>
    <t>3ff16f4286dd28037fa0849cb5ccdda3.png</t>
  </si>
  <si>
    <t>f2b8cc008ac9550a7949b609d1805f18.jpg</t>
  </si>
  <si>
    <t>b7eb0f84da7beece41e8a8dc66d89f07.png</t>
  </si>
  <si>
    <t>10b51af20603d204e808c37d938a6d61.png</t>
  </si>
  <si>
    <t>6481a8ddad57a1e56508fbcc0f105965.png</t>
  </si>
  <si>
    <t>cd433ea1a3dfda64265d84847acea154.webp</t>
  </si>
  <si>
    <t>6c89951c04a8d3eb6d6a7275ed6d55cb.webp</t>
  </si>
  <si>
    <t>94761d9cf738c74f6ab52226835def78.png</t>
  </si>
  <si>
    <t>6cf92f884fc02ce2c53375c12baf8b74.png</t>
  </si>
  <si>
    <t>ed6d1b7f2ed75547acadfa2f75708600.png</t>
  </si>
  <si>
    <t>443360cdc3f8a7d920d14f31e300a046.png</t>
  </si>
  <si>
    <t>d01a380a00ed1d21b69ffbe549221042.png</t>
  </si>
  <si>
    <t>d26654dde59d9db4b6b703652346e8e3.png</t>
  </si>
  <si>
    <t>2dab63e1bbb25b6b498981aefb785f03.png</t>
  </si>
  <si>
    <t>c896b00f130a320178d05098c640db86.png</t>
  </si>
  <si>
    <t>c7177dea9080d1e44eb212c79d71bb1c.jpeg</t>
  </si>
  <si>
    <t>098578f7d18134e041cffe3414ed2344.png</t>
  </si>
  <si>
    <t>9f4cf724d32c7ae6ad696f1a7fb2955d.png</t>
  </si>
  <si>
    <t>9c7dbd7fd31d8ba4cb5ecb87864c3dea.png</t>
  </si>
  <si>
    <t>325c7083b7f7bff458e461c80ba5dc15.png</t>
  </si>
  <si>
    <t>fe47c41aef3bad06066250b2809ae130.png</t>
  </si>
  <si>
    <t>7a4f31f2ea80cd711f6d012363cb2550.png</t>
  </si>
  <si>
    <t>6314abf5db14d44346fbf18e1b87b5ed.png</t>
  </si>
  <si>
    <t>fd08e8b368b06b972dcc7391ee62ddad.png</t>
  </si>
  <si>
    <t>ea69a23a56348b1f10172647758507bd.png</t>
  </si>
  <si>
    <t>ca8e6d60c73e48e311beba8fb29da25e.png</t>
  </si>
  <si>
    <t>f5d7eab36749f1da43bac8fc35f36aaa.png</t>
  </si>
  <si>
    <t>c5858f5bb46760a5cd9f3d683b1042cb.png</t>
  </si>
  <si>
    <t>aab6a232461ad5fe3c18e5e3a748f540.png</t>
  </si>
  <si>
    <t>82bebd04b4c42bde1d90f93b6621fba6.jpg</t>
  </si>
  <si>
    <t>76181dffdc8857af0edecfe59f3011be.png</t>
  </si>
  <si>
    <t>5e7d76b45f66bbc980302955d13f6951.png</t>
  </si>
  <si>
    <t>b7ee0642c9a01b3d783cbcb25005380e.png</t>
  </si>
  <si>
    <t>ba2447dcade8414ec5b43c0b6b24539f.png</t>
  </si>
  <si>
    <t>90fb1ceff81db5230a0e2f7c0c19255d.png</t>
  </si>
  <si>
    <t>moninPeach.png</t>
  </si>
  <si>
    <t>moninCoconut.png</t>
  </si>
  <si>
    <t>63bcd4def9e349d0601a481199f95c94.png</t>
  </si>
  <si>
    <t>be088a5eea702907152207dd576304e5.png</t>
  </si>
  <si>
    <t>15e81068766c31aa010ff7874ec49f88.png</t>
  </si>
  <si>
    <t>4711fd43205983b5116152eb09c4c618.png</t>
  </si>
  <si>
    <t>malaBlackCurrant.png</t>
  </si>
  <si>
    <t>959435f87eeade1a07e0cead3c4abd9d.png</t>
  </si>
  <si>
    <t>130381651ee668ff953cdfa035a696d5.png</t>
  </si>
  <si>
    <t>429f96f4040b63132af0551a77805c13.png</t>
  </si>
  <si>
    <t>moninPassionFruitPuree.png</t>
  </si>
  <si>
    <t>realGrapeJuice.png</t>
  </si>
  <si>
    <t>realGuava.png</t>
  </si>
  <si>
    <t>"SectionName": "Cold Drinks ",</t>
  </si>
  <si>
    <t>"Price": "680",</t>
  </si>
  <si>
    <t>"Item": "Coca Cola - 330 ml Can (Pack of 24), MRP - 70/pc",</t>
  </si>
  <si>
    <t>"CategoryName": " Beverages &amp; Mixers",</t>
  </si>
  <si>
    <t>"Heighlightdescription": "",</t>
  </si>
  <si>
    <t>"ImageUrl": "img/pics/74bc227305598943b4a1cbc3d2ffdc38.png",</t>
  </si>
  <si>
    <t>"Name": "₹28.29/pc for 48 pcs+",</t>
  </si>
  <si>
    <t>"Description": "",</t>
  </si>
  <si>
    <t>"Price": "28.29"</t>
  </si>
  <si>
    <t>"Name": "₹28.25/pc for 96 pcs+",</t>
  </si>
  <si>
    <t>"Price": "28.25"</t>
  </si>
  <si>
    <t>"Price": "561",</t>
  </si>
  <si>
    <t>"Item": "Coca Cola - Diet Coke, 300 ml Can (Pack of 24) MRP - 40/pc",</t>
  </si>
  <si>
    <t>"ImageUrl": "img/pics/98a4c6e6b2f6c692850cfd58853c880e.png",</t>
  </si>
  <si>
    <t>"Name": "₹22.91/pc for 48 pcs+",</t>
  </si>
  <si>
    <t>"Price": "22.91"</t>
  </si>
  <si>
    <t>"Name": "₹22.44/pc for 96 pcs+",</t>
  </si>
  <si>
    <t>"Price": "22.44"</t>
  </si>
  <si>
    <t>"Item": "Coca Cola - 300 ml Can (Pack of 24), MRP - 40/pc",</t>
  </si>
  <si>
    <t>"ImageUrl": "img/pics/d53961065493948f48763257607261b7.png",</t>
  </si>
  <si>
    <t>"Price": "618.86",</t>
  </si>
  <si>
    <t>"Item": "Coca Cola - 750 ml Pet Bottle (Pack of 24), MRP - 40/pc",</t>
  </si>
  <si>
    <t>"ImageUrl": "img/pics/699d5a2162728c1162c7b2f1343100f3.jpg",</t>
  </si>
  <si>
    <t>"Name": "₹25.27/pc for 72 pcs+",</t>
  </si>
  <si>
    <t>"Price": "25.27"</t>
  </si>
  <si>
    <t>"Name": "₹24.5/pc for 144 pcs+",</t>
  </si>
  <si>
    <t>"Price": "24.5"</t>
  </si>
  <si>
    <t>"Price": "407.14",</t>
  </si>
  <si>
    <t>"Item": "Thums Up - 250 ml Pet Bottle (Pack of 30), MRP - 20/pc",</t>
  </si>
  <si>
    <t>"ImageUrl": "img/pics/f639a3b77a20066b81a5b81c309be6bf.png",</t>
  </si>
  <si>
    <t>"Name": "₹13.3/pc for 90 pcs+",</t>
  </si>
  <si>
    <t>"Price": "13.3"</t>
  </si>
  <si>
    <t>"Name": "₹12.9/pc for 180 pcs+",</t>
  </si>
  <si>
    <t>"Price": "12.9"</t>
  </si>
  <si>
    <t>"MenuId": "6",</t>
  </si>
  <si>
    <t>"Item": "Sprite - 750 ml Pet Bottle (Pack of 24), MRP - 40/pc",</t>
  </si>
  <si>
    <t>"ImageUrl": "img/pics/00ed56ad4f28f4f6631bd4f463bde5ae.jpg",</t>
  </si>
  <si>
    <t>"MenuId": "7",</t>
  </si>
  <si>
    <t>"Item": "Coca Cola - 250 ml Pet Bottle (Pack of 30), MRP - 20/pc",</t>
  </si>
  <si>
    <t>"ImageUrl": "img/pics/32de2355b1972e9e2176ab3c4d5d613f.png",</t>
  </si>
  <si>
    <t>"MenuId": "8",</t>
  </si>
  <si>
    <t>"Item": "Thums Up - 330 ml Can, (Pack of 24) MRP - 70/pc",</t>
  </si>
  <si>
    <t>"ImageUrl": "img/pics/c09bf8059ba68fb18e5461d5256625fe.webp",</t>
  </si>
  <si>
    <t>"MenuId": "9",</t>
  </si>
  <si>
    <t>"Price": "586.64",</t>
  </si>
  <si>
    <t>"Item": "Coke Zero - 300 ml Can (Pack of 24) MRP - 40/pc",</t>
  </si>
  <si>
    <t>"ImageUrl": "img/pics/bfef7d437870529404e21707b471d753.png",</t>
  </si>
  <si>
    <t>"Name": "₹23.96/pc for 48 pcs+",</t>
  </si>
  <si>
    <t>"Price": "23.96"</t>
  </si>
  <si>
    <t>"Name": "₹23.47/pc for 96 pcs+",</t>
  </si>
  <si>
    <t>"Price": "23.47"</t>
  </si>
  <si>
    <t>"MenuId": "10",</t>
  </si>
  <si>
    <t>"Item": "Sprite - 330 ml Can (Pack of 24), MRP - 70/pc",</t>
  </si>
  <si>
    <t>"ImageUrl": "img/pics/8b864604a98318edc688fbbbaf5516b1.png",</t>
  </si>
  <si>
    <t>"MenuId": "11",</t>
  </si>
  <si>
    <t>"Price": "569.57",</t>
  </si>
  <si>
    <t>"Item": "Sprite - 300 ml Can (Pack of 24) MRP - 40/pc",</t>
  </si>
  <si>
    <t>"ImageUrl": "img/pics/4875369379be09449c12d23bee06a759.jpg",</t>
  </si>
  <si>
    <t>"Name": "₹23.26/pc for 72 pcs+",</t>
  </si>
  <si>
    <t>"Price": "23.26"</t>
  </si>
  <si>
    <t>"Name": "₹22.55/pc for 144 pcs+",</t>
  </si>
  <si>
    <t>"Price": "22.55"</t>
  </si>
  <si>
    <t>"MenuId": "12",</t>
  </si>
  <si>
    <t>"Price": "568.57",</t>
  </si>
  <si>
    <t>"Item": "Thums Up - 300 ml Can (Pack of 24), MRP - 40/pc",</t>
  </si>
  <si>
    <t>"ImageUrl": "img/pics/61dffd3e781a67f31e3e9a50731403fe.webp",</t>
  </si>
  <si>
    <t>"Name": "₹23.22/pc for 48 pcs+",</t>
  </si>
  <si>
    <t>"Price": "23.22"</t>
  </si>
  <si>
    <t>"Name": "₹22.74/pc for 96 pcs+",</t>
  </si>
  <si>
    <t>"Price": "22.74"</t>
  </si>
  <si>
    <t>"MenuId": "13",</t>
  </si>
  <si>
    <t>"Price": "414.36",</t>
  </si>
  <si>
    <t>"Item": "Sprite - 250 ml Pet (Pack of 30)",</t>
  </si>
  <si>
    <t>"ImageUrl": "img/pics/ff3864b9a79f64c2f1c1f025f38a8ceb.png",</t>
  </si>
  <si>
    <t>"Name": "₹13.53/pc for 60 pcs+",</t>
  </si>
  <si>
    <t>"Price": "13.53"</t>
  </si>
  <si>
    <t>"Name": "₹13.26/pc for 120 pcs+",</t>
  </si>
  <si>
    <t>"Price": "13.26"</t>
  </si>
  <si>
    <t>"MenuId": "14",</t>
  </si>
  <si>
    <t>"Price": "605",</t>
  </si>
  <si>
    <t>"Item": "Thums Up - 750 ml Pet Bottle (Pack of 24), MRP - 40/pc",</t>
  </si>
  <si>
    <t>"ImageUrl": "img/pics/b96bbd653450eec14b03360498914d4b.png",</t>
  </si>
  <si>
    <t>"Name": "₹24.71/pc for 72 pcs+",</t>
  </si>
  <si>
    <t>"Price": "24.71"</t>
  </si>
  <si>
    <t>"Name": "₹24.2/pc for 144 pcs+",</t>
  </si>
  <si>
    <t>"Price": "24.2"</t>
  </si>
  <si>
    <t>"MenuId": "15",</t>
  </si>
  <si>
    <t>"Price": "632",</t>
  </si>
  <si>
    <t>"Item": "Pepsi - 750 ml Pet (Pack of 24), MRP - 40/pc",</t>
  </si>
  <si>
    <t>"ImageUrl": "img/pics/ac20532610426f00d7a98d5c241f8345.png",</t>
  </si>
  <si>
    <t>"Name": "₹25.58/bottle for 48 bottles+",</t>
  </si>
  <si>
    <t>"Price": "25.58"</t>
  </si>
  <si>
    <t>"Name": "₹24.83/bottle for 96 bottles+",</t>
  </si>
  <si>
    <t>"Price": "24.83"</t>
  </si>
  <si>
    <t>"MenuId": "16",</t>
  </si>
  <si>
    <t>"Price": "285",</t>
  </si>
  <si>
    <t>"Item": "Coca Cola - 250 ml Pet Bottle (Pack of 28), MRP - 15/pc",</t>
  </si>
  <si>
    <t>"ImageUrl": "img/pics/d17f50ccc4bbc6a953d50a3587e8609e.png",</t>
  </si>
  <si>
    <t>"Name": "₹9.97/pc for 84 pcs+",</t>
  </si>
  <si>
    <t>"Price": "9.97"</t>
  </si>
  <si>
    <t>"Name": "₹9.77/pc for 168 pcs+",</t>
  </si>
  <si>
    <t>"Price": "9.77"</t>
  </si>
  <si>
    <t>"MenuId": "17",</t>
  </si>
  <si>
    <t>"Price": "596.57",</t>
  </si>
  <si>
    <t>"Item": "Sprite Zero - 300 ml Can (Pack of 24) MRP - 40/pc	",</t>
  </si>
  <si>
    <t>"ImageUrl": "img/pics/b0f5b0ade9bcc4442c079975515d5838.png",</t>
  </si>
  <si>
    <t>"MenuId": "18",</t>
  </si>
  <si>
    <t>"Price": "466.43",</t>
  </si>
  <si>
    <t>"Item": "BIG - Cola Pet Bottle, 1.5 L (Pack of 12) - MRP 60/pc",</t>
  </si>
  <si>
    <t>"ImageUrl": "img/pics/2fff19500334e16ec1cacb62e0a186b2.png",</t>
  </si>
  <si>
    <t>"MenuId": "19",</t>
  </si>
  <si>
    <t>"Price": "291.43",</t>
  </si>
  <si>
    <t>"Item": "BIG - Lime Pet Bottle, 600 ml (Pack of 20) - MRP 30/pc",</t>
  </si>
  <si>
    <t>"ImageUrl": "img/pics/e62583e1a2b2a86e0c415d25d9ea4aec.png",</t>
  </si>
  <si>
    <t>"MenuId": "20",</t>
  </si>
  <si>
    <t>"Price": "385.71",</t>
  </si>
  <si>
    <t>"Item": "BIG - Cola Pet Bottle, 600 ml (Pack of 20) - MRP 30/pc",</t>
  </si>
  <si>
    <t>"ImageUrl": "img/pics/55b8fe5ea515dfa31a373b5a51829561.png",</t>
  </si>
  <si>
    <t>"MenuId": "21",</t>
  </si>
  <si>
    <t>"Price": "378.57",</t>
  </si>
  <si>
    <t>"Item": "BIG - Lime Pet Bottle, 300 ml (Pack of 30) - MRP 20/pc",</t>
  </si>
  <si>
    <t>"ImageUrl": "img/pics/b224a813c0ab73335cdfc8b50bf68ffb.png",</t>
  </si>
  <si>
    <t>"Name": "₹12.29/pack for 60 packs+",</t>
  </si>
  <si>
    <t>"Price": "12.29"</t>
  </si>
  <si>
    <t>"Name": "₹11.95/pack for 120 packs+",</t>
  </si>
  <si>
    <t>"Price": "11.95"</t>
  </si>
  <si>
    <t>"MenuId": "22",</t>
  </si>
  <si>
    <t>"Item": "BIG - Cola Pet Bottle, 300 ml (Pack of 30) - MRP 20/pc",</t>
  </si>
  <si>
    <t>"ImageUrl": "img/pics/f1d62a2989b4b728ed0f1cf6c7e66951.png",</t>
  </si>
  <si>
    <t>"MenuId": "23",</t>
  </si>
  <si>
    <t>"Price": "679",</t>
  </si>
  <si>
    <t>"Item": "Fanta - 330 ml Can (Pack of 24) MRP - INR 70/pc",</t>
  </si>
  <si>
    <t>"ImageUrl": "img/pics/eb0dca008ed3b1d25430898887c51b55.jpg",</t>
  </si>
  <si>
    <t>"Name": "₹27.96/pc for 48 pcs+",</t>
  </si>
  <si>
    <t>"Price": "27.96"</t>
  </si>
  <si>
    <t>"Name": "₹27.63/pc for 96 pcs+",</t>
  </si>
  <si>
    <t>"Price": "27.63"</t>
  </si>
  <si>
    <t>"MenuId": "24",</t>
  </si>
  <si>
    <t>"Price": "633.64",</t>
  </si>
  <si>
    <t>"Item": "Thums Up - 750 ml Pet Bottle (Pack of 24), MRP - 45/pc",</t>
  </si>
  <si>
    <t>"ImageUrl": "img/pics/b598cb59654b98c6175a356d9f829be8.png",</t>
  </si>
  <si>
    <t>"Name": "₹25.87/pc for 72 pcs+",</t>
  </si>
  <si>
    <t>"Price": "25.87"</t>
  </si>
  <si>
    <t>"Name": "₹25.08/pc for 144 pcs+",</t>
  </si>
  <si>
    <t>"Price": "25.08"</t>
  </si>
  <si>
    <t>"MenuId": "25",</t>
  </si>
  <si>
    <t>"Item": "Sprite - 750 ml Pet Bottle (Pack of 24), MRP - 45/pc",</t>
  </si>
  <si>
    <t>"ImageUrl": "img/pics/d434c9ee265f9403d6c22282b58802d2.jpg",</t>
  </si>
  <si>
    <t>"MenuId": "26",</t>
  </si>
  <si>
    <t>"Price": "625.43",</t>
  </si>
  <si>
    <t>"Item": "Coca Cola - 750 ml Pet Bottle (Pack of 24), MRP - 45/pc",</t>
  </si>
  <si>
    <t>"ImageUrl": "img/pics/36f765390201e9063b8ded180fd3a23e.jpg",</t>
  </si>
  <si>
    <t>"Name": "₹25.54/pc for 72 pcs+",</t>
  </si>
  <si>
    <t>"Price": "25.54"</t>
  </si>
  <si>
    <t>"Name": "₹24.76/pc for 144 pcs+",</t>
  </si>
  <si>
    <t>"Price": "24.76"</t>
  </si>
  <si>
    <t>"MenuId": "27",</t>
  </si>
  <si>
    <t>"Price": "714",</t>
  </si>
  <si>
    <t>"Item": "Coke - Zero 330 ml Can (Pack of 24), MRP - 70/pc",</t>
  </si>
  <si>
    <t>"ImageUrl": "img/pics/c608b1992ab11ad4fffe9fef15b6b0ab.png",</t>
  </si>
  <si>
    <t>"Name": "₹29.16/pc for 72 pcs+",</t>
  </si>
  <si>
    <t>"Price": "29.16"</t>
  </si>
  <si>
    <t>"Name": "₹28.27/pc for 144 pcs+",</t>
  </si>
  <si>
    <t>"Price": "28.27"</t>
  </si>
  <si>
    <t>"MenuId": "28",</t>
  </si>
  <si>
    <t>"Price": "656.36",</t>
  </si>
  <si>
    <t>"Item": "Pepsi - 475 ml Pet (Pack of 24) MRP - 60/pc",</t>
  </si>
  <si>
    <t>"ImageUrl": "img/pics/7fe91bd1a4d2bea3e2789020ec4500c4.jpg",</t>
  </si>
  <si>
    <t>"Name": "₹649.71/pack for 3 packs+",</t>
  </si>
  <si>
    <t>"Price": "649.71"</t>
  </si>
  <si>
    <t>"Name": "₹643.14/pack for 6 packs+",</t>
  </si>
  <si>
    <t>"Price": "643.14"</t>
  </si>
  <si>
    <t>"MenuId": "29",</t>
  </si>
  <si>
    <t>"Price": "654.64",</t>
  </si>
  <si>
    <t>"Item": "Pepsi - 330 ml Can, (Pack of 24) MRP - 60/pc",</t>
  </si>
  <si>
    <t>"ImageUrl": "img/pics/e811575963a0aeb82809bed95945342d.jpg",</t>
  </si>
  <si>
    <t>"Name": "₹26.73/pc for 72 pcs+",</t>
  </si>
  <si>
    <t>"Price": "26.73"</t>
  </si>
  <si>
    <t>"MenuId": "30",</t>
  </si>
  <si>
    <t>"Price": "617.14",</t>
  </si>
  <si>
    <t>"Item": "Pepsi - 500 ml Pet (Pack of 24) MRP - 60/pc",</t>
  </si>
  <si>
    <t>"ImageUrl": "img/pics/05cfeb59946195e21395d1077887027e.png",</t>
  </si>
  <si>
    <t>"MenuId": "31",</t>
  </si>
  <si>
    <t>"Price": "694.71",</t>
  </si>
  <si>
    <t>"Item": "Coke - Zero 330 ml Can (Pack of 24),  MRP - 70/pc",</t>
  </si>
  <si>
    <t>"ImageUrl": "img/pics/a2b0af963cd875208556fbc0e0ef9202.png",</t>
  </si>
  <si>
    <t>"MenuId": "32",</t>
  </si>
  <si>
    <t>"Price": "423.5",</t>
  </si>
  <si>
    <t>"Item": "Pepsi - Pet Bottle, 250 ml (Pack of 30)",</t>
  </si>
  <si>
    <t>"ImageUrl": "img/pics/8731508820596a09f76d16c5c26324d4.png",</t>
  </si>
  <si>
    <t>"MenuId": "33",</t>
  </si>
  <si>
    <t>"Item": "Pepsi - Black 330 ml Can, (Pack of 24) MRP - 70/pc",</t>
  </si>
  <si>
    <t>"ImageUrl": "img/pics/41df1194745b38934c937c8336b70afe.jpg",</t>
  </si>
  <si>
    <t>"MenuId": "34",</t>
  </si>
  <si>
    <t>"Price": "520",</t>
  </si>
  <si>
    <t>"Item": "Mountain Dew - 250 ml Can (Pack of 24)",</t>
  </si>
  <si>
    <t>"ImageUrl": "img/pics/bb27156ebb851682f60d9e2ac1c298f2.png",</t>
  </si>
  <si>
    <t>"Name": "₹21.23/pc for 72 pcs+",</t>
  </si>
  <si>
    <t>"Price": "21.23"</t>
  </si>
  <si>
    <t>"Name": "₹20.8/pc for 120 pcs+",</t>
  </si>
  <si>
    <t>"Price": "20.8"</t>
  </si>
  <si>
    <t>"MenuId": "35",</t>
  </si>
  <si>
    <t>"Price": "371.86",</t>
  </si>
  <si>
    <t>"Item": "Coca Cola - 250 ml Pet Bottle (Pack of 28)",</t>
  </si>
  <si>
    <t>"ImageUrl": "img/pics/43277e0998353f679f4b7d3c33229465.png",</t>
  </si>
  <si>
    <t>"Name": "₹13.21/pc for 56 pcs+",</t>
  </si>
  <si>
    <t>"Price": "13.21"</t>
  </si>
  <si>
    <t>"Name": "₹13.14/pc for 112 pcs+",</t>
  </si>
  <si>
    <t>"Price": "13.14"</t>
  </si>
  <si>
    <t>"MenuId": "36",</t>
  </si>
  <si>
    <t>"Price": "380",</t>
  </si>
  <si>
    <t>"Item": "Sprite - 250 ml Pet Bottle (Pack of 28)",</t>
  </si>
  <si>
    <t>"ImageUrl": "img/pics/9ac4feb1f42bf2e08a53071475af1628.png",</t>
  </si>
  <si>
    <t>"Name": "₹13.5/pc for 56 pcs+",</t>
  </si>
  <si>
    <t>"Price": "13.5"</t>
  </si>
  <si>
    <t>"Name": "₹13.43/pc for 112 pcs+",</t>
  </si>
  <si>
    <t>"Price": "13.43"</t>
  </si>
  <si>
    <t>"MenuId": "37",</t>
  </si>
  <si>
    <t>"Item": "Thums Up - 250 ml Pet Bottle (Pack of 28)",</t>
  </si>
  <si>
    <t>"ImageUrl": "img/pics/a0a1fcea-36cd-4a14-b7e8-d26383427e44_ThumsUp250mlPetPackof28.jpg",</t>
  </si>
  <si>
    <t>"Name": "₹13.43/pc for 56 pcs+",</t>
  </si>
  <si>
    <t>"Name": "₹13.29/pc for 112 pcs+",</t>
  </si>
  <si>
    <t>"Price": "13.29"</t>
  </si>
  <si>
    <t>"MenuId": "38",</t>
  </si>
  <si>
    <t>"Price": "603.57",</t>
  </si>
  <si>
    <t>"Item": "Limca - 300 ml Can (Pack of 24)",</t>
  </si>
  <si>
    <t>"ImageUrl": "img/pics/098578f7d18134e041cffe3414ed2344.png",</t>
  </si>
  <si>
    <t>"SectionName": "Energy &amp; Flavored Drinks ",</t>
  </si>
  <si>
    <t>"Price": "1695",</t>
  </si>
  <si>
    <t>"Item": "Red Bull - Energy Drink Can, 250 ml (Pack of 24)",</t>
  </si>
  <si>
    <t>"ImageUrl": "img/pics/c7ec318f17e9785da8811153bbceeb53.jpeg",</t>
  </si>
  <si>
    <t>"Name": "₹70.54/can for 72 cans+",</t>
  </si>
  <si>
    <t>"Price": "70.54"</t>
  </si>
  <si>
    <t>"Name": "₹70.46/can for 144 cans+",</t>
  </si>
  <si>
    <t>"Price": "70.46"</t>
  </si>
  <si>
    <t>"Price": "1555.36",</t>
  </si>
  <si>
    <t>"Item": "Monster - Energy Drink, 350 ml, MRP - 125/pc",</t>
  </si>
  <si>
    <t>"ImageUrl": "img/pics/7f881fb761a804134c8068a21c14f00e.png",</t>
  </si>
  <si>
    <t>"Name": "₹64.16/pc for 96 pcs+",</t>
  </si>
  <si>
    <t>"Price": "64.16"</t>
  </si>
  <si>
    <t>"Name": "₹63.51/pc for 168 pcs+",</t>
  </si>
  <si>
    <t>"Price": "63.51"</t>
  </si>
  <si>
    <t>"Price": "1630",</t>
  </si>
  <si>
    <t>"Item": "Monster - Energy Drink, 350 ml (Pack of 24), MRP - 125/pc",</t>
  </si>
  <si>
    <t>"ImageUrl": "img/pics/6e74bd30993c7a7ace5588329ec4cc4c.png",</t>
  </si>
  <si>
    <t>"Price": "203.39",</t>
  </si>
  <si>
    <t>"Item": "Plantaway - Plant Based Almond Drink (Barista Edition), 1 L",</t>
  </si>
  <si>
    <t>"ImageUrl": "img/pics/f84662962d177adb9099d790eaddadbd.png",</t>
  </si>
  <si>
    <t>"Price": "174.15",</t>
  </si>
  <si>
    <t>"Item": "Plantaway - Plant Based Oat Drink (Barista Edition), 1 L",</t>
  </si>
  <si>
    <t>"ImageUrl": "img/pics/a363e0b36586098de99a823cdf676cf2.png",</t>
  </si>
  <si>
    <t>"Price": "189.41",</t>
  </si>
  <si>
    <t>"Item": "Hershey's - Exotic Dark Hot Chocolate Drink Powder Mix, 250 gm",</t>
  </si>
  <si>
    <t>"ImageUrl": "img/pics/1d946d02ff51db0dec3c98ce03874c33.png",</t>
  </si>
  <si>
    <t>"Price": "393.73",</t>
  </si>
  <si>
    <t>"Item": "Horlicks - Classic Malt, 900 gm",</t>
  </si>
  <si>
    <t>"ImageUrl": "img/pics/fb42344bbfc3a8faa28743dbefba6bb2.png",</t>
  </si>
  <si>
    <t>"Price": "315.51",</t>
  </si>
  <si>
    <t>"Item": "Horlicks - Classic Malt, 750 gm",</t>
  </si>
  <si>
    <t>"ImageUrl": "img/pics/bc945a983cd599ccbbcb353f5f43be3d.jpg",</t>
  </si>
  <si>
    <t>"Price": "52.03",</t>
  </si>
  <si>
    <t>"Item": "Swastiks - Badam Beverage, 200 gm",</t>
  </si>
  <si>
    <t>"ImageUrl": "img/pics/9db10ca292991e7c2465d4d3f8bd9b0b.jpg",</t>
  </si>
  <si>
    <t>"Price": "244.15",</t>
  </si>
  <si>
    <t>"Item": "Coolberg - Non Alcoholic Beer, 6 Flavors (Malt, Strawberry, Cranberry, Peach, Ginger and Mint), 330 ml (Pack of 6)",</t>
  </si>
  <si>
    <t>"ImageUrl": "img/pics/09561f49e72c58d5d8a25b94b71ee4c4.png",</t>
  </si>
  <si>
    <t>"Name": "₹40.32/bottle for 18 bottles+",</t>
  </si>
  <si>
    <t>"Price": "40.32"</t>
  </si>
  <si>
    <t>"Name": "₹39.96/bottle for 30 bottles+",</t>
  </si>
  <si>
    <t>"Price": "39.96"</t>
  </si>
  <si>
    <t>"Price": "20",</t>
  </si>
  <si>
    <t>"Item": "Goodmylk - Cashew &amp; Oats Milk, 200 ml Tetra Pak",</t>
  </si>
  <si>
    <t>"ImageUrl": "img/pics/0c945ee44994c5dbf2f71c712bbc294e.png",</t>
  </si>
  <si>
    <t>"SectionName": "Ice Essential ",</t>
  </si>
  <si>
    <t>"SectionOrder": "3",</t>
  </si>
  <si>
    <t>"Price": "95.24",</t>
  </si>
  <si>
    <t>"Item": "Ice Cubes, 10 Kg",</t>
  </si>
  <si>
    <t>"ImageUrl": "img/pics/97dff5aee8bf1d9d545c8855a6d7f246.png",</t>
  </si>
  <si>
    <t>"SectionName": "Juices &amp; Bar Mixers ",</t>
  </si>
  <si>
    <t>"SectionOrder": "4",</t>
  </si>
  <si>
    <t>"Price": "95.8",</t>
  </si>
  <si>
    <t>"Item": "Real - Orange Juice, 1 L",</t>
  </si>
  <si>
    <t>"ImageUrl": "img/pics/605b1a0024fccfcb5b1f45fd9302b996.png",</t>
  </si>
  <si>
    <t>"Name": "₹94.38/pc for 4 pcs+",</t>
  </si>
  <si>
    <t>"Price": "94.38"</t>
  </si>
  <si>
    <t>"Name": "₹92.95/pc for 12 pcs+",</t>
  </si>
  <si>
    <t>"Price": "92.95"</t>
  </si>
  <si>
    <t>"Price": "96.25",</t>
  </si>
  <si>
    <t>"Item": "Real - Cranberry Juice, 1 L",</t>
  </si>
  <si>
    <t>"ImageUrl": "img/pics/a22e66bb60f90949129bf3f502038913.png",</t>
  </si>
  <si>
    <t>"Name": "₹95.8/pc for 4 pcs+",</t>
  </si>
  <si>
    <t>"Price": "95.8"</t>
  </si>
  <si>
    <t>"Name": "₹95.27/pc for 12 pcs+",</t>
  </si>
  <si>
    <t>"Price": "95.27"</t>
  </si>
  <si>
    <t>"Price": "94.11",</t>
  </si>
  <si>
    <t>"Item": "Real - Pineapple Juice, 1 L",</t>
  </si>
  <si>
    <t>"ImageUrl": "img/pics/realPineapple.png",</t>
  </si>
  <si>
    <t>"Name": "₹93.12/pc for 5 pcs+",</t>
  </si>
  <si>
    <t>"Price": "93.12"</t>
  </si>
  <si>
    <t>"Name": "₹92.23/pc for 13 pcs+",</t>
  </si>
  <si>
    <t>"Price": "92.23"</t>
  </si>
  <si>
    <t>"Price": "390.42",</t>
  </si>
  <si>
    <t>"Item": "Kinley - Soda, 750 ml (Pack of 24) MRP - 20/pc",</t>
  </si>
  <si>
    <t>"ImageUrl": "img/pics/7c79f44ebfe73be1c7b834ed920dbf28.webp",</t>
  </si>
  <si>
    <t>"Name": "₹16.19/pc for 48 pcs+",</t>
  </si>
  <si>
    <t>"Price": "16.19"</t>
  </si>
  <si>
    <t>"Name": "₹16.1/pc for 96 pcs+",</t>
  </si>
  <si>
    <t>"Price": "16.1"</t>
  </si>
  <si>
    <t>"Price": "83.04",</t>
  </si>
  <si>
    <t>"Item": "Real - Apple Juice, 1 L",</t>
  </si>
  <si>
    <t>"ImageUrl": "img/pics/b0d0a6402be3485af7f7113c1e8ec042.png",</t>
  </si>
  <si>
    <t>"Name": "₹81.96/pc for 3 pcs+",</t>
  </si>
  <si>
    <t>"Price": "81.96"</t>
  </si>
  <si>
    <t>"Name": "₹80.98/pc for 6 pcs+",</t>
  </si>
  <si>
    <t>"Price": "80.98"</t>
  </si>
  <si>
    <t>"Price": "99.2",</t>
  </si>
  <si>
    <t>"Item": "Real - Mixed Fruit Juice, 1 L",</t>
  </si>
  <si>
    <t>"ImageUrl": "img/pics/realMixedFruit.png",</t>
  </si>
  <si>
    <t>"Name": "₹97.14/pc for 3 pcs+",</t>
  </si>
  <si>
    <t>"Price": "97.14"</t>
  </si>
  <si>
    <t>"Name": "₹93.21/pc for 6 pcs+",</t>
  </si>
  <si>
    <t>"Price": "93.21"</t>
  </si>
  <si>
    <t>"Price": "94.73",</t>
  </si>
  <si>
    <t>"Item": "Real - Tomato Juice, 1 L",</t>
  </si>
  <si>
    <t>"ImageUrl": "img/pics/adb01f587c6d5639a7fe9c00b175a23d.jpg",</t>
  </si>
  <si>
    <t>"Name": "₹93.75/pc for 6 pcs+",</t>
  </si>
  <si>
    <t>"Price": "93.75"</t>
  </si>
  <si>
    <t>"Name": "₹92.77/pc for 12 pcs+",</t>
  </si>
  <si>
    <t>"Price": "92.77"</t>
  </si>
  <si>
    <t>"Price": "84.82",</t>
  </si>
  <si>
    <t>"Item": "Real - Mango Juice, 1 L",</t>
  </si>
  <si>
    <t>"ImageUrl": "img/pics/7093db5b9286ea037ab0d1ce2cf72330.png",</t>
  </si>
  <si>
    <t>"Name": "₹84.02/pc for 5 pcs+",</t>
  </si>
  <si>
    <t>"Price": "84.02"</t>
  </si>
  <si>
    <t>"Name": "₹83.12/pc for 12 pcs+",</t>
  </si>
  <si>
    <t>"Price": "83.12"</t>
  </si>
  <si>
    <t>"Price": "213.73",</t>
  </si>
  <si>
    <t>"Item": "Jivo - 750 ml Soda Extra Fizzy, (Pack of 15)",</t>
  </si>
  <si>
    <t>"ImageUrl": "img/pics/b3f81768df218edcb63dfd468a468fca.jpg",</t>
  </si>
  <si>
    <t>"Name": "₹13.5/pc for 60 pcs+",</t>
  </si>
  <si>
    <t>"Name": "₹12.75/pc for 120 pcs+",</t>
  </si>
  <si>
    <t>"Price": "12.75"</t>
  </si>
  <si>
    <t>"Price": "300",</t>
  </si>
  <si>
    <t>"Item": "Vedica - Water Bottle, 1 L (Pack of 12)",</t>
  </si>
  <si>
    <t>"ImageUrl": "img/pics/6d78ece0a241d4f9b01650c051b04adf.jpeg",</t>
  </si>
  <si>
    <t>"Price": "14.2",</t>
  </si>
  <si>
    <t>"Item": "Real - Orange Juice, 180 ml",</t>
  </si>
  <si>
    <t>"ImageUrl": "img/pics/fbd1a2945a02af1e9db4d7dcb219f55a.jpg",</t>
  </si>
  <si>
    <t>"Name": "₹13.93/pc for 3 pcs+",</t>
  </si>
  <si>
    <t>"Price": "13.93"</t>
  </si>
  <si>
    <t>"Name": "₹13.66/pc for 6 pcs+",</t>
  </si>
  <si>
    <t>"Price": "13.66"</t>
  </si>
  <si>
    <t>"Price": "795",</t>
  </si>
  <si>
    <t>"Item": "Schweppes - Tonic Water, 300 ml (Pack of 24)",</t>
  </si>
  <si>
    <t>"ImageUrl": "img/pics/671d274b260ea9f0e46829dd1fa3c124.png",</t>
  </si>
  <si>
    <t>"Name": "₹32.71/can for 48 cans+",</t>
  </si>
  <si>
    <t>"Price": "32.71"</t>
  </si>
  <si>
    <t>"Name": "₹32.29/can for 96 cans+",</t>
  </si>
  <si>
    <t>"Price": "32.29"</t>
  </si>
  <si>
    <t>"Price": "90",</t>
  </si>
  <si>
    <t>"Item": "Tropicana - Orange Juice, 1 L Tetra Pak",</t>
  </si>
  <si>
    <t>"ImageUrl": "img/pics/f3fa45a164ee0394048cc03c5f59d0f0.jpg",</t>
  </si>
  <si>
    <t>"Name": "₹88.04/pc for 6 pcs+",</t>
  </si>
  <si>
    <t>"Price": "88.04"</t>
  </si>
  <si>
    <t>"Name": "₹86.07/pc for 12 pcs+",</t>
  </si>
  <si>
    <t>"Price": "86.07"</t>
  </si>
  <si>
    <t>"Price": "809",</t>
  </si>
  <si>
    <t>"Item": "Schweppes - Ginger Ale, 300 ml (Pack of 24) MRP - 60/pc",</t>
  </si>
  <si>
    <t>"ImageUrl": "img/pics/d680a70a54bfc70050c7523570848201.png",</t>
  </si>
  <si>
    <t>"Name": "₹33.29/pc for 48 pcs+",</t>
  </si>
  <si>
    <t>"Price": "33.29"</t>
  </si>
  <si>
    <t>"Name": "₹32.88/pc for 96 pcs+",</t>
  </si>
  <si>
    <t>"Price": "32.88"</t>
  </si>
  <si>
    <t>"Price": "13.93",</t>
  </si>
  <si>
    <t>"Item": "Real - Pineapple Juice, 180 ml",</t>
  </si>
  <si>
    <t>"ImageUrl": "img/pics/615cd693b425128bd07c33021b27af80.jpg",</t>
  </si>
  <si>
    <t>"Name": "₹13.75/pc for 6 pcs+",</t>
  </si>
  <si>
    <t>"Price": "13.75"</t>
  </si>
  <si>
    <t>"Name": "₹13.66/pc for 12 pcs+",</t>
  </si>
  <si>
    <t>"Price": "83.84",</t>
  </si>
  <si>
    <t>"Item": "Tropicana - Guava, 1 L Tetra Pak",</t>
  </si>
  <si>
    <t>"ImageUrl": "img/pics/418bb38af6b6fd6b485b7dd215cc4757.png",</t>
  </si>
  <si>
    <t>"Name": "₹82.95/pc for 3 pcs+",</t>
  </si>
  <si>
    <t>"Price": "82.95"</t>
  </si>
  <si>
    <t>"Name": "₹82.14/pc for 6 pcs+",</t>
  </si>
  <si>
    <t>"Price": "82.14"</t>
  </si>
  <si>
    <t>"Price": "89.55",</t>
  </si>
  <si>
    <t>"Item": "Real - Litchi Juice, 1 L",</t>
  </si>
  <si>
    <t>"ImageUrl": "img/pics/c341b3330821d5ee7e998cedf7650259.webp",</t>
  </si>
  <si>
    <t>"Name": "₹88.48/pc for 3 pcs+",</t>
  </si>
  <si>
    <t>"Price": "88.48"</t>
  </si>
  <si>
    <t>"Name": "₹87.5/pc for 6 pcs+",</t>
  </si>
  <si>
    <t>"Price": "87.5"</t>
  </si>
  <si>
    <t>"Price": "92.41",</t>
  </si>
  <si>
    <t>"Item": "Tropicana - Pineapple Juice, 1 L",</t>
  </si>
  <si>
    <t>"ImageUrl": "img/pics/aef6f7fab2bde194b4b5c3090169e993.png",</t>
  </si>
  <si>
    <t>"Name": "₹90.8/pc for 3 pcs+",</t>
  </si>
  <si>
    <t>"Price": "90.8"</t>
  </si>
  <si>
    <t>"Name": "₹89.2/pc for 6 pcs+",</t>
  </si>
  <si>
    <t>"Price": "89.2"</t>
  </si>
  <si>
    <t>"Price": "91.16",</t>
  </si>
  <si>
    <t>"Item": "Real - Pomegranate Juice, 1 L",</t>
  </si>
  <si>
    <t>"ImageUrl": "img/pics/33a934de433ea40c46fe03eb2e080e52.jpg",</t>
  </si>
  <si>
    <t>"Name": "₹90.27/pc for 4 pcs+",</t>
  </si>
  <si>
    <t>"Price": "90.27"</t>
  </si>
  <si>
    <t>"Name": "₹89.82/pc for 8 pcs+",</t>
  </si>
  <si>
    <t>"Price": "89.82"</t>
  </si>
  <si>
    <t>"Price": "12.5",</t>
  </si>
  <si>
    <t>"Item": "Real - Litchi Juice, 180 ml",</t>
  </si>
  <si>
    <t>"ImageUrl": "img/pics/8713afe99ac665a098fc60eaeac81a9b.png",</t>
  </si>
  <si>
    <t>"Price": "356.1",</t>
  </si>
  <si>
    <t>"Item": "Vedica Zen - Water Bottle, 500 ml (Pack of 20)",</t>
  </si>
  <si>
    <t>"ImageUrl": "img/pics/8b1f23b5aeb3ff2440b57e2b67cf11ef.png",</t>
  </si>
  <si>
    <t>"Price": "384.41",</t>
  </si>
  <si>
    <t>"Item": "Pepsi - Lehar Soda, 750 ml (Pack of 24), MRP - 20/pc",</t>
  </si>
  <si>
    <t>"ImageUrl": "img/pics/bcfdfa5f13a4c49f145e51625dbaf53e.jpeg",</t>
  </si>
  <si>
    <t>"Name": "₹15.86/pc for 72 pcs+",</t>
  </si>
  <si>
    <t>"Price": "15.86"</t>
  </si>
  <si>
    <t>"Name": "₹15.67/pc for 144 pcs+",</t>
  </si>
  <si>
    <t>"Price": "15.67"</t>
  </si>
  <si>
    <t>"Price": "13.57",</t>
  </si>
  <si>
    <t>"Item": "Real - Pomegranate Juice, 180 ml",</t>
  </si>
  <si>
    <t>"ImageUrl": "img/pics/6956bd4e-aad1-4b82-98c9-eb1a223d5745_RealPomogranateJuice200ml.jpg",</t>
  </si>
  <si>
    <t>"Price": "82.5",</t>
  </si>
  <si>
    <t>"Item": "Tropicana - Mango Juice, 1 L Tetra Pak",</t>
  </si>
  <si>
    <t>"ImageUrl": "img/pics/3252e2aa43bf27f12feee1338d9e3e6b.png",</t>
  </si>
  <si>
    <t>"Price": "104.55",</t>
  </si>
  <si>
    <t>"Item": "Tropicana - Cranberry Juice, 1 L Tetra Pak",</t>
  </si>
  <si>
    <t>"ImageUrl": "img/pics/1220f5cc7ff3b81d187e81840ea72274.jpg",</t>
  </si>
  <si>
    <t>"Name": "₹102.5/pc for 4 pcs+",</t>
  </si>
  <si>
    <t>"Price": "102.5"</t>
  </si>
  <si>
    <t>"Price": "14.02",</t>
  </si>
  <si>
    <t>"Item": "Real - Apple Juice, 180 ml",</t>
  </si>
  <si>
    <t>"ImageUrl": "img/pics/a8c4b9d054fbafd63f88c4041b6fb918.jpg",</t>
  </si>
  <si>
    <t>"Name": "₹13.84/pc for 2 pcs+",</t>
  </si>
  <si>
    <t>"Price": "13.84"</t>
  </si>
  <si>
    <t>"Name": "₹13.66/pc for 4 pcs+",</t>
  </si>
  <si>
    <t>"Price": "89.11",</t>
  </si>
  <si>
    <t>"Item": "Tropicana - Mix Fruit Juice, 1 L Tera Pak",</t>
  </si>
  <si>
    <t>"ImageUrl": "img/pics/acd0563984d0a1d22cf21a69b809363d.png",</t>
  </si>
  <si>
    <t>"Name": "₹88.21/pc for 3 pcs+",</t>
  </si>
  <si>
    <t>"Price": "88.21"</t>
  </si>
  <si>
    <t>"Name": "₹87.32/pc for 6 pcs+",</t>
  </si>
  <si>
    <t>"Price": "87.32"</t>
  </si>
  <si>
    <t>"Price": "393.22",</t>
  </si>
  <si>
    <t>"Item": "Vedica Zen - Water Bottle, 1 L (Pack of 12)",</t>
  </si>
  <si>
    <t>"ImageUrl": "img/pics/1b2116259576da17868297feea913adf.png",</t>
  </si>
  <si>
    <t>"Name": "₹31.27/pc for 24 pcs+",</t>
  </si>
  <si>
    <t>"Price": "31.27"</t>
  </si>
  <si>
    <t>"Name": "₹29.77/pc for 48 pcs+",</t>
  </si>
  <si>
    <t>"Price": "29.77"</t>
  </si>
  <si>
    <t>"Price": "368.21",</t>
  </si>
  <si>
    <t>"Item": "The Original - Nimbu Masala, 200 ml (Pack of 12)",</t>
  </si>
  <si>
    <t>"ImageUrl": "img/pics/af3adb8c97a2a89c318dd1dedae7c2b6.png",</t>
  </si>
  <si>
    <t>"Name": "₹30.22/pc for 36 pcs+",</t>
  </si>
  <si>
    <t>"Price": "30.22"</t>
  </si>
  <si>
    <t>"Name": "₹29.76/pc for 72 pcs+",</t>
  </si>
  <si>
    <t>"Price": "29.76"</t>
  </si>
  <si>
    <t>"Item": "The Original - Aam Panna, 200 ml (Pack of 12)",</t>
  </si>
  <si>
    <t>"ImageUrl": "img/pics/776f71b0647610bdbe8aedbdd5e16436.png",</t>
  </si>
  <si>
    <t>"Price": "80",</t>
  </si>
  <si>
    <t>"Item": "Tropicana - Apple, 1 L Tetra Pak",</t>
  </si>
  <si>
    <t>"ImageUrl": "img/pics/c46f94da4f8d1c40f43748d22123eb40.png",</t>
  </si>
  <si>
    <t>"Price": "753.21",</t>
  </si>
  <si>
    <t>"Item": "Maaza, 600 ml Pet (Pack of 24) MRP - 40/pc",</t>
  </si>
  <si>
    <t>"ImageUrl": "img/pics/15f3b2259021ca809c80ada58228852a.webp",</t>
  </si>
  <si>
    <t>"Name": "₹30.76/pc for 72 pcs+",</t>
  </si>
  <si>
    <t>"Price": "30.76"</t>
  </si>
  <si>
    <t>"Name": "₹29.82/pc for 144 pcs+",</t>
  </si>
  <si>
    <t>"Price": "29.82"</t>
  </si>
  <si>
    <t>"Item": "The Original - Anaar Masala, 200 ml (Pack of 12)",</t>
  </si>
  <si>
    <t>"ImageUrl": "img/pics/9f917a6aa0121bc0aee63177c54aab70.png",</t>
  </si>
  <si>
    <t>"Price": "94.02",</t>
  </si>
  <si>
    <t>"Item": "Tropicana - Pomegranate, 1 L Tetra Pak",</t>
  </si>
  <si>
    <t>"ImageUrl": "img/pics/bdce992b79eb16f9b0e439865d6b82a0.png",</t>
  </si>
  <si>
    <t>"Name": "₹92.05/pc for 3 pcs+",</t>
  </si>
  <si>
    <t>"Price": "92.05"</t>
  </si>
  <si>
    <t>"Name": "₹90/pc for 6 pcs+",</t>
  </si>
  <si>
    <t>"Price": "90"</t>
  </si>
  <si>
    <t>"Price": "93.04",</t>
  </si>
  <si>
    <t>"Item": "Tropicana - Lychee, 1 L Tera Pak",</t>
  </si>
  <si>
    <t>"ImageUrl": "img/pics/1812471d27aa017b56f604b80ceed1dc.png",</t>
  </si>
  <si>
    <t>"Item": "The Original - Jamun Masala, 200 ml (Pack of 12)",</t>
  </si>
  <si>
    <t>"ImageUrl": "img/pics/9fb10175cea0b815107bb7a1f2386041.png",</t>
  </si>
  <si>
    <t>"Price": "425",</t>
  </si>
  <si>
    <t>"Item": "Panama - Masala Shikanji, 1 Kg Pack (Ambient)",</t>
  </si>
  <si>
    <t>"ImageUrl": "img/pics/14aa3c4dc38b75e59c1245df6c59d159.png",</t>
  </si>
  <si>
    <t>"Price": "1400",</t>
  </si>
  <si>
    <t>"Item": "Paper Boat - Chilli Guava, 200 ml (Pack of 45)",</t>
  </si>
  <si>
    <t>"ImageUrl": "img/pics/07b5cec0d5f17238d8224257786e7158.jpg",</t>
  </si>
  <si>
    <t>"MenuId": "39",</t>
  </si>
  <si>
    <t>"Item": "Paper Boat - Aamras, 200 ml (Pack of 45)",</t>
  </si>
  <si>
    <t>"ImageUrl": "img/pics/b2aa85be28e5969bdaa6c24e0fb1ebe6.jpeg",</t>
  </si>
  <si>
    <t>"MenuId": "40",</t>
  </si>
  <si>
    <t>"Price": "938.48",</t>
  </si>
  <si>
    <t>"Item": "Minute Maid - Pulpy Orange, 1 L (Pack of 12)",</t>
  </si>
  <si>
    <t>"ImageUrl": "img/pics/a0149176547a57810cdc483757e06c7a.jpeg",</t>
  </si>
  <si>
    <t>"MenuId": "41",</t>
  </si>
  <si>
    <t>"Price": "34",</t>
  </si>
  <si>
    <t>"Item": "Schweppes - Ginger Ale, 300 ml, MRP - 60/pc",</t>
  </si>
  <si>
    <t>"ImageUrl": "img/pics/0cfb3caa436878e5f201cb1c4ffc0882.webp",</t>
  </si>
  <si>
    <t>"Name": "₹33.36/pc for 3 pcs+",</t>
  </si>
  <si>
    <t>"Price": "33.36"</t>
  </si>
  <si>
    <t>"Name": "₹32.36/pc for 6 pcs+",</t>
  </si>
  <si>
    <t>"Price": "32.36"</t>
  </si>
  <si>
    <t>"MenuId": "42",</t>
  </si>
  <si>
    <t>"Price": "170.85",</t>
  </si>
  <si>
    <t>"Item": "Aquafina - Mineral Water, 250 ml (Pack of 36)",</t>
  </si>
  <si>
    <t>"ImageUrl": "img/pics/495fa784bfef8f8de4ee737a4f5cbfce.jpg",</t>
  </si>
  <si>
    <t>"Name": "₹4.66/pc for 108 pcs+",</t>
  </si>
  <si>
    <t>"Price": "4.66"</t>
  </si>
  <si>
    <t>"Name": "₹4.57/pc for 180 pcs+",</t>
  </si>
  <si>
    <t>"Price": "4.57"</t>
  </si>
  <si>
    <t>"MenuId": "43",</t>
  </si>
  <si>
    <t>"Price": "206.36",</t>
  </si>
  <si>
    <t>"Item": "Kinley - Water, 1 L Bottle (Pack of 15) MRP - 20/pc",</t>
  </si>
  <si>
    <t>"ImageUrl": "img/pics/fb537ceac80621cef9441013bb7018dd.jpg",</t>
  </si>
  <si>
    <t>"Name": "₹13.27/ltr for 45 ltrs+",</t>
  </si>
  <si>
    <t>"Price": "13.27"</t>
  </si>
  <si>
    <t>"Name": "₹12.8/ltr for 90 ltrs+",</t>
  </si>
  <si>
    <t>"Price": "12.8"</t>
  </si>
  <si>
    <t>"MenuId": "44",</t>
  </si>
  <si>
    <t>"Item": "Schweppes - Tonic Water, 300 ml",</t>
  </si>
  <si>
    <t>"ImageUrl": "img/pics/cd433ea1a3dfda64265d84847acea154.webp",</t>
  </si>
  <si>
    <t>"Name": "₹33/pc for 6 pcs+",</t>
  </si>
  <si>
    <t>"Price": "33"</t>
  </si>
  <si>
    <t>"MenuId": "45",</t>
  </si>
  <si>
    <t>"Price": "30",</t>
  </si>
  <si>
    <t>"Item": "Schweppes - Ginger Ale, 300 ml, MRP - 50/pc",</t>
  </si>
  <si>
    <t>"ImageUrl": "img/pics/6c89951c04a8d3eb6d6a7275ed6d55cb.webp",</t>
  </si>
  <si>
    <t>"MenuId": "46",</t>
  </si>
  <si>
    <t>"Price": "13.84",</t>
  </si>
  <si>
    <t>"Item": "Real - Guava Juice, 180 ml",</t>
  </si>
  <si>
    <t>"ImageUrl": "img/pics/aab6a232461ad5fe3c18e5e3a748f540.png",</t>
  </si>
  <si>
    <t>"Name": "₹13.75/pc for 3 pcs+",</t>
  </si>
  <si>
    <t>"Name": "₹13.57/pc for 6 pcs+",</t>
  </si>
  <si>
    <t>"Price": "13.57"</t>
  </si>
  <si>
    <t>"MenuId": "47",</t>
  </si>
  <si>
    <t>"Price": "97.41",</t>
  </si>
  <si>
    <t>"Item": "Real - Grape Juice, 1 L",</t>
  </si>
  <si>
    <t>"ImageUrl": "img/pics/realGrapeJuice.png",</t>
  </si>
  <si>
    <t>"MenuId": "48",</t>
  </si>
  <si>
    <t>"Price": "85.98",</t>
  </si>
  <si>
    <t>"Item": "Real - Guava Juice, 1 L",</t>
  </si>
  <si>
    <t>"ImageUrl": "img/pics/realGuava.png",</t>
  </si>
  <si>
    <t>"SectionName": "Syrups &amp; Crushes ",</t>
  </si>
  <si>
    <t>"SectionOrder": "5",</t>
  </si>
  <si>
    <t>"Price": "269.92",</t>
  </si>
  <si>
    <t>"Item": "Bene Tibi (By Veeba) - Mojito Mint Syrup, 750 ml",</t>
  </si>
  <si>
    <t>"ImageUrl": "img/pics/6d9a62436f807862ec8b12f4bfaba1be.jpg",</t>
  </si>
  <si>
    <t>"Name": "₹267.88/bottle for 2 bottles+",</t>
  </si>
  <si>
    <t>"Price": "267.88"</t>
  </si>
  <si>
    <t>"Name": "₹265.93/bottle for 4 bottles+",</t>
  </si>
  <si>
    <t>"Price": "265.93"</t>
  </si>
  <si>
    <t>"Price": "178.39",</t>
  </si>
  <si>
    <t>"Item": "Mala's - Strawberry Crush, 1L",</t>
  </si>
  <si>
    <t>"ImageUrl": "img/pics/a4bfcfec24a5674441ef8a994705bbca.png",</t>
  </si>
  <si>
    <t>"Name": "₹176.61/bottle for 3 bottles+",</t>
  </si>
  <si>
    <t>"Price": "176.61"</t>
  </si>
  <si>
    <t>"Name": "₹174.82/bottle for 5 bottles+",</t>
  </si>
  <si>
    <t>"Price": "174.82"</t>
  </si>
  <si>
    <t>"Price": "175.54",</t>
  </si>
  <si>
    <t>"Item": "Mala's - Mango Crush, 1 L",</t>
  </si>
  <si>
    <t>"ImageUrl": "img/pics/b3a4d394a032509a003edb8e4570fd84.png",</t>
  </si>
  <si>
    <t>"Name": "₹173.75/bottle for 3 bottles+",</t>
  </si>
  <si>
    <t>"Price": "173.75"</t>
  </si>
  <si>
    <t>"Name": "₹172.05/bottle for 6 bottles+",</t>
  </si>
  <si>
    <t>"Price": "172.05"</t>
  </si>
  <si>
    <t>"Price": "212.68",</t>
  </si>
  <si>
    <t>"Item": "Mapro - Strawberry Crush, 1 L",</t>
  </si>
  <si>
    <t>"ImageUrl": "img/pics/3f491ee3f300df9003663df11fa25ded.jpg",</t>
  </si>
  <si>
    <t>"Name": "₹210.54/bottle for 3 bottles+",</t>
  </si>
  <si>
    <t>"Price": "210.54"</t>
  </si>
  <si>
    <t>"Name": "₹208.39/bottle for 6 bottles+",</t>
  </si>
  <si>
    <t>"Price": "208.39"</t>
  </si>
  <si>
    <t>"Price": "270",</t>
  </si>
  <si>
    <t>"Item": "Bene Tibi (By Veeba) - Water Melon Syrup, 750 ml",</t>
  </si>
  <si>
    <t>"ImageUrl": "img/pics/254a7a43e2057509d736cb3ed306868d.jpg",</t>
  </si>
  <si>
    <t>"Price": "402.32",</t>
  </si>
  <si>
    <t>"Item": "Mapro - Blue Berry Crush, 750 ml",</t>
  </si>
  <si>
    <t>"ImageUrl": "img/pics/961fa37773f4543cd1045bd4280876fe.jpg",</t>
  </si>
  <si>
    <t>"Name": "₹398.3/bottle for 3 bottles+",</t>
  </si>
  <si>
    <t>"Price": "398.3"</t>
  </si>
  <si>
    <t>"Name": "₹394.29/bottle for 6 bottles+",</t>
  </si>
  <si>
    <t>"Price": "394.29"</t>
  </si>
  <si>
    <t>"Price": "278.81",</t>
  </si>
  <si>
    <t>"Item": "Bene Tibi (By Veeba) - Peach Syrup, 750 ml",</t>
  </si>
  <si>
    <t>"ImageUrl": "img/pics/397313db1e071966c16f9f3b277cd2c2.png",</t>
  </si>
  <si>
    <t>"Name": "₹273.81/bottle for 3 bottles+",</t>
  </si>
  <si>
    <t>"Price": "273.81"</t>
  </si>
  <si>
    <t>"Name": "₹268.81/bottle for 6 bottles+",</t>
  </si>
  <si>
    <t>"Price": "268.81"</t>
  </si>
  <si>
    <t>"Price": "216.16",</t>
  </si>
  <si>
    <t>"Item": "Mapro - Mango Crush, 1 L",</t>
  </si>
  <si>
    <t>"ImageUrl": "img/pics/6be28f9aa1827875b07bf6dbe85e9e00.jpg",</t>
  </si>
  <si>
    <t>"Name": "₹213.93/bottle for 3 bottles+",</t>
  </si>
  <si>
    <t>"Price": "213.93"</t>
  </si>
  <si>
    <t>"Name": "₹211.79/bottle for 6 bottles+",</t>
  </si>
  <si>
    <t>"Price": "211.79"</t>
  </si>
  <si>
    <t>"Item": "Bene Tibi (By Veeba) - Blue Curacao Syrup, 750 ml",</t>
  </si>
  <si>
    <t>"ImageUrl": "img/pics/fde686d1cd2f962c1225c5a2766a271c.jpg",</t>
  </si>
  <si>
    <t>"Price": "135.54",</t>
  </si>
  <si>
    <t>"Item": "Golden Crown - Strawberry Fruit Crush, 1 L",</t>
  </si>
  <si>
    <t>"ImageUrl": "img/pics/a73bfddaa5476fce23b5799a28325930.png",</t>
  </si>
  <si>
    <t>"Name": "₹132.77/pc for 3 pcs+",</t>
  </si>
  <si>
    <t>"Price": "132.77"</t>
  </si>
  <si>
    <t>"Name": "₹130.09/pc for 6 pcs+",</t>
  </si>
  <si>
    <t>"Price": "130.09"</t>
  </si>
  <si>
    <t>"Price": "279.92",</t>
  </si>
  <si>
    <t>"Item": "Bene Tibi (By Veeba) - Green Apple Syrup, 750 ml",</t>
  </si>
  <si>
    <t>"ImageUrl": "img/pics/d7269537dddbe62d6cdb3dfb2d872762.jpg",</t>
  </si>
  <si>
    <t>"Name": "₹274.92/bottle for 3 bottles+",</t>
  </si>
  <si>
    <t>"Price": "274.92"</t>
  </si>
  <si>
    <t>"Name": "₹269.92/bottle for 6 bottles+",</t>
  </si>
  <si>
    <t>"Price": "269.92"</t>
  </si>
  <si>
    <t>"Price": "464.07",</t>
  </si>
  <si>
    <t>"Item": "Marimbula - Mojito Mint Syrup, 1 L",</t>
  </si>
  <si>
    <t>"ImageUrl": "img/pics/377ebdc5f3e39ca52183b0c489fabe8b.png",</t>
  </si>
  <si>
    <t>"Name": "₹463.05/bottle for 3 bottles+",</t>
  </si>
  <si>
    <t>"Price": "463.05"</t>
  </si>
  <si>
    <t>"Name": "₹462.03/bottle for 6 bottles+",</t>
  </si>
  <si>
    <t>"Price": "462.03"</t>
  </si>
  <si>
    <t>"Price": "278.05",</t>
  </si>
  <si>
    <t>"Item": "Bene Tibi (By Veeba) - Hazelnut Syrup, 750 ml",</t>
  </si>
  <si>
    <t>"ImageUrl": "img/pics/6c31c22757313f745b8352d86bf5956f.jpg",</t>
  </si>
  <si>
    <t>"Name": "₹273.05/bottle for 3 bottles+",</t>
  </si>
  <si>
    <t>"Price": "273.05"</t>
  </si>
  <si>
    <t>"Name": "₹268.05/bottle for 6 bottles+",</t>
  </si>
  <si>
    <t>"Price": "268.05"</t>
  </si>
  <si>
    <t>"Price": "210.89",</t>
  </si>
  <si>
    <t>"Item": "Mapro - Butterscotch Flavoured Apple Crush, 1 L",</t>
  </si>
  <si>
    <t>"ImageUrl": "img/pics/ca32e4b8598f1afb9564501cc983d696.jpg",</t>
  </si>
  <si>
    <t>"Name": "₹208.75/bottle for 2 bottles+",</t>
  </si>
  <si>
    <t>"Price": "208.75"</t>
  </si>
  <si>
    <t>"Name": "₹206.61/bottle for 4 bottles+",</t>
  </si>
  <si>
    <t>"Price": "206.61"</t>
  </si>
  <si>
    <t>"Price": "162.23",</t>
  </si>
  <si>
    <t>"Item": "Golden Crown - Kiwi Fruit Crush, 1 L",</t>
  </si>
  <si>
    <t>"ImageUrl": "img/pics/f0b49a7577f04b9d5f70c0744e4b964f.png",</t>
  </si>
  <si>
    <t>"Name": "₹159.02/pc for 3 pcs+",</t>
  </si>
  <si>
    <t>"Price": "159.02"</t>
  </si>
  <si>
    <t>"Name": "₹155.71/pc for 6 pcs+",</t>
  </si>
  <si>
    <t>"Price": "155.71"</t>
  </si>
  <si>
    <t>"Price": "204.24",</t>
  </si>
  <si>
    <t>"Item": "Mapro - Rose Sharbat, 1 L",</t>
  </si>
  <si>
    <t>"ImageUrl": "img/pics/0642e9c751375f9d6694e1e0daf8aa8a.jpg",</t>
  </si>
  <si>
    <t>"Name": "₹203.22/bottle for 3 bottles+",</t>
  </si>
  <si>
    <t>"Price": "203.22"</t>
  </si>
  <si>
    <t>"Name": "₹202.2/bottle for 6 bottles+",</t>
  </si>
  <si>
    <t>"Price": "202.2"</t>
  </si>
  <si>
    <t>"Price": "182.23",</t>
  </si>
  <si>
    <t>"Item": "Mala's - Pineapple Crush, 1L",</t>
  </si>
  <si>
    <t>"ImageUrl": "img/pics/9b3c4839524eb183b31aad030099fc0a.png",</t>
  </si>
  <si>
    <t>"Name": "₹180.45/bottle for 3 bottles+",</t>
  </si>
  <si>
    <t>"Price": "180.45"</t>
  </si>
  <si>
    <t>"Name": "₹178.57/bottle for 6 bottles+",</t>
  </si>
  <si>
    <t>"Price": "178.57"</t>
  </si>
  <si>
    <t>"Price": "675",</t>
  </si>
  <si>
    <t>"Item": "Monin - Mojito Mint Syrup, 1 L",</t>
  </si>
  <si>
    <t>"ImageUrl": "img/pics/4209546d2212236d7cab2b37a62e49ed.png",</t>
  </si>
  <si>
    <t>"Name": "₹670/bottle for 2 bottles+",</t>
  </si>
  <si>
    <t>"Price": "670"</t>
  </si>
  <si>
    <t>"Name": "₹665/bottle for 4 bottles+",</t>
  </si>
  <si>
    <t>"Price": "665"</t>
  </si>
  <si>
    <t>"Price": "167.5",</t>
  </si>
  <si>
    <t>"Item": "Mala's - Crush Orange, 1 L",</t>
  </si>
  <si>
    <t>"ImageUrl": "img/pics/b1f2d8da9132b40ef928067a9ce26946.png",</t>
  </si>
  <si>
    <t>"Name": "₹166.7/bottle for 3 bottles+",</t>
  </si>
  <si>
    <t>"Price": "166.7"</t>
  </si>
  <si>
    <t>"Name": "₹165.8/bottle for 6 bottles+",</t>
  </si>
  <si>
    <t>"Price": "165.8"</t>
  </si>
  <si>
    <t>"Item": "Bene Tibi (By Veeba) - Ice Tea Syrup, 750 ml",</t>
  </si>
  <si>
    <t>"ImageUrl": "img/pics/211c918b7cf3872c73a0db1b335b2266.jpg",</t>
  </si>
  <si>
    <t>"Price": "110",</t>
  </si>
  <si>
    <t>"Item": "Golden Crown - Orange Fruit Crush, 1 L",</t>
  </si>
  <si>
    <t>"ImageUrl": "img/pics/da299161676d540f2902ce954896f2f0.png",</t>
  </si>
  <si>
    <t>"Price": "356.07",</t>
  </si>
  <si>
    <t>"Item": "SWA - Jamun Kala Khatta, 500 ml, Ambient",</t>
  </si>
  <si>
    <t>"ImageUrl": "img/pics/db5e731c732ec5fa1a4e42baf0a20bac.png",</t>
  </si>
  <si>
    <t>"Name": "₹355/bottle for 3 bottles+",</t>
  </si>
  <si>
    <t>"Price": "355"</t>
  </si>
  <si>
    <t>"Name": "₹354.02/bottle for 5 bottles+",</t>
  </si>
  <si>
    <t>"Price": "354.02"</t>
  </si>
  <si>
    <t>"Item": "Golden Crown - Pineapple Fruit Crush, 1 L",</t>
  </si>
  <si>
    <t>"ImageUrl": "img/pics/4c1c2518f049673290a4f0fd30020196.png",</t>
  </si>
  <si>
    <t>"Item": "Marimbula - Peach Syrup, 1 L",</t>
  </si>
  <si>
    <t>"ImageUrl": "img/pics/ba8dbe0a390fa34c6022bae321397341.png",</t>
  </si>
  <si>
    <t>"Name": "₹519.07/bottle for 2 bottles+",</t>
  </si>
  <si>
    <t>"Price": "519.07"</t>
  </si>
  <si>
    <t>"Name": "₹518.05/bottle for 4 bottles+",</t>
  </si>
  <si>
    <t>"Price": "518.05"</t>
  </si>
  <si>
    <t>"Item": "SWA - Mango Passion, 500 ml, Ambient",</t>
  </si>
  <si>
    <t>"ImageUrl": "img/pics/62d1f4a802ca5653acc306b54cccc987.png",</t>
  </si>
  <si>
    <t>"Price": "219.64",</t>
  </si>
  <si>
    <t>"Item": "Mapro - Kokum Crush, 1 L",</t>
  </si>
  <si>
    <t>"ImageUrl": "img/pics/f154502b3a2c90298f3b8754457dfc96.jpg",</t>
  </si>
  <si>
    <t>"Name": "₹217.41/bottle for 3 bottles+",</t>
  </si>
  <si>
    <t>"Price": "217.41"</t>
  </si>
  <si>
    <t>"Name": "₹215.27/bottle for 6 bottles+",</t>
  </si>
  <si>
    <t>"Price": "215.27"</t>
  </si>
  <si>
    <t>"Item": "Bene Tibi (By Veeba) - Vanilla Syrup, 750 ml",</t>
  </si>
  <si>
    <t>"ImageUrl": "img/pics/264b20a0e499ad3a4af9ae278f0a366a.png",</t>
  </si>
  <si>
    <t>"Item": "SWA - Summer Berries, 500 ml, Ambient",</t>
  </si>
  <si>
    <t>"ImageUrl": "img/pics/6e9593d14427061bea03b369e429cfaa.png",</t>
  </si>
  <si>
    <t>"Price": "486.02",</t>
  </si>
  <si>
    <t>"Item": "Marimbula - Coconut Syrup, 1 L",</t>
  </si>
  <si>
    <t>"ImageUrl": "img/pics/5340fdd6e6bd7a79fb8043c38ab09d32.jpg",</t>
  </si>
  <si>
    <t>"Name": "₹485/pc for 3 pcs+",</t>
  </si>
  <si>
    <t>"Price": "485"</t>
  </si>
  <si>
    <t>"Name": "₹484.07/pc for 6 pcs+",</t>
  </si>
  <si>
    <t>"Price": "484.07"</t>
  </si>
  <si>
    <t>"Item": "Bene Tibi (By Veeba) - Irish Creme Syrup, 750 ml",</t>
  </si>
  <si>
    <t>"ImageUrl": "img/pics/c2df6a4a39a50daa07a8317be9860fb9.jpg",</t>
  </si>
  <si>
    <t>"Price": "647.12",</t>
  </si>
  <si>
    <t>"Item": "Monin - Passion Fruit Syrup, 1 L",</t>
  </si>
  <si>
    <t>"ImageUrl": "img/pics/b7c56747c038753edad7b29c299a0860.png",</t>
  </si>
  <si>
    <t>"Name": "₹640.59/bottle for 3 bottles+",</t>
  </si>
  <si>
    <t>"Price": "640.59"</t>
  </si>
  <si>
    <t>"Name": "₹634.15/bottle for 6 bottles+",</t>
  </si>
  <si>
    <t>"Price": "634.15"</t>
  </si>
  <si>
    <t>"Price": "216.43",</t>
  </si>
  <si>
    <t>"Item": "Mapro - Pineapple Crush, 1 L",</t>
  </si>
  <si>
    <t>"ImageUrl": "img/pics/5cd614aa4c4af66b3ccd5aec75afdaea.jpg",</t>
  </si>
  <si>
    <t>"Name": "₹214.29/bottle for 3 bottles+",</t>
  </si>
  <si>
    <t>"Price": "214.29"</t>
  </si>
  <si>
    <t>"Name": "₹212.14/bottle for 6 bottles+",</t>
  </si>
  <si>
    <t>"Price": "212.14"</t>
  </si>
  <si>
    <t>"Item": "SWA - Hibiscus Tea, 500 ml, Ambient",</t>
  </si>
  <si>
    <t>"ImageUrl": "img/pics/ce123c05b4deacec6dddeaf25940b66a.png",</t>
  </si>
  <si>
    <t>"Item": "Marimbula - Green Apple Syrup, 1 L",</t>
  </si>
  <si>
    <t>"ImageUrl": "img/pics/83b9f0f7de79fff1c287251369cef52f.png",</t>
  </si>
  <si>
    <t>"Price": "365",</t>
  </si>
  <si>
    <t>"Item": "SWA - Peach Tea, 500 ml/Bottle, Ambient",</t>
  </si>
  <si>
    <t>"ImageUrl": "img/pics/d29ab29d269b72b2fe102b2f34f9fa18.png",</t>
  </si>
  <si>
    <t>"Name": "₹364.02/bottle for 3 bottles+",</t>
  </si>
  <si>
    <t>"Price": "364.02"</t>
  </si>
  <si>
    <t>"Name": "₹362.05/bottle for 5 bottles+",</t>
  </si>
  <si>
    <t>"Price": "362.05"</t>
  </si>
  <si>
    <t>"Item": "SWA - Pineapple Chili, 500 ml, Ambient",</t>
  </si>
  <si>
    <t>"ImageUrl": "img/pics/ff8d77cd4c57095cf899ff1064b4cf04.png",</t>
  </si>
  <si>
    <t>"Price": "467.97",</t>
  </si>
  <si>
    <t>"Item": "Marimbula - Caramel Syrup, 1 L",</t>
  </si>
  <si>
    <t>"ImageUrl": "img/pics/bcc705415288177ec2154bcf26682dca.png",</t>
  </si>
  <si>
    <t>"Name": "₹463.22/bottle for 4 bottles+",</t>
  </si>
  <si>
    <t>"Price": "463.22"</t>
  </si>
  <si>
    <t>"Name": "₹458.56/bottle for 8 bottles+",</t>
  </si>
  <si>
    <t>"Price": "458.56"</t>
  </si>
  <si>
    <t>"Price": "445",</t>
  </si>
  <si>
    <t>"Item": "Marimbula - Vanilla Cream Syrup, 1 L",</t>
  </si>
  <si>
    <t>"ImageUrl": "img/pics/440b284e34fb5f6855333e67f319cc4d.png",</t>
  </si>
  <si>
    <t>"Name": "₹444.07/bottle for 4 bottles+",</t>
  </si>
  <si>
    <t>"Price": "444.07"</t>
  </si>
  <si>
    <t>"Name": "₹443.05/bottle for 8 bottles+",</t>
  </si>
  <si>
    <t>"Price": "443.05"</t>
  </si>
  <si>
    <t>"Price": "648.39",</t>
  </si>
  <si>
    <t>"Item": "Monin - Watermelon Pasteque, 1 L",</t>
  </si>
  <si>
    <t>"ImageUrl": "img/pics/7190092465f91666197a9f9436743e3e.png",</t>
  </si>
  <si>
    <t>"Name": "₹641.95/bottle for 3 bottles+",</t>
  </si>
  <si>
    <t>"Price": "641.95"</t>
  </si>
  <si>
    <t>"Name": "₹635.42/bottle for 6 bottles+",</t>
  </si>
  <si>
    <t>"Price": "635.42"</t>
  </si>
  <si>
    <t>"Item": "Monin - Peach Syrup, 1 L",</t>
  </si>
  <si>
    <t>"ImageUrl": "img/pics/4ec6ee33ab842415a5359dd41ca771a3.png",</t>
  </si>
  <si>
    <t>"Price": "118.04",</t>
  </si>
  <si>
    <t>"Item": "Golden Crown - Litchi Fruit Crush, 1 L",</t>
  </si>
  <si>
    <t>"ImageUrl": "img/pics/bbdb4034eb0ce525efd9e7708c7fe069.png",</t>
  </si>
  <si>
    <t>"Name": "₹117.05/pc for 4 pcs+",</t>
  </si>
  <si>
    <t>"Price": "117.05"</t>
  </si>
  <si>
    <t>"Name": "₹116.07/pc for 8 pcs+",</t>
  </si>
  <si>
    <t>"Price": "116.07"</t>
  </si>
  <si>
    <t>"Item": "Marimbula - Cucumber Syrup, 1 L",</t>
  </si>
  <si>
    <t>"ImageUrl": "img/pics/e52a411e7e4e74205d7b0f46b28a374a.jpg",</t>
  </si>
  <si>
    <t>"Item": "SWA - Lemon Tea, 500 ml, Ambient",</t>
  </si>
  <si>
    <t>"ImageUrl": "img/pics/1cdad33381c8881d1f9c2ab821e3872d.png",</t>
  </si>
  <si>
    <t>"Price": "478.22",</t>
  </si>
  <si>
    <t>"Item": "Marimbula - Hazelnut Syrup, 1 L",</t>
  </si>
  <si>
    <t>"ImageUrl": "img/pics/b1e1e87e3bbe955145e59bee4b2647c8.png",</t>
  </si>
  <si>
    <t>"Name": "₹473.39/bottle for 4 bottles+",</t>
  </si>
  <si>
    <t>"Price": "473.39"</t>
  </si>
  <si>
    <t>"Name": "₹468.64/bottle for 8 bottles+",</t>
  </si>
  <si>
    <t>"Price": "468.64"</t>
  </si>
  <si>
    <t>"Item": "Mapro - Litchi Crush, 1 L",</t>
  </si>
  <si>
    <t>"ImageUrl": "img/pics/a92c86eeca71a3eae6b38cd2fe289541.jpg",</t>
  </si>
  <si>
    <t>"Item": "Monin - Blue Curacao, 1 L",</t>
  </si>
  <si>
    <t>"ImageUrl": "img/pics/9cf01f42e245f305121ce84c9e8130e1.jpg",</t>
  </si>
  <si>
    <t>"Item": "SWA - Passion Fruit Tea, 500 ml, Ambient",</t>
  </si>
  <si>
    <t>"ImageUrl": "img/pics/b6aa1b7cc01d0da0e9d1461a81a1fd50.png",</t>
  </si>
  <si>
    <t>"MenuId": "49",</t>
  </si>
  <si>
    <t>"Item": "SWA - Guava Chili, 500 ml, Ambient",</t>
  </si>
  <si>
    <t>"ImageUrl": "img/pics/fc3bfa7486c38acda752eb0b05408094.png",</t>
  </si>
  <si>
    <t>"MenuId": "50",</t>
  </si>
  <si>
    <t>"Item": "SWA - Kokam Cumin, 500 ml, Ambient",</t>
  </si>
  <si>
    <t>"ImageUrl": "img/pics/c96d80ec45b8f23514ed799f35ce6474.png",</t>
  </si>
  <si>
    <t>"MenuId": "51",</t>
  </si>
  <si>
    <t>"Item": "SWA - Orange Mint, 500 ml, Ambient",</t>
  </si>
  <si>
    <t>"ImageUrl": "img/pics/3661adb7ca3518bb1cb6634d32cdcd81.png",</t>
  </si>
  <si>
    <t>"MenuId": "52",</t>
  </si>
  <si>
    <t>"Price": "638.73",</t>
  </si>
  <si>
    <t>"Item": "Monin - Strawberry Syrup, 1 L",</t>
  </si>
  <si>
    <t>"ImageUrl": "img/pics/d4e13e3cb4fe3837829dcaf25e862962.webp",</t>
  </si>
  <si>
    <t>"MenuId": "53",</t>
  </si>
  <si>
    <t>"Item": "Marimbula - Cinnamon Syrup, 1 L",</t>
  </si>
  <si>
    <t>"ImageUrl": "img/pics/6e881973b6d1001d0bf6112d68aeb486.png",</t>
  </si>
  <si>
    <t>"MenuId": "54",</t>
  </si>
  <si>
    <t>"Item": "SWA - Hazelnut Syrup 500 ml/Bottle, Ambient",</t>
  </si>
  <si>
    <t>"ImageUrl": "img/pics/778d9eeaad611411333d57585024d882.png",</t>
  </si>
  <si>
    <t>"Name": "₹354.02/bottle for 3 bottles+",</t>
  </si>
  <si>
    <t>"Name": "₹352.05/bottle for 6 bottles+",</t>
  </si>
  <si>
    <t>"Price": "352.05"</t>
  </si>
  <si>
    <t>"MenuId": "55",</t>
  </si>
  <si>
    <t>"Price": "481.02",</t>
  </si>
  <si>
    <t>"Item": "Marimbula - Saffron Cream, 1 L",</t>
  </si>
  <si>
    <t>"ImageUrl": "img/pics/629cffad8b294d5a307a3204f31c69a4.png",</t>
  </si>
  <si>
    <t>"Name": "₹480/bottle for 3 bottles+",</t>
  </si>
  <si>
    <t>"Price": "480"</t>
  </si>
  <si>
    <t>"Name": "₹479.07/bottle for 6 bottles+",</t>
  </si>
  <si>
    <t>"Price": "479.07"</t>
  </si>
  <si>
    <t>"MenuId": "56",</t>
  </si>
  <si>
    <t>"Item": "SWA - Mojito Mint, 500 ml, Ambient",</t>
  </si>
  <si>
    <t>"ImageUrl": "img/pics/2b3cc1543aad0503bed9968e007af11b.png",</t>
  </si>
  <si>
    <t>"MenuId": "57",</t>
  </si>
  <si>
    <t>"Item": "Marimbula - Watermelon Syrup, 1 L",</t>
  </si>
  <si>
    <t>"ImageUrl": "img/pics/1cba3aab19704493ed1881c1b6ba5956.png",</t>
  </si>
  <si>
    <t>"Name": "₹518.05/bottle for 2 bottles+",</t>
  </si>
  <si>
    <t>"Name": "₹516.02/bottle for 4 bottles+",</t>
  </si>
  <si>
    <t>"Price": "516.02"</t>
  </si>
  <si>
    <t>"MenuId": "58",</t>
  </si>
  <si>
    <t>"Price": "471.02",</t>
  </si>
  <si>
    <t>"Item": "Marimbula - Blue Curacao, 1 L",</t>
  </si>
  <si>
    <t>"ImageUrl": "img/pics/fbe71d88-9d14-4b8d-b13e-f725a7d2d637_MarimbulaBlueCuracao1000ml.jpg",</t>
  </si>
  <si>
    <t>"Name": "₹469.07/bottle for 2 bottles+",</t>
  </si>
  <si>
    <t>"Price": "469.07"</t>
  </si>
  <si>
    <t>"Name": "₹467.03/bottle for 4 bottles+",</t>
  </si>
  <si>
    <t>"Price": "467.03"</t>
  </si>
  <si>
    <t>"MenuId": "59",</t>
  </si>
  <si>
    <t>"Price": "687.03",</t>
  </si>
  <si>
    <t>"Item": "Monin - Raspberry Syrup, 1 L",</t>
  </si>
  <si>
    <t>"ImageUrl": "img/pics/859aa5559f498625c0999bc49f78599e.png",</t>
  </si>
  <si>
    <t>"Name": "₹682.03/pc for 2 pcs+",</t>
  </si>
  <si>
    <t>"Price": "682.03"</t>
  </si>
  <si>
    <t>"Name": "₹677.03/pc for 4 pcs+",</t>
  </si>
  <si>
    <t>"Price": "677.03"</t>
  </si>
  <si>
    <t>"MenuId": "60",</t>
  </si>
  <si>
    <t>"Price": "357.05",</t>
  </si>
  <si>
    <t>"Item": "SWA - Lychee Lemon, 500 ml/Bottle, Ambient",</t>
  </si>
  <si>
    <t>"ImageUrl": "img/pics/3f51081fec61ad239ac5f993f89b5fee.png",</t>
  </si>
  <si>
    <t>"Name": "₹348.04/bottle for 2 bottles+",</t>
  </si>
  <si>
    <t>"Price": "348.04"</t>
  </si>
  <si>
    <t>"Name": "₹341.07/bottle for 4 bottles+",</t>
  </si>
  <si>
    <t>"Price": "341.07"</t>
  </si>
  <si>
    <t>"MenuId": "61",</t>
  </si>
  <si>
    <t>"Item": "Marimbula - Irish Cream Syrup, 1 L",</t>
  </si>
  <si>
    <t>"ImageUrl": "img/pics/8b14ce9d246be93f13eeaa41d2f0e11a.png",</t>
  </si>
  <si>
    <t>"MenuId": "62",</t>
  </si>
  <si>
    <t>"Price": "280",</t>
  </si>
  <si>
    <t>"Item": "Bene Tibi (By Veeba) - Malt Syrup, 750 ml",</t>
  </si>
  <si>
    <t>"ImageUrl": "img/pics/f148934f0b1159787baa9919f18f16c8.png",</t>
  </si>
  <si>
    <t>"Name": "₹275/bottle for 3 bottles+",</t>
  </si>
  <si>
    <t>"Price": "275"</t>
  </si>
  <si>
    <t>"Name": "₹270/bottle for 6 bottles+",</t>
  </si>
  <si>
    <t>"Price": "270"</t>
  </si>
  <si>
    <t>"MenuId": "63",</t>
  </si>
  <si>
    <t>"Item": "SWA - Berry Tea, 500 ml/Bottle, Ambient",</t>
  </si>
  <si>
    <t>"ImageUrl": "img/pics/b7d557bc1da5839cb1a6a161d975df6b.png",</t>
  </si>
  <si>
    <t>"MenuId": "64",</t>
  </si>
  <si>
    <t>"Item": "SWA - Lemon Ginger Naariyal Paani, 500 ml, Ambient",</t>
  </si>
  <si>
    <t>"ImageUrl": "img/pics/b2b543cd7f95d6fca2e564b997671fc3.png",</t>
  </si>
  <si>
    <t>"MenuId": "65",</t>
  </si>
  <si>
    <t>"Price": "118.57",</t>
  </si>
  <si>
    <t>"Item": "Mala's - Paan Shot Syrup, 750 ml",</t>
  </si>
  <si>
    <t>"ImageUrl": "img/pics/e3c8ec12cb99ead5c52fbc5568a8226e.png",</t>
  </si>
  <si>
    <t>"MenuId": "66",</t>
  </si>
  <si>
    <t>"Item": "Mala's - Watermelon Syrup, 750 ml",</t>
  </si>
  <si>
    <t>"ImageUrl": "img/pics/f2b111de4870aa3f07d927756eadc8a4.png",</t>
  </si>
  <si>
    <t>"MenuId": "67",</t>
  </si>
  <si>
    <t>"Price": "208.57",</t>
  </si>
  <si>
    <t>"Item": "Mala's - Transparent Mojito Mint Syrup, 750 ml",</t>
  </si>
  <si>
    <t>"ImageUrl": "img/pics/af6b701b9ee872370e0393896117c241.png",</t>
  </si>
  <si>
    <t>"MenuId": "68",</t>
  </si>
  <si>
    <t>"Item": "Mala's - Green Mint Mocktail Syrup, 750 ml",</t>
  </si>
  <si>
    <t>"ImageUrl": "img/pics/c50cf517e8a693f014d27937f5ffe562.jpg",</t>
  </si>
  <si>
    <t>"MenuId": "69",</t>
  </si>
  <si>
    <t>"Item": "Mala's - Blue Curacao Mocktail Syrup, 750 ml",</t>
  </si>
  <si>
    <t>"ImageUrl": "img/pics/3dd0b99d9b3de0a85d0f0d9297dae42c.jpg",</t>
  </si>
  <si>
    <t>"MenuId": "70",</t>
  </si>
  <si>
    <t>"Price": "123.57",</t>
  </si>
  <si>
    <t>"Item": "Mala's - Lime Cordial, 750 ml",</t>
  </si>
  <si>
    <t>"ImageUrl": "img/pics/c664d3b38459aa71f1b7ab1e4912f203.png",</t>
  </si>
  <si>
    <t>"Name": "₹121.61/pc for 2 pcs+",</t>
  </si>
  <si>
    <t>"Price": "121.61"</t>
  </si>
  <si>
    <t>"Name": "₹119.64/pc for 4 pcs+",</t>
  </si>
  <si>
    <t>"Price": "119.64"</t>
  </si>
  <si>
    <t>"MenuId": "71",</t>
  </si>
  <si>
    <t>"Item": "SWA - Tamarind Shikanji, 500 ml/Bottle, Ambient",</t>
  </si>
  <si>
    <t>"ImageUrl": "img/pics/18ca8a5df93e3c1eee136c37ca0fa2f1.png",</t>
  </si>
  <si>
    <t>"MenuId": "72",</t>
  </si>
  <si>
    <t>"Price": "178.57",</t>
  </si>
  <si>
    <t>"Item": "Manama - Mango Crush, 1 L",</t>
  </si>
  <si>
    <t>"ImageUrl": "img/pics/1d11af4439d61d0565e5d912f407cc43.png",</t>
  </si>
  <si>
    <t>"Name": "₹176.79/bottle for 3 bottles+",</t>
  </si>
  <si>
    <t>"Price": "176.79"</t>
  </si>
  <si>
    <t>"Name": "₹174.11/bottle for 6 bottles+",</t>
  </si>
  <si>
    <t>"Price": "174.11"</t>
  </si>
  <si>
    <t>"MenuId": "73",</t>
  </si>
  <si>
    <t>"Price": "178.64",</t>
  </si>
  <si>
    <t>"Item": "Manama - Rose Syrup, 1 L",</t>
  </si>
  <si>
    <t>"ImageUrl": "img/pics/884d60905cc9d67e3b6061e82f063a7a.png",</t>
  </si>
  <si>
    <t>"Name": "₹176.78/pc for 3 pcs+",</t>
  </si>
  <si>
    <t>"Price": "176.78"</t>
  </si>
  <si>
    <t>"Name": "₹174.15/pc for 6 pcs+",</t>
  </si>
  <si>
    <t>"Price": "174.15"</t>
  </si>
  <si>
    <t>"MenuId": "74",</t>
  </si>
  <si>
    <t>"Price": "86.44",</t>
  </si>
  <si>
    <t>"Item": "Golden Crown - Rose Syrup, 700 ml",</t>
  </si>
  <si>
    <t>"ImageUrl": "img/pics/6c2da60979c7ef80d192a03c12d8c300.jpg",</t>
  </si>
  <si>
    <t>"Name": "₹84.75/pc for 3 pcs+",</t>
  </si>
  <si>
    <t>"Price": "84.75"</t>
  </si>
  <si>
    <t>"Name": "₹82.97/pc for 6 pcs+",</t>
  </si>
  <si>
    <t>"Price": "82.97"</t>
  </si>
  <si>
    <t>"MenuId": "75",</t>
  </si>
  <si>
    <t>"Price": "169.29",</t>
  </si>
  <si>
    <t>"Item": "Manama - Pineapple Crush, 1 L",</t>
  </si>
  <si>
    <t>"ImageUrl": "img/pics/e677616719246d11a18088087506a634.png",</t>
  </si>
  <si>
    <t>"Name": "₹167.32/bottle for 2 bottles+",</t>
  </si>
  <si>
    <t>"Price": "167.32"</t>
  </si>
  <si>
    <t>"Name": "₹165.36/bottle for 4 bottles+",</t>
  </si>
  <si>
    <t>"Price": "165.36"</t>
  </si>
  <si>
    <t>"MenuId": "76",</t>
  </si>
  <si>
    <t>"Price": "183.12",</t>
  </si>
  <si>
    <t>"Item": "Manama - Strawberry Crush, 1 L",</t>
  </si>
  <si>
    <t>"ImageUrl": "img/pics/387301273b4ed72e5d44a547db02f22c.png",</t>
  </si>
  <si>
    <t>"Name": "₹181.25/bottle for 3 bottles+",</t>
  </si>
  <si>
    <t>"Price": "181.25"</t>
  </si>
  <si>
    <t>"Name": "₹179.46/bottle for 6 bottles+",</t>
  </si>
  <si>
    <t>"Price": "179.46"</t>
  </si>
  <si>
    <t>"MenuId": "77",</t>
  </si>
  <si>
    <t>"Price": "168.21",</t>
  </si>
  <si>
    <t>"Item": "Manama - Orange Crush, 1 L",</t>
  </si>
  <si>
    <t>"ImageUrl": "img/pics/e0bdda3ac035078d03d34e45dce35233.png",</t>
  </si>
  <si>
    <t>"Name": "₹166.52/bottle for 3 bottles+",</t>
  </si>
  <si>
    <t>"Price": "166.52"</t>
  </si>
  <si>
    <t>"Name": "₹164.82/bottle for 6 bottles+",</t>
  </si>
  <si>
    <t>"Price": "164.82"</t>
  </si>
  <si>
    <t>"MenuId": "78",</t>
  </si>
  <si>
    <t>"Price": "166.61",</t>
  </si>
  <si>
    <t>"Item": "Marimbula - Mango Crush, 1 L",</t>
  </si>
  <si>
    <t>"ImageUrl": "img/pics/184a9892fce745c64ef8c18ff439ba3f.png",</t>
  </si>
  <si>
    <t>"MenuId": "79",</t>
  </si>
  <si>
    <t>"Price": "100",</t>
  </si>
  <si>
    <t>"Item": "Marimbula - Cumin Spice Syrup, 1 L",</t>
  </si>
  <si>
    <t>"ImageUrl": "img/pics/6508dc64fe475d02a8932b2712e42b1e.png",</t>
  </si>
  <si>
    <t>"MenuId": "80",</t>
  </si>
  <si>
    <t>"Item": "Marimbula - Mango Syrup, 1 L",</t>
  </si>
  <si>
    <t>"ImageUrl": "img/pics/a387fcbbe12e2aff153f336a3bc23769.png",</t>
  </si>
  <si>
    <t>"MenuId": "81",</t>
  </si>
  <si>
    <t>"Price": "279.91",</t>
  </si>
  <si>
    <t>"Item": "Bene Tibi (By Veeba) - Spicy Mango Syrup, 750 ml",</t>
  </si>
  <si>
    <t>"ImageUrl": "img/pics/23d9c1fcbddbd2698762bde7168a8e47.jpg",</t>
  </si>
  <si>
    <t>"Name": "₹274.91/bottle for 3 bottles+",</t>
  </si>
  <si>
    <t>"Price": "274.91"</t>
  </si>
  <si>
    <t>"Name": "₹269.91/bottle for 6 bottles+",</t>
  </si>
  <si>
    <t>"Price": "269.91"</t>
  </si>
  <si>
    <t>"MenuId": "82",</t>
  </si>
  <si>
    <t>"Item": "Bene Tibi (By Veeba) - Spicy Lemonade Syrup, 750 ml",</t>
  </si>
  <si>
    <t>"ImageUrl": "img/pics/318ebfc9a78d834a5559da089827a45e.png",</t>
  </si>
  <si>
    <t>"MenuId": "83",</t>
  </si>
  <si>
    <t>"Price": "275",</t>
  </si>
  <si>
    <t>"Item": "Bene Tibi (By Veeba) - Pina Colada Syrup, 750 ml",</t>
  </si>
  <si>
    <t>"ImageUrl": "img/pics/d57e1b2431756e5a8dc4d82d07021b85.png",</t>
  </si>
  <si>
    <t>"Name": "₹270/pc for 3 pcs+",</t>
  </si>
  <si>
    <t>"Name": "₹265/pc for 6 pcs+",</t>
  </si>
  <si>
    <t>"Price": "265"</t>
  </si>
  <si>
    <t>"MenuId": "84",</t>
  </si>
  <si>
    <t>"Item": "Bene Tibi (By Veeba) - Kala Khatta Syrup, 750 ml",</t>
  </si>
  <si>
    <t>"ImageUrl": "img/pics/d9c56199e43bcc62f2944b29c4749a63.png",</t>
  </si>
  <si>
    <t>"MenuId": "85",</t>
  </si>
  <si>
    <t>"Item": "Bene Tibi (By Veeba) - Grenadine Syrup, 750 ml",</t>
  </si>
  <si>
    <t>"ImageUrl": "img/pics/412b8c11011abb5494565a10f54bdf59.png",</t>
  </si>
  <si>
    <t>"MenuId": "86",</t>
  </si>
  <si>
    <t>"Price": "259.92",</t>
  </si>
  <si>
    <t>"Item": "Bene Tibi (By Veeba) - Chilli Guava Syrup, 750 ml",</t>
  </si>
  <si>
    <t>"ImageUrl": "img/pics/a6f53b47a8b1f5162db3d46fed7e6acb.png",</t>
  </si>
  <si>
    <t>"Name": "₹254.92/pc for 3 pcs+",</t>
  </si>
  <si>
    <t>"Price": "254.92"</t>
  </si>
  <si>
    <t>"Name": "₹249.92/pc for 6 pcs+",</t>
  </si>
  <si>
    <t>"Price": "249.92"</t>
  </si>
  <si>
    <t>"MenuId": "87",</t>
  </si>
  <si>
    <t>"Item": "Bene Tibi (By Veeba) - Bubble Gum Syrup, 750 ml",</t>
  </si>
  <si>
    <t>"ImageUrl": "img/pics/ce34475d7cdd5d8a1633eeb16220d2a7.png",</t>
  </si>
  <si>
    <t>"MenuId": "88",</t>
  </si>
  <si>
    <t>"Price": "577.03",</t>
  </si>
  <si>
    <t>"Item": "Monin - Sangria Syrup, 700 ml",</t>
  </si>
  <si>
    <t>"ImageUrl": "img/pics/4d69cea80825e80b0213bd7a875fd314.jpg",</t>
  </si>
  <si>
    <t>"Name": "₹574.58/bottle for 4 bottles+",</t>
  </si>
  <si>
    <t>"Price": "574.58"</t>
  </si>
  <si>
    <t>"Name": "₹574.07/bottle for 8 bottles+",</t>
  </si>
  <si>
    <t>"Price": "574.07"</t>
  </si>
  <si>
    <t>"MenuId": "89",</t>
  </si>
  <si>
    <t>"Price": "540",</t>
  </si>
  <si>
    <t>"Item": "Monin - Orange Syrup, 700 ml",</t>
  </si>
  <si>
    <t>"ImageUrl": "img/pics/981801ad106eecd2014999d3a6601ad7.jpg",</t>
  </si>
  <si>
    <t>"MenuId": "90",</t>
  </si>
  <si>
    <t>"Price": "535",</t>
  </si>
  <si>
    <t>"Item": "Monin - Guava Syrup, 700 ml",</t>
  </si>
  <si>
    <t>"ImageUrl": "img/pics/51f4e9cc46401c76aebb1bfc075bfdce.png",</t>
  </si>
  <si>
    <t>"Name": "₹530/bottle for 3 bottles+",</t>
  </si>
  <si>
    <t>"Price": "530"</t>
  </si>
  <si>
    <t>"Name": "₹525/bottle for 6 bottles+",</t>
  </si>
  <si>
    <t>"Price": "525"</t>
  </si>
  <si>
    <t>"MenuId": "91",</t>
  </si>
  <si>
    <t>"Price": "591.78",</t>
  </si>
  <si>
    <t>"Item": "Monin - Butterscotch Syrup, 700 ml",</t>
  </si>
  <si>
    <t>"ImageUrl": "img/pics/f0bf02f881d32a386512ccb80590aa1c.jpg",</t>
  </si>
  <si>
    <t>"Name": "₹585.85/bottle for 3 bottles+",</t>
  </si>
  <si>
    <t>"Price": "585.85"</t>
  </si>
  <si>
    <t>"Name": "₹580/bottle for 6 bottles+",</t>
  </si>
  <si>
    <t>"Price": "580"</t>
  </si>
  <si>
    <t>"MenuId": "92",</t>
  </si>
  <si>
    <t>"Item": "Monin - Blackberry Syrup, 700 ml",</t>
  </si>
  <si>
    <t>"ImageUrl": "img/pics/0df2e834b56d734ea5b49415f24faeb3.jpg",</t>
  </si>
  <si>
    <t>"MenuId": "93",</t>
  </si>
  <si>
    <t>"Price": "540.42",</t>
  </si>
  <si>
    <t>"Item": "Monin - Amaretto Syrup, 700 ml",</t>
  </si>
  <si>
    <t>"ImageUrl": "img/pics/f74d23744ea738d7f72540cf8489bd04.png",</t>
  </si>
  <si>
    <t>"MenuId": "94",</t>
  </si>
  <si>
    <t>"Price": "964.02",</t>
  </si>
  <si>
    <t>"Item": "Monin - Strawberry Fruit Mix, 1 L",</t>
  </si>
  <si>
    <t>"ImageUrl": "img/pics/5ab67f30d279bcf7f122af10fa3c11fc.jpg",</t>
  </si>
  <si>
    <t>"MenuId": "95",</t>
  </si>
  <si>
    <t>"Price": "500",</t>
  </si>
  <si>
    <t>"Item": "Monin - Raspberry Fruit Mix, 1 L",</t>
  </si>
  <si>
    <t>"ImageUrl": "img/pics/a72616f62f75bff07e5197b9ce665bd3.jpg",</t>
  </si>
  <si>
    <t>"MenuId": "96",</t>
  </si>
  <si>
    <t>"Price": "1010",</t>
  </si>
  <si>
    <t>"Item": "Monin - Peach Fruit Mix, 1 L",</t>
  </si>
  <si>
    <t>"ImageUrl": "img/pics/d69f27b07a71de555afdc681b76c35cc.jpg",</t>
  </si>
  <si>
    <t>"MenuId": "97",</t>
  </si>
  <si>
    <t>"Price": "965",</t>
  </si>
  <si>
    <t>"Item": "Monin - Passion Fruit Mix, 1 L",</t>
  </si>
  <si>
    <t>"ImageUrl": "img/pics/167f1dbc0680e02942658c2178b093f1.jpeg",</t>
  </si>
  <si>
    <t>"MenuId": "98",</t>
  </si>
  <si>
    <t>"Price": "369.02",</t>
  </si>
  <si>
    <t>"Item": "Monin - Lichi Fruit Mix, 1 L",</t>
  </si>
  <si>
    <t>"ImageUrl": "img/pics/07287b87d915c251e7300fe85e18376e.jpg",</t>
  </si>
  <si>
    <t>"MenuId": "99",</t>
  </si>
  <si>
    <t>"Price": "490",</t>
  </si>
  <si>
    <t>"Item": "Monin - Kiwi Fruit Mix, 1 L",</t>
  </si>
  <si>
    <t>"ImageUrl": "img/pics/fcdcb1c2e09804df4171a1652f0fbe98.jpg",</t>
  </si>
  <si>
    <t>"MenuId": "100",</t>
  </si>
  <si>
    <t>"Item": "Monin - Blueberry Fruit Mix, 1 L",</t>
  </si>
  <si>
    <t>"ImageUrl": "img/pics/cbc88b48195bb0d82c4e33c0ee4e1320.png",</t>
  </si>
  <si>
    <t>"MenuId": "101",</t>
  </si>
  <si>
    <t>"Price": "655",</t>
  </si>
  <si>
    <t>"Item": "Monin - Triple Sec Curacao, 1 L",</t>
  </si>
  <si>
    <t>"ImageUrl": "img/pics/e5d02f73ca8b23256c7066f342278e98.png",</t>
  </si>
  <si>
    <t>"MenuId": "102",</t>
  </si>
  <si>
    <t>"Item": "Monin - Pomegranate Syrup, 1 L",</t>
  </si>
  <si>
    <t>"ImageUrl": "img/pics/e76a34e2c8b42d2375e946bd5a1248d7.png",</t>
  </si>
  <si>
    <t>"MenuId": "103",</t>
  </si>
  <si>
    <t>"Price": "642.29",</t>
  </si>
  <si>
    <t>"Item": "Monin - Pink Grapefruit Syrup, 1 L",</t>
  </si>
  <si>
    <t>"ImageUrl": "img/pics/b6da7905f063801bda67c526809c8f85.jpg",</t>
  </si>
  <si>
    <t>"MenuId": "104",</t>
  </si>
  <si>
    <t>"Price": "685",</t>
  </si>
  <si>
    <t>"Item": "Monin - Lemon Tea Syrup, 1 L",</t>
  </si>
  <si>
    <t>"ImageUrl": "img/pics/e5f2ea0b4b1bbaedda5adb128ce6b0bf.png",</t>
  </si>
  <si>
    <t>"MenuId": "105",</t>
  </si>
  <si>
    <t>"Item": "Monin - Green Mint Syrup, 1 L",</t>
  </si>
  <si>
    <t>"ImageUrl": "img/pics/d6acd83b40fac592f2c6ae6e5ccd0cde.jpg",</t>
  </si>
  <si>
    <t>"MenuId": "106",</t>
  </si>
  <si>
    <t>"Item": "Monin - Cucumber Syrup, 1 L",</t>
  </si>
  <si>
    <t>"ImageUrl": "img/pics/d72f0bdf3d250bcd033e6ca6f0a4c67e.jpg",</t>
  </si>
  <si>
    <t>"MenuId": "107",</t>
  </si>
  <si>
    <t>"Price": "648.22",</t>
  </si>
  <si>
    <t>"Item": "Monin - Cinnamon Syrup, 1 L",</t>
  </si>
  <si>
    <t>"ImageUrl": "img/pics/fb03af2691d04c6a76d76caf2b952617.jpg",</t>
  </si>
  <si>
    <t>"MenuId": "108",</t>
  </si>
  <si>
    <t>"Price": "646.02",</t>
  </si>
  <si>
    <t>"Item": "Monin - Caramel Syrup, 1 L",</t>
  </si>
  <si>
    <t>"ImageUrl": "img/pics/02443e13b8bbebb91d4fbdfeb039dfb1.jpg",</t>
  </si>
  <si>
    <t>"MenuId": "109",</t>
  </si>
  <si>
    <t>"Price": "590",</t>
  </si>
  <si>
    <t>"Item": "Monin - Blood Orange Syrup, 1 L",</t>
  </si>
  <si>
    <t>"ImageUrl": "img/pics/f0469d120cfb6fc5851abab43bc66644.jpg",</t>
  </si>
  <si>
    <t>"MenuId": "110",</t>
  </si>
  <si>
    <t>"Price": "492.63",</t>
  </si>
  <si>
    <t>"Item": "Mathieu Teisseire - Kiwi, 1 L",</t>
  </si>
  <si>
    <t>"ImageUrl": "img/pics/1328ed0ef6714a9497432f4d0b57d615.jpg",</t>
  </si>
  <si>
    <t>"MenuId": "111",</t>
  </si>
  <si>
    <t>"Price": "527.71",</t>
  </si>
  <si>
    <t>"Item": "Mathieu Teisseire - Green Mint, 1 L",</t>
  </si>
  <si>
    <t>"ImageUrl": "img/pics/ce7cc90bfc70a652ad1efe3e0125a5a8.jpg",</t>
  </si>
  <si>
    <t>"MenuId": "112",</t>
  </si>
  <si>
    <t>"Price": "512.71",</t>
  </si>
  <si>
    <t>"Item": "Mathieu Teisseire - Cinnamon, 1 L",</t>
  </si>
  <si>
    <t>"ImageUrl": "img/pics/854db44b9334172b40a2c56d25d4f11b.jpg",</t>
  </si>
  <si>
    <t>"Name": "₹509.83/bottle for 3 bottles+",</t>
  </si>
  <si>
    <t>"Price": "509.83"</t>
  </si>
  <si>
    <t>"MenuId": "113",</t>
  </si>
  <si>
    <t>"Price": "643.56",</t>
  </si>
  <si>
    <t>"Item": "Monin - Hazelnut Syrup, 1 L",</t>
  </si>
  <si>
    <t>"ImageUrl": "img/pics/bb3bec6b3f25b7d96aa1d31eb7369993.jpg",</t>
  </si>
  <si>
    <t>"Name": "₹637.12/bottle for 3 bottles+",</t>
  </si>
  <si>
    <t>"Price": "637.12"</t>
  </si>
  <si>
    <t>"Name": "₹630.68/bottle for 6 bottles+",</t>
  </si>
  <si>
    <t>"Price": "630.68"</t>
  </si>
  <si>
    <t>"MenuId": "114",</t>
  </si>
  <si>
    <t>"Item": "Monin - Coconut Syrup, 1 L",</t>
  </si>
  <si>
    <t>"ImageUrl": "img/pics/f8c50664c33b3f25a0d543807d9e5ea4.png",</t>
  </si>
  <si>
    <t>"MenuId": "115",</t>
  </si>
  <si>
    <t>"Price": "163.04",</t>
  </si>
  <si>
    <t>"Item": "Mala's - Strawberry Crush, 1 L",</t>
  </si>
  <si>
    <t>"ImageUrl": "img/pics/bafb07de96d309dccdb401e9db460b64.png",</t>
  </si>
  <si>
    <t>"Name": "₹162.05/bottle for 3 bottles+",</t>
  </si>
  <si>
    <t>"Price": "162.05"</t>
  </si>
  <si>
    <t>"Name": "₹161.07/bottle for 5 bottles+",</t>
  </si>
  <si>
    <t>"Price": "161.07"</t>
  </si>
  <si>
    <t>"MenuId": "116",</t>
  </si>
  <si>
    <t>"Price": "162.05",</t>
  </si>
  <si>
    <t>"Item": "Mala's - Guava Crush, 1 L",</t>
  </si>
  <si>
    <t>"ImageUrl": "img/pics/3d794f2abce233e235de2cda64a287f3.png",</t>
  </si>
  <si>
    <t>"Name": "₹161.07/bottle for 3 bottles+",</t>
  </si>
  <si>
    <t>"Name": "₹160/bottle for 6 bottles+",</t>
  </si>
  <si>
    <t>"Price": "160"</t>
  </si>
  <si>
    <t>"MenuId": "117",</t>
  </si>
  <si>
    <t>"Item": "Mala's - Pineapple Crush, 1 L",</t>
  </si>
  <si>
    <t>"ImageUrl": "img/pics/ec19e3cbb6a4ca0b26ac644650a90d8a.png",</t>
  </si>
  <si>
    <t>"MenuId": "118",</t>
  </si>
  <si>
    <t>"Price": "145.54",</t>
  </si>
  <si>
    <t>"Item": "Mala's - Litchi Crush, 1 L",</t>
  </si>
  <si>
    <t>"ImageUrl": "img/pics/cd2486e5a69f4ce257a1b3c07729a750.png",</t>
  </si>
  <si>
    <t>"Name": "₹143.48/bottle for 3 bottles+",</t>
  </si>
  <si>
    <t>"Price": "143.48"</t>
  </si>
  <si>
    <t>"Name": "₹141.52/bottle for 6 bottles+",</t>
  </si>
  <si>
    <t>"Price": "141.52"</t>
  </si>
  <si>
    <t>"MenuId": "119",</t>
  </si>
  <si>
    <t>"Price": "360.54",</t>
  </si>
  <si>
    <t>"Item": "Mala's - Blueberry Crush, 1 L",</t>
  </si>
  <si>
    <t>"ImageUrl": "img/pics/30ce9100c8e5e68edea4966b7da0afc3.png",</t>
  </si>
  <si>
    <t>"Name": "₹359.55/bottle for 3 bottles+",</t>
  </si>
  <si>
    <t>"Price": "359.55"</t>
  </si>
  <si>
    <t>"Name": "₹358.57/bottle for 6 bottles+",</t>
  </si>
  <si>
    <t>"Price": "358.57"</t>
  </si>
  <si>
    <t>"MenuId": "120",</t>
  </si>
  <si>
    <t>"Price": "159.02",</t>
  </si>
  <si>
    <t>"Item": "Mala's - Green Apple Crush, 1 L",</t>
  </si>
  <si>
    <t>"ImageUrl": "img/pics/646c9a3cf13aeef5f5a3ed1883f32709.png",</t>
  </si>
  <si>
    <t>"Name": "₹158.04/bottle for 3 bottles+",</t>
  </si>
  <si>
    <t>"Price": "158.04"</t>
  </si>
  <si>
    <t>"Name": "₹157.05/bottle for 6 bottles+",</t>
  </si>
  <si>
    <t>"Price": "157.05"</t>
  </si>
  <si>
    <t>"MenuId": "121",</t>
  </si>
  <si>
    <t>"Price": "161.07",</t>
  </si>
  <si>
    <t>"Item": "Mala's - Black Currant Crush, 1 L",</t>
  </si>
  <si>
    <t>"ImageUrl": "img/pics/de0b7f1e62b29ce0f42a7f53bc2c895e.png",</t>
  </si>
  <si>
    <t>"Name": "₹160/bottle for 3 bottles+",</t>
  </si>
  <si>
    <t>"Name": "₹159.02/bottle for 6 bottles+",</t>
  </si>
  <si>
    <t>"MenuId": "122",</t>
  </si>
  <si>
    <t>"Price": "160",</t>
  </si>
  <si>
    <t>"Item": "Mala's - Butterscotch Crush, 1 L",</t>
  </si>
  <si>
    <t>"ImageUrl": "img/pics/39d1f684271e7ad0c580db793e24e589.png",</t>
  </si>
  <si>
    <t>"Name": "₹159.02/bottle for 3 bottles+",</t>
  </si>
  <si>
    <t>"Name": "₹158.04/bottle for 6 bottles+",</t>
  </si>
  <si>
    <t>"MenuId": "123",</t>
  </si>
  <si>
    <t>"Price": "221.07",</t>
  </si>
  <si>
    <t>"Item": "Mala's - Kiwi Crush, 1 L",</t>
  </si>
  <si>
    <t>"ImageUrl": "img/pics/a36158c3942d4e31ced2439eaa15940a.png",</t>
  </si>
  <si>
    <t>"Name": "₹220/bottle for 3 bottles+",</t>
  </si>
  <si>
    <t>"Name": "₹219.02/bottle for 6 bottles+",</t>
  </si>
  <si>
    <t>"Price": "219.02"</t>
  </si>
  <si>
    <t>"MenuId": "124",</t>
  </si>
  <si>
    <t>"Price": "487.29",</t>
  </si>
  <si>
    <t>"Item": "Marimbula - Lemon Tea Syrup, 1 L",</t>
  </si>
  <si>
    <t>"ImageUrl": "img/pics/dd8a6f65312247906128ad887a34e804.png",</t>
  </si>
  <si>
    <t>"Name": "₹484.83/bottle for 3 bottles+",</t>
  </si>
  <si>
    <t>"Price": "484.83"</t>
  </si>
  <si>
    <t>"Name": "₹482.46/bottle for 6 bottles+",</t>
  </si>
  <si>
    <t>"Price": "482.46"</t>
  </si>
  <si>
    <t>"MenuId": "125",</t>
  </si>
  <si>
    <t>"Price": "469.07",</t>
  </si>
  <si>
    <t>"Item": "Marimbula - Triple Sec Syrup, 1 L",</t>
  </si>
  <si>
    <t>"ImageUrl": "img/pics/fa1b2adf4383a789c448a74af2186863.png",</t>
  </si>
  <si>
    <t>"MenuId": "126",</t>
  </si>
  <si>
    <t>"Price": "488.05",</t>
  </si>
  <si>
    <t>"Item": "Monin - Irish Cream Syrup, 1 L",</t>
  </si>
  <si>
    <t>"ImageUrl": "img/pics/991e8a402090946a2a20ea7a10c564b0.png",</t>
  </si>
  <si>
    <t>"MenuId": "127",</t>
  </si>
  <si>
    <t>"Price": "631.36",</t>
  </si>
  <si>
    <t>"Item": "Monin - Yellow Banana, 1 L",</t>
  </si>
  <si>
    <t>"ImageUrl": "img/pics/4ffa5b2c059fbb79c3b5a6088831cb9e.png",</t>
  </si>
  <si>
    <t>"MenuId": "128",</t>
  </si>
  <si>
    <t>"Price": "632.12",</t>
  </si>
  <si>
    <t>"Item": "Monin - Vanilla Syrup, 1 L",</t>
  </si>
  <si>
    <t>"ImageUrl": "img/pics/660708b61e74b412f07de39d9eb8191c.png",</t>
  </si>
  <si>
    <t>"MenuId": "129",</t>
  </si>
  <si>
    <t>"Price": "599.66",</t>
  </si>
  <si>
    <t>"Item": "Monin - Strawberry Syrup, 700 ml",</t>
  </si>
  <si>
    <t>"ImageUrl": "img/pics/29822254ccab379232cac940610a4c79.png",</t>
  </si>
  <si>
    <t>"MenuId": "130",</t>
  </si>
  <si>
    <t>"Item": "Monin - Grenadine Syrup, 1 L",</t>
  </si>
  <si>
    <t>"ImageUrl": "img/pics/3db01a0868c3054b928d4520f3091498.png",</t>
  </si>
  <si>
    <t>"MenuId": "131",</t>
  </si>
  <si>
    <t>"Price": "620",</t>
  </si>
  <si>
    <t>"Item": "Monin - Green Mint Syrup, 700 ml",</t>
  </si>
  <si>
    <t>"ImageUrl": "img/pics/64b2696fe1fefd09543dc7a03a5da469.png",</t>
  </si>
  <si>
    <t>"MenuId": "132",</t>
  </si>
  <si>
    <t>"Item": "Monin - Green Apple Syrup, 700 ml",</t>
  </si>
  <si>
    <t>"ImageUrl": "img/pics/f90a4d002108ae3a0e4399b29a608758.png",</t>
  </si>
  <si>
    <t>"MenuId": "133",</t>
  </si>
  <si>
    <t>"Item": "Monin - Coffee Syrup, 700 ml",</t>
  </si>
  <si>
    <t>"ImageUrl": "img/pics/97b58942bb866360e54bf4de23e9b7e0.png",</t>
  </si>
  <si>
    <t>"MenuId": "134",</t>
  </si>
  <si>
    <t>"Item": "Monin - Chocolate Syrup, 700 ml",</t>
  </si>
  <si>
    <t>"ImageUrl": "img/pics/90fca5930e7a7b9b2be09bbeaabd87c3.png",</t>
  </si>
  <si>
    <t>"MenuId": "135",</t>
  </si>
  <si>
    <t>"Item": "Monin - Blueberry Syrup, 700 ml",</t>
  </si>
  <si>
    <t>"ImageUrl": "img/pics/04bb62ef86c459edd518948e8f2bf37e.png",</t>
  </si>
  <si>
    <t>"MenuId": "136",</t>
  </si>
  <si>
    <t>"Item": "Monin - Raspberry Syrup, 700 ml",</t>
  </si>
  <si>
    <t>"ImageUrl": "img/pics/720818d3f4ab2209c0c8b23268d17095.png",</t>
  </si>
  <si>
    <t>"MenuId": "137",</t>
  </si>
  <si>
    <t>"Price": "565",</t>
  </si>
  <si>
    <t>"Item": "Monin - Passion Fruit Syrup, 700 ml",</t>
  </si>
  <si>
    <t>"ImageUrl": "img/pics/9edad84ac8d0e35a6e99f5439fdd5abd.jpg",</t>
  </si>
  <si>
    <t>"MenuId": "138",</t>
  </si>
  <si>
    <t>"Item": "Monin - Banana Puree, 1 L",</t>
  </si>
  <si>
    <t>"ImageUrl": "img/pics/147f69a0aaac76a2e4b90f21ed0f4224.jpg",</t>
  </si>
  <si>
    <t>"MenuId": "139",</t>
  </si>
  <si>
    <t>"Price": "607.03",</t>
  </si>
  <si>
    <t>"Item": "Monin - Pina Colada, 700 ml",</t>
  </si>
  <si>
    <t>"ImageUrl": "img/pics/1edb5fe85d818828ff9f529fbf5d4c1e.png",</t>
  </si>
  <si>
    <t>"Name": "₹601.02/bottle for 3 bottles+",</t>
  </si>
  <si>
    <t>"Price": "601.02"</t>
  </si>
  <si>
    <t>"Name": "₹595/bottle for 6 bottles+",</t>
  </si>
  <si>
    <t>"Price": "595"</t>
  </si>
  <si>
    <t>"MenuId": "140",</t>
  </si>
  <si>
    <t>"Price": "549.07",</t>
  </si>
  <si>
    <t>"Item": "Monin - Black Current Syrup, 700 ml",</t>
  </si>
  <si>
    <t>"ImageUrl": "img/pics/856c76c5ce3f489700cd0634c71bbd13.jpg",</t>
  </si>
  <si>
    <t>"MenuId": "141",</t>
  </si>
  <si>
    <t>"Price": "545",</t>
  </si>
  <si>
    <t>"Item": "Monin - Litchi Syrup, 700 ml",</t>
  </si>
  <si>
    <t>"ImageUrl": "img/pics/62ef9e408649335c7ea75f2bc1f6eef3.jpg",</t>
  </si>
  <si>
    <t>"MenuId": "142",</t>
  </si>
  <si>
    <t>"Price": "590.34",</t>
  </si>
  <si>
    <t>"Item": "Monin - Bubble Gum Syrup, 700 ml",</t>
  </si>
  <si>
    <t>"ImageUrl": "img/pics/3ff16f4286dd28037fa0849cb5ccdda3.png",</t>
  </si>
  <si>
    <t>"Name": "₹584.41/bottle for 3 bottles+",</t>
  </si>
  <si>
    <t>"Price": "584.41"</t>
  </si>
  <si>
    <t>"Name": "₹578.56/bottle for 6 bottles+",</t>
  </si>
  <si>
    <t>"Price": "578.56"</t>
  </si>
  <si>
    <t>"MenuId": "143",</t>
  </si>
  <si>
    <t>"Price": "587.03",</t>
  </si>
  <si>
    <t>"Item": "Monin - Lavender Syrup, 700 ml",</t>
  </si>
  <si>
    <t>"ImageUrl": "img/pics/f2b8cc008ac9550a7949b609d1805f18.jpg",</t>
  </si>
  <si>
    <t>"MenuId": "144",</t>
  </si>
  <si>
    <t>"Price": "627.03",</t>
  </si>
  <si>
    <t>"Item": "Monin - Rose Syrup, 700 ml",</t>
  </si>
  <si>
    <t>"ImageUrl": "img/pics/b7eb0f84da7beece41e8a8dc66d89f07.png",</t>
  </si>
  <si>
    <t>"Name": "₹610/bottle for 6 bottles+",</t>
  </si>
  <si>
    <t>"Price": "610"</t>
  </si>
  <si>
    <t>"MenuId": "145",</t>
  </si>
  <si>
    <t>"Price": "618.22",</t>
  </si>
  <si>
    <t>"Item": "Monin - Ginger Syrup, 700 ml",</t>
  </si>
  <si>
    <t>"ImageUrl": "img/pics/10b51af20603d204e808c37d938a6d61.png",</t>
  </si>
  <si>
    <t>"Name": "₹612.03/bottle for 3 bottles+",</t>
  </si>
  <si>
    <t>"Price": "612.03"</t>
  </si>
  <si>
    <t>"Name": "₹605.85/bottle for 6 bottles+",</t>
  </si>
  <si>
    <t>"Price": "605.85"</t>
  </si>
  <si>
    <t>"MenuId": "146",</t>
  </si>
  <si>
    <t>"Price": "262.05",</t>
  </si>
  <si>
    <t>"Item": "Mala's - Crush Blueberry, 750 ml",</t>
  </si>
  <si>
    <t>"ImageUrl": "img/pics/6481a8ddad57a1e56508fbcc0f105965.png",</t>
  </si>
  <si>
    <t>"Name": "₹260/bottle for 3 bottles+",</t>
  </si>
  <si>
    <t>"Price": "260"</t>
  </si>
  <si>
    <t>"Name": "₹258.04/bottle for 6 bottles+",</t>
  </si>
  <si>
    <t>"Price": "258.04"</t>
  </si>
  <si>
    <t>"MenuId": "147",</t>
  </si>
  <si>
    <t>"Price": "166.7",</t>
  </si>
  <si>
    <t>"Item": "Mala's - Whole Strawberry Crush, 750 ml",</t>
  </si>
  <si>
    <t>"ImageUrl": "img/pics/94761d9cf738c74f6ab52226835def78.png",</t>
  </si>
  <si>
    <t>"MenuId": "148",</t>
  </si>
  <si>
    <t>"Price": "564.91",</t>
  </si>
  <si>
    <t>"Item": "Mala's - Strawberry Crush, 5 L",</t>
  </si>
  <si>
    <t>"ImageUrl": "img/pics/6cf92f884fc02ce2c53375c12baf8b74.png",</t>
  </si>
  <si>
    <t>"MenuId": "149",</t>
  </si>
  <si>
    <t>"Price": "104.24",</t>
  </si>
  <si>
    <t>"Item": "Mala's - Rose Syrup, 750 ml",</t>
  </si>
  <si>
    <t>"ImageUrl": "img/pics/ed6d1b7f2ed75547acadfa2f75708600.png",</t>
  </si>
  <si>
    <t>"MenuId": "150",</t>
  </si>
  <si>
    <t>"Price": "525.18",</t>
  </si>
  <si>
    <t>"Item": "Mala's - Pineapple Crush, 5 L",</t>
  </si>
  <si>
    <t>"ImageUrl": "img/pics/443360cdc3f8a7d920d14f31e300a046.png",</t>
  </si>
  <si>
    <t>"MenuId": "151",</t>
  </si>
  <si>
    <t>"Price": "534.91",</t>
  </si>
  <si>
    <t>"Item": "Mala's - Orange Crush, 5 L",</t>
  </si>
  <si>
    <t>"ImageUrl": "img/pics/d01a380a00ed1d21b69ffbe549221042.png",</t>
  </si>
  <si>
    <t>"MenuId": "152",</t>
  </si>
  <si>
    <t>"Price": "545.54",</t>
  </si>
  <si>
    <t>"Item": "Mala's - Mango Crush, 5 L",</t>
  </si>
  <si>
    <t>"ImageUrl": "img/pics/d26654dde59d9db4b6b703652346e8e3.png",</t>
  </si>
  <si>
    <t>"MenuId": "153",</t>
  </si>
  <si>
    <t>"Price": "670",</t>
  </si>
  <si>
    <t>"Item": "Mala's - Kiwi Crush, 5 L",</t>
  </si>
  <si>
    <t>"ImageUrl": "img/pics/2dab63e1bbb25b6b498981aefb785f03.png",</t>
  </si>
  <si>
    <t>"MenuId": "154",</t>
  </si>
  <si>
    <t>"Price": "126.52",</t>
  </si>
  <si>
    <t>"Item": "Mala's - Black Currant Crush, 750 ml",</t>
  </si>
  <si>
    <t>"ImageUrl": "img/pics/c896b00f130a320178d05098c640db86.png",</t>
  </si>
  <si>
    <t>"MenuId": "155",</t>
  </si>
  <si>
    <t>"Price": "130.8",</t>
  </si>
  <si>
    <t>"Item": "Rasna - Instant Mango, 500 gm",</t>
  </si>
  <si>
    <t>"ImageUrl": "img/pics/c7177dea9080d1e44eb212c79d71bb1c.jpeg",</t>
  </si>
  <si>
    <t>"MenuId": "156",</t>
  </si>
  <si>
    <t>"Item": "Mala's - Litchi Crush, 5 L",</t>
  </si>
  <si>
    <t>"ImageUrl": "img/pics/9f4cf724d32c7ae6ad696f1a7fb2955d.png",</t>
  </si>
  <si>
    <t>"MenuId": "157",</t>
  </si>
  <si>
    <t>"Price": "113.39",</t>
  </si>
  <si>
    <t>"Item": "Mala's - Ginger &amp; Lime Cordial, 750 ml",</t>
  </si>
  <si>
    <t>"ImageUrl": "img/pics/9c7dbd7fd31d8ba4cb5ecb87864c3dea.png",</t>
  </si>
  <si>
    <t>"MenuId": "158",</t>
  </si>
  <si>
    <t>"Price": "238.57",</t>
  </si>
  <si>
    <t>"Item": "Mala's - Blueberry Crush, 750 ml",</t>
  </si>
  <si>
    <t>"ImageUrl": "img/pics/325c7083b7f7bff458e461c80ba5dc15.png",</t>
  </si>
  <si>
    <t>"MenuId": "159",</t>
  </si>
  <si>
    <t>"Price": "128.3",</t>
  </si>
  <si>
    <t>"Item": "Mala's - Banana Crush, 750 ml",</t>
  </si>
  <si>
    <t>"ImageUrl": "img/pics/fe47c41aef3bad06066250b2809ae130.png",</t>
  </si>
  <si>
    <t>"MenuId": "160",</t>
  </si>
  <si>
    <t>"Price": "126.34",</t>
  </si>
  <si>
    <t>"Item": "Mala's - Butterscotch Crush, 750 ml",</t>
  </si>
  <si>
    <t>"ImageUrl": "img/pics/7a4f31f2ea80cd711f6d012363cb2550.png",</t>
  </si>
  <si>
    <t>"MenuId": "161",</t>
  </si>
  <si>
    <t>"Price": "125.89",</t>
  </si>
  <si>
    <t>"Item": "Mala's - Guava Crush, 750 ml",</t>
  </si>
  <si>
    <t>"ImageUrl": "img/pics/6314abf5db14d44346fbf18e1b87b5ed.png",</t>
  </si>
  <si>
    <t>"MenuId": "162",</t>
  </si>
  <si>
    <t>"Item": "Mala's - Black Current Crush, 5 L",</t>
  </si>
  <si>
    <t>"ImageUrl": "img/pics/fd08e8b368b06b972dcc7391ee62ddad.png",</t>
  </si>
  <si>
    <t>"MenuId": "163",</t>
  </si>
  <si>
    <t>"Item": "Mala's - Butterscotch Crush, 5 L",</t>
  </si>
  <si>
    <t>"ImageUrl": "img/pics/ea69a23a56348b1f10172647758507bd.png",</t>
  </si>
  <si>
    <t>"MenuId": "164",</t>
  </si>
  <si>
    <t>"Price": "594.91",</t>
  </si>
  <si>
    <t>"Item": "Mala's - Green Apple Crush, 5 L",</t>
  </si>
  <si>
    <t>"ImageUrl": "img/pics/ca8e6d60c73e48e311beba8fb29da25e.png",</t>
  </si>
  <si>
    <t>"MenuId": "165",</t>
  </si>
  <si>
    <t>"Item": "Mala's - Litchi Crush, 750 ml",</t>
  </si>
  <si>
    <t>"ImageUrl": "img/pics/f5d7eab36749f1da43bac8fc35f36aaa.png",</t>
  </si>
  <si>
    <t>"Name": "₹125.54/bottle for 2 bottles+",</t>
  </si>
  <si>
    <t>"Price": "125.54"</t>
  </si>
  <si>
    <t>"Name": "₹124.82/bottle for 4 bottles+",</t>
  </si>
  <si>
    <t>"Price": "124.82"</t>
  </si>
  <si>
    <t>"MenuId": "166",</t>
  </si>
  <si>
    <t>"Price": "158.39",</t>
  </si>
  <si>
    <t>"Item": "Mala's - Rose Syrup, 1 L",</t>
  </si>
  <si>
    <t>"ImageUrl": "img/pics/c5858f5bb46760a5cd9f3d683b1042cb.png",</t>
  </si>
  <si>
    <t>"Name": "₹157.37/bottle for 3 bottles+",</t>
  </si>
  <si>
    <t>"Price": "157.37"</t>
  </si>
  <si>
    <t>"Name": "₹156.36/bottle for 6 bottles+",</t>
  </si>
  <si>
    <t>"Price": "156.36"</t>
  </si>
  <si>
    <t>"MenuId": "167",</t>
  </si>
  <si>
    <t>"Item": "Monin - Blood Orange Syrup, 700 ml",</t>
  </si>
  <si>
    <t>"ImageUrl": "img/pics/76181dffdc8857af0edecfe59f3011be.png",</t>
  </si>
  <si>
    <t>"MenuId": "168",</t>
  </si>
  <si>
    <t>"Item": "Monin - Grenadine Syrup, 700 ml",</t>
  </si>
  <si>
    <t>"ImageUrl": "img/pics/5e7d76b45f66bbc980302955d13f6951.png",</t>
  </si>
  <si>
    <t>"MenuId": "169",</t>
  </si>
  <si>
    <t>"Item": "Monin - Green Apple Syrup, 1 L",</t>
  </si>
  <si>
    <t>"ImageUrl": "img/pics/b7ee0642c9a01b3d783cbcb25005380e.png",</t>
  </si>
  <si>
    <t>"Name": "₹641.61/bottle for 3 bottles+",</t>
  </si>
  <si>
    <t>"Price": "641.61"</t>
  </si>
  <si>
    <t>"Name": "₹635.17/bottle for 6 bottles+",</t>
  </si>
  <si>
    <t>"Price": "635.17"</t>
  </si>
  <si>
    <t>"MenuId": "170",</t>
  </si>
  <si>
    <t>"Item": "Monin - Melon Syrup, 700 ml",</t>
  </si>
  <si>
    <t>"ImageUrl": "img/pics/ba2447dcade8414ec5b43c0b6b24539f.png",</t>
  </si>
  <si>
    <t>"MenuId": "171",</t>
  </si>
  <si>
    <t>"Item": "Monin - Passion Fruit, 700 ml",</t>
  </si>
  <si>
    <t>"ImageUrl": "img/pics/90fb1ceff81db5230a0e2f7c0c19255d.png",</t>
  </si>
  <si>
    <t>"MenuId": "172",</t>
  </si>
  <si>
    <t>"Price": "603.9",</t>
  </si>
  <si>
    <t>"Item": "Monin - Peach Syrup, 700 ml",</t>
  </si>
  <si>
    <t>"ImageUrl": "img/pics/moninPeach.png",</t>
  </si>
  <si>
    <t>"MenuId": "173",</t>
  </si>
  <si>
    <t>"Item": "Monin - Coconut Syrup, 700 ml",</t>
  </si>
  <si>
    <t>"ImageUrl": "img/pics/moninCoconut.png",</t>
  </si>
  <si>
    <t>"MenuId": "174",</t>
  </si>
  <si>
    <t>"Item": "Mala's - Strawberry Crush, 750 ml",</t>
  </si>
  <si>
    <t>"ImageUrl": "img/pics/63bcd4def9e349d0601a481199f95c94.png",</t>
  </si>
  <si>
    <t>"Name": "₹125.54/bottle for 3 bottles+",</t>
  </si>
  <si>
    <t>"Name": "₹124.82/bottle for 5 bottles+",</t>
  </si>
  <si>
    <t>"MenuId": "175",</t>
  </si>
  <si>
    <t>"Price": "131.52",</t>
  </si>
  <si>
    <t>"Item": "Mala's - Green Apple Crush, 750 ml",</t>
  </si>
  <si>
    <t>"ImageUrl": "img/pics/be088a5eea702907152207dd576304e5.png",</t>
  </si>
  <si>
    <t>"Name": "₹131.07/bottle for 3 bottles+",</t>
  </si>
  <si>
    <t>"Price": "131.07"</t>
  </si>
  <si>
    <t>"Name": "₹130.54/bottle for 6 bottles+",</t>
  </si>
  <si>
    <t>"Price": "130.54"</t>
  </si>
  <si>
    <t>"MenuId": "176",</t>
  </si>
  <si>
    <t>"Price": "145",</t>
  </si>
  <si>
    <t>"Item": "Mala's - Kiwi Crush, 750 ml",</t>
  </si>
  <si>
    <t>"ImageUrl": "img/pics/15e81068766c31aa010ff7874ec49f88.png",</t>
  </si>
  <si>
    <t>"Name": "₹143.57/bottle for 3 bottles+",</t>
  </si>
  <si>
    <t>"Price": "143.57"</t>
  </si>
  <si>
    <t>"Name": "₹142.14/bottle for 6 bottles+",</t>
  </si>
  <si>
    <t>"Price": "142.14"</t>
  </si>
  <si>
    <t>"MenuId": "177",</t>
  </si>
  <si>
    <t>"Item": "Mala's - Orange Crush, 750 ml",</t>
  </si>
  <si>
    <t>"ImageUrl": "img/pics/4711fd43205983b5116152eb09c4c618.png",</t>
  </si>
  <si>
    <t>"Name": "₹124.82/bottle for 6 bottles+",</t>
  </si>
  <si>
    <t>"MenuId": "178",</t>
  </si>
  <si>
    <t>"Price": "130",</t>
  </si>
  <si>
    <t>"Item": "Mala's - Black Currant, 750ml",</t>
  </si>
  <si>
    <t>"ImageUrl": "img/pics/malaBlackCurrant.png",</t>
  </si>
  <si>
    <t>"MenuId": "179",</t>
  </si>
  <si>
    <t>"Item": "Mala's - Mango Crush, 750 ml",</t>
  </si>
  <si>
    <t>"ImageUrl": "img/pics/959435f87eeade1a07e0cead3c4abd9d.png",</t>
  </si>
  <si>
    <t>"MenuId": "180",</t>
  </si>
  <si>
    <t>"Item": "Mala's - Pineapple Crush, 750 ml",</t>
  </si>
  <si>
    <t>"ImageUrl": "img/pics/130381651ee668ff953cdfa035a696d5.png",</t>
  </si>
  <si>
    <t>"Name": "₹125.89/bottle for 3 bottles+",</t>
  </si>
  <si>
    <t>"Price": "125.89"</t>
  </si>
  <si>
    <t>"Name": "₹125.54/bottle for 6 bottles+",</t>
  </si>
  <si>
    <t>"MenuId": "181",</t>
  </si>
  <si>
    <t>"Item": "Manama - Blueberry Crush, 750 ml",</t>
  </si>
  <si>
    <t>"ImageUrl": "img/pics/429f96f4040b63132af0551a77805c13.png",</t>
  </si>
  <si>
    <t>"Name": "₹237.14/pc for 3 pcs+",</t>
  </si>
  <si>
    <t>"Price": "237.14"</t>
  </si>
  <si>
    <t>"Name": "₹236.61/pc for 6 pcs+",</t>
  </si>
  <si>
    <t>"Price": "236.61"</t>
  </si>
  <si>
    <t>"MenuId": "182",</t>
  </si>
  <si>
    <t>"Item": "Monin - Passion Fruit Puree, 1 L",</t>
  </si>
  <si>
    <t>"ImageUrl": "img/pics/moninPassionFruitPuree.png",</t>
  </si>
  <si>
    <t>"SectionName": "Tea &amp; Coffee ",</t>
  </si>
  <si>
    <t>"SectionOrder": "6",</t>
  </si>
  <si>
    <t>"Price": "400",</t>
  </si>
  <si>
    <t>"Item": "Marimbula - Frappe Vanilla Powder, 1 Kg",</t>
  </si>
  <si>
    <t>"ImageUrl": "img/pics/77a6bfebf6a8115e806c31309aa9ccb5.png",</t>
  </si>
  <si>
    <t>"Name": "₹398.05/Piece for 2 pcs+",</t>
  </si>
  <si>
    <t>"Price": "398.05"</t>
  </si>
  <si>
    <t>"Name": "₹396.02/Piece for 4 pcs+",</t>
  </si>
  <si>
    <t>"Price": "396.02"</t>
  </si>
  <si>
    <t>"Price": "183.24",</t>
  </si>
  <si>
    <t>"Item": "Tata - Agni Tea Powder, 1 Kg",</t>
  </si>
  <si>
    <t>"ImageUrl": "img/pics/7906ff49995ecd7962a994e6efe8a344.png",</t>
  </si>
  <si>
    <t>"Name": "₹182.29/kg for 3 kgs+",</t>
  </si>
  <si>
    <t>"Price": "182.29"</t>
  </si>
  <si>
    <t>"Name": "₹181.33/kg for 5 kgs+",</t>
  </si>
  <si>
    <t>"Price": "181.33"</t>
  </si>
  <si>
    <t>"Item": "Marimbula - Frappe Coffee Powder, 1 Kg",</t>
  </si>
  <si>
    <t>"ImageUrl": "img/pics/589a6c77f163e81ca448c32a57e0843c.png",</t>
  </si>
  <si>
    <t>"Name": "₹485/Piece for 2 pcs+",</t>
  </si>
  <si>
    <t>"Name": "₹480/Piece for 4 pcs+",</t>
  </si>
  <si>
    <t>"Item": "Wagh Bakri - Navchetan Leaf Tea, 1 Kg",</t>
  </si>
  <si>
    <t>"ImageUrl": "img/pics/0d590374665b9ab1fc1034babddb1f13.jpeg",</t>
  </si>
  <si>
    <t>"Name": "₹176.76/kg for 3 kgs+",</t>
  </si>
  <si>
    <t>"Price": "176.76"</t>
  </si>
  <si>
    <t>"Name": "₹175.05/kg for 5 kgs+",</t>
  </si>
  <si>
    <t>"Price": "175.05"</t>
  </si>
  <si>
    <t>"Price": "1184.41",</t>
  </si>
  <si>
    <t>"Item": "Nescafe - Classic Coffee, 500 gm",</t>
  </si>
  <si>
    <t>"ImageUrl": "img/pics/ddb83c093b922eb115643154272d3458.png",</t>
  </si>
  <si>
    <t>"Name": "₹1,178.56/pc for 3 pcs+",</t>
  </si>
  <si>
    <t>"Price": "1178.56"</t>
  </si>
  <si>
    <t>"Name": "₹1,172.63/pc for 9 pcs+",</t>
  </si>
  <si>
    <t>"Price": "1172.63"</t>
  </si>
  <si>
    <t>"Price": "267.14",</t>
  </si>
  <si>
    <t>"Item": "Tata Tea - Elaichi, 1 Kg",</t>
  </si>
  <si>
    <t>"ImageUrl": "img/pics/e39fcfe9cdadb5c90ae1d4f7ab237c11.png",</t>
  </si>
  <si>
    <t>"Name": "₹265.14/pc for 3 pcs+",</t>
  </si>
  <si>
    <t>"Price": "265.14"</t>
  </si>
  <si>
    <t>"Name": "₹263.14/pc for 5 pcs+",</t>
  </si>
  <si>
    <t>"Price": "263.14"</t>
  </si>
  <si>
    <t>"Price": "342.29",</t>
  </si>
  <si>
    <t>"Item": "Frappik - Vanilla Frappe Powder, 1 Kg",</t>
  </si>
  <si>
    <t>"ImageUrl": "img/pics/73b6ea3bacbf83c22d937434f499f9f6.png",</t>
  </si>
  <si>
    <t>"Price": "351.36",</t>
  </si>
  <si>
    <t>"Item": "Nestea - Lemon Iced Tea Premix, 1 Kg",</t>
  </si>
  <si>
    <t>"ImageUrl": "img/pics/b3d0a806a03326551ba4a58dda48becd.jpg",</t>
  </si>
  <si>
    <t>"Name": "₹347.37/kg for 3 kgs+",</t>
  </si>
  <si>
    <t>"Price": "347.37"</t>
  </si>
  <si>
    <t>"Name": "₹343.39/kg for 6 kgs+",</t>
  </si>
  <si>
    <t>"Price": "343.39"</t>
  </si>
  <si>
    <t>"Price": "319.05",</t>
  </si>
  <si>
    <t>"Item": "Frappik - Base Frappe Powder, 1 Kg",</t>
  </si>
  <si>
    <t>"ImageUrl": "img/pics/9891546503cadc70d2c2a8c3cccf2d61.png",</t>
  </si>
  <si>
    <t>"Price": "279.05",</t>
  </si>
  <si>
    <t>"Item": "Rage - Whole Beans (75:25), 500 gm",</t>
  </si>
  <si>
    <t>"ImageUrl": "img/pics/50d2c47e0ca60c360bda3f1edc720854.jpg",</t>
  </si>
  <si>
    <t>"Name": "₹274/pc for 2 pcs+",</t>
  </si>
  <si>
    <t>"Price": "274"</t>
  </si>
  <si>
    <t>"Name": "₹269.05/pc for 4 pcs+",</t>
  </si>
  <si>
    <t>"Price": "269.05"</t>
  </si>
  <si>
    <t>"Price": "125.25",</t>
  </si>
  <si>
    <t>"Item": "Rage - Pegasus Blend Coffee, 200 gm",</t>
  </si>
  <si>
    <t>"ImageUrl": "img/pics/589ab8c49b64c0636fcef25109f51595.jpg",</t>
  </si>
  <si>
    <t>"Price": "799.05",</t>
  </si>
  <si>
    <t>"Item": "Blue Tokai - Magpie Blend, 1 Kg",</t>
  </si>
  <si>
    <t>"ImageUrl": "img/pics/a47a7d4267d5eee164221f839cca7f51.png",</t>
  </si>
  <si>
    <t>"Name": "₹789.05/pc for 3 pcs+",</t>
  </si>
  <si>
    <t>"Price": "789.05"</t>
  </si>
  <si>
    <t>"Name": "₹779.05/pc for 6 pcs+",</t>
  </si>
  <si>
    <t>"Price": "779.05"</t>
  </si>
  <si>
    <t>"Price": "424.07",</t>
  </si>
  <si>
    <t>"Item": "Frappik - Coffee Frappe Powder, 1 Kg",</t>
  </si>
  <si>
    <t>"ImageUrl": "img/pics/148b5e90298a73fd61b12baaa9403058.png",</t>
  </si>
  <si>
    <t>"Name": "₹422.03/pc for 2 pcs+",</t>
  </si>
  <si>
    <t>"Price": "422.03"</t>
  </si>
  <si>
    <t>"Name": "₹420/pc for 4 pcs+",</t>
  </si>
  <si>
    <t>"Price": "420"</t>
  </si>
  <si>
    <t>"Item": "Rage - Silk Blend Classic, 500 gm",</t>
  </si>
  <si>
    <t>"ImageUrl": "img/pics/bb6c84338d3c6e177b344cbae7013969.jpg",</t>
  </si>
  <si>
    <t>"Price": "35.36",</t>
  </si>
  <si>
    <t>"Item": "Rage - Cold Coffee Bottle, 180 ml",</t>
  </si>
  <si>
    <t>"ImageUrl": "img/pics/39bb334b5dcb81b473af1befc76fc1ad.jpg",</t>
  </si>
  <si>
    <t>"Price": "370",</t>
  </si>
  <si>
    <t>"Item": "Panama - Masala Chai, 1 Kg Pack (Ambient)",</t>
  </si>
  <si>
    <t>"ImageUrl": "img/pics/d8d4bb39e9c6d107f5ad6f4c58812c20.png",</t>
  </si>
  <si>
    <t>"Price": "225.52",</t>
  </si>
  <si>
    <t>"Item": "Chai Craft - CTC Kadak Tea, 1 Kg",</t>
  </si>
  <si>
    <t>"ImageUrl": "img/pics/d30fe516cd339735c98ca81294e73dc1.png",</t>
  </si>
  <si>
    <t>"Price": "846.02",</t>
  </si>
  <si>
    <t>"Item": "DaVinci Gourmet - Frappease Powder (Powder Frappe Mix), 1.5 Kg",</t>
  </si>
  <si>
    <t>"ImageUrl": "img/pics/ec0c93621301c280bbddec41059791c3.jpg",</t>
  </si>
  <si>
    <t>"Price": "256.67",</t>
  </si>
  <si>
    <t>"Item": "No.1 Chai - Premium Assam CTC Tea, 1 Kg",</t>
  </si>
  <si>
    <t>"ImageUrl": "img/pics/e39e391ac6339029a2dee5f4b4f624fd.png",</t>
  </si>
  <si>
    <t>"Price": "618",</t>
  </si>
  <si>
    <t>"Item": "Chai Craft - English Breakfast Black Tea Bags (200 Dips)",</t>
  </si>
  <si>
    <t>"ImageUrl": "img/pics/108bb9b0ec510a6b8b2008c8f37ee564.png",</t>
  </si>
  <si>
    <t>"Price": "367.24",</t>
  </si>
  <si>
    <t>"Item": "Chai Craft - Darjeeling Black Tea Bags, (100 Dips)",</t>
  </si>
  <si>
    <t>"ImageUrl": "img/pics/0d9f957bd7c78e4eedeac476d7f1343e.png",</t>
  </si>
  <si>
    <t>"Item": "Chai Craft - Lemon &amp; Honey Green Tea Bags, (100 Dips)",</t>
  </si>
  <si>
    <t>"ImageUrl": "img/pics/46de1ef026eae66bc3d13cb03799c64b.png",</t>
  </si>
  <si>
    <t>"Price": "430",</t>
  </si>
  <si>
    <t>"Item": "Chai Craft - Assam Black Tea Bags (200 Dips)",</t>
  </si>
  <si>
    <t>"ImageUrl": "img/pics/1caed877332e22a3ca1bb2851d3714e9.png",</t>
  </si>
  <si>
    <t>"Price": "600",</t>
  </si>
  <si>
    <t>"Item": "Nescafe - Sunrise Extra Instant Coffee, 1 Kg",</t>
  </si>
  <si>
    <t>"ImageUrl": "img/pics/6af973da40f390b5bbde3511d91156ea.webp",</t>
  </si>
  <si>
    <t>"Price": "552.97",</t>
  </si>
  <si>
    <t>"Item": "Nescafe - Classic Coffee, 200 gm",</t>
  </si>
  <si>
    <t>"ImageUrl": "img/pics/52c8dd12113ce17dc2d030094713503a.webp",</t>
  </si>
  <si>
    <t>"Price": "590.48",</t>
  </si>
  <si>
    <t>"Item": "Lipton - Clear &amp; Light Green Tea Bags, 100 Pcs",</t>
  </si>
  <si>
    <t>"ImageUrl": "img/pics/d76ef966c0c4d1933d5c9200906afb6e.webp",</t>
  </si>
  <si>
    <t>"Price": "181.52",</t>
  </si>
  <si>
    <t>"Item": "Tulsi - Vatan Tea, 1 Kg  ",</t>
  </si>
  <si>
    <t>"ImageUrl": "img/pics/db53f6d5811f49ce3579022e93966144.png",</t>
  </si>
  <si>
    <t>"Name": "₹172.48/pc for 3 pcs+",</t>
  </si>
  <si>
    <t>"Price": "172.48"</t>
  </si>
  <si>
    <t>"Name": "₹163.43/pc for 5 pcs+",</t>
  </si>
  <si>
    <t>"Price": "163.43"</t>
  </si>
  <si>
    <t>"Price": "336",</t>
  </si>
  <si>
    <t>"Item": "Tulsi - Broken Tea, 1 Kg",</t>
  </si>
  <si>
    <t>"ImageUrl": "img/pics/bcb0fba6aec73480ae3e9f72bc9a09f5.png",</t>
  </si>
  <si>
    <t>"Name": "₹322.48/pc for 3 pcs+",</t>
  </si>
  <si>
    <t>"Price": "322.48"</t>
  </si>
  <si>
    <t>"Name": "₹309.05/pc for 6 pcs+",</t>
  </si>
  <si>
    <t>"Price": "309.05"</t>
  </si>
  <si>
    <t>"Price": "795.62",</t>
  </si>
  <si>
    <t>"Item": "7 Beanstalk - Coffee Beans (Arabica Robusta Blend 70 : 30), 1 Kg",</t>
  </si>
  <si>
    <t>"ImageUrl": "img/pics/b31cf7e252c183843a73160a98f4c322.png",</t>
  </si>
  <si>
    <t>"Name": "₹787.62/pc for 3 pcs+",</t>
  </si>
  <si>
    <t>"Price": "787.62"</t>
  </si>
  <si>
    <t>"Name": "₹779.71/pc for 6 pcs+",</t>
  </si>
  <si>
    <t>"Price": "779.71"</t>
  </si>
  <si>
    <t>"Price": "925.05",</t>
  </si>
  <si>
    <t>"Item": "Wagh Bakri - Navchetan Leaf Tea, 5 Kg",</t>
  </si>
  <si>
    <t>"ImageUrl": "img/pics/ec4d3b8b25922fdf14450dfc9c6d64f1.jpg",</t>
  </si>
  <si>
    <t>"Price": "497.71",</t>
  </si>
  <si>
    <t>"Item": "Wagh Bakri - Premium Leaf Tea, 1 Kg",</t>
  </si>
  <si>
    <t>"ImageUrl": "img/pics/553aab47c10ad2959b0bbd67378027a1.jpg",</t>
  </si>
  <si>
    <t>"Price": "350",</t>
  </si>
  <si>
    <t>"Item": "Rage Coffee - Butterscotch (Instant Coffee), 100 gm",</t>
  </si>
  <si>
    <t>"ImageUrl": "img/pics/cad2c0078cb7dbb5697d18e31e4bf9d0.png",</t>
  </si>
  <si>
    <t>"Price": "362.2",</t>
  </si>
  <si>
    <t>"Item": "Rage Coffee - Irish Hazelnut (Instant Coffee), 100 gm",</t>
  </si>
  <si>
    <t>"ImageUrl": "img/pics/c3edd32c17ab7634ceb8576f1c03e8c6.png",</t>
  </si>
  <si>
    <t>"Name": "₹360.42/pc for 3 pcs+",</t>
  </si>
  <si>
    <t>"Price": "360.42"</t>
  </si>
  <si>
    <t>"Name": "₹358.56/pc for 6 pcs+",</t>
  </si>
  <si>
    <t>"Price": "358.56"</t>
  </si>
  <si>
    <t>"Price": "120.38",</t>
  </si>
  <si>
    <t>"Item": "SLAY - X Coffee Beans, 250 gm",</t>
  </si>
  <si>
    <t>"ImageUrl": "img/pics/f7bd14f018168803ff72b2556c29dc5e.webp",</t>
  </si>
  <si>
    <t>"Price": "150",</t>
  </si>
  <si>
    <t>"Item": "SLAY - Signature Coffee Beans, 250 gm",</t>
  </si>
  <si>
    <t>"ImageUrl": "img/pics/3691a9b19e6e7f54f8b5f7a43917099a.jpg",</t>
  </si>
  <si>
    <t>"Price": "231.05",</t>
  </si>
  <si>
    <t>"Item": "Tata Tea - Kanan Devan Red (Strong), 1 Kg (2X500 gm)",</t>
  </si>
  <si>
    <t>"ImageUrl": "img/pics/43846e33c1403f0229adc58125fb25ce.png",</t>
  </si>
  <si>
    <t>"Price": "106.1",</t>
  </si>
  <si>
    <t>"Item": "Cothas Coffee - Nova Therm Pure Coffee, 200 gm",</t>
  </si>
  <si>
    <t>"ImageUrl": "img/pics/39df3c9a801ab03cd6a9fdc81b90e357.png",</t>
  </si>
  <si>
    <t>"Name": "₹103.5/pc for 2 pcs+",</t>
  </si>
  <si>
    <t>"Price": "103.5"</t>
  </si>
  <si>
    <t>"Name": "₹101.54/pc for 4 pcs+",</t>
  </si>
  <si>
    <t>"Price": "101.54"</t>
  </si>
  <si>
    <t>"Price": "65.05",</t>
  </si>
  <si>
    <t>"Item": "Cothas Coffee - Cotha Blend (60:40), 200 gm",</t>
  </si>
  <si>
    <t>"ImageUrl": "img/pics/6269f71b321b34839ce2e1fc2010c8c9.jpg",</t>
  </si>
  <si>
    <t>"Price": "127.33",</t>
  </si>
  <si>
    <t>"Item": "Cothas Coffee - Premium Special 80:20, 200 gm",</t>
  </si>
  <si>
    <t>"ImageUrl": "img/pics/c89f2d11889982159b98aa10b2752095.png",</t>
  </si>
  <si>
    <t>"Price": "327.52",</t>
  </si>
  <si>
    <t>"Item": "Simba Family Choice - CTC Tea, 500 gm",</t>
  </si>
  <si>
    <t>"ImageUrl": "img/pics/597ba12e6b10feccf6b6b2704628d525.png",</t>
  </si>
  <si>
    <t>"Name": "₹326.57/pc for 3 pcs+",</t>
  </si>
  <si>
    <t>"Price": "326.57"</t>
  </si>
  <si>
    <t>"Name": "₹325.52/pc for 5 pcs+",</t>
  </si>
  <si>
    <t>"Price": "325.52"</t>
  </si>
  <si>
    <t>"Price": "766.95",</t>
  </si>
  <si>
    <t>"Item": "Nescafe - Sunrise Coffee Powder (Slow Roasted), 500 gm",</t>
  </si>
  <si>
    <t>"ImageUrl": "img/pics/82bebd04b4c42bde1d90f93b6621fba6.jpg",</t>
  </si>
  <si>
    <t>"ImageUrl": "img/pics/",</t>
  </si>
  <si>
    <t>Ishaq</t>
  </si>
  <si>
    <t>Done</t>
  </si>
  <si>
    <t>at ₹28.33/pc</t>
  </si>
  <si>
    <t>at ₹16.27/pc</t>
  </si>
  <si>
    <t>at ₹23.38/pc</t>
  </si>
  <si>
    <t>at ₹25.79/pc</t>
  </si>
  <si>
    <t>at ₹13.57/pc</t>
  </si>
  <si>
    <t>at ₹24.44/pc</t>
  </si>
  <si>
    <t>at ₹23.73/pc</t>
  </si>
  <si>
    <t>at ₹70.62/can</t>
  </si>
  <si>
    <t>at ₹23.69/pc</t>
  </si>
  <si>
    <t>at ₹13.81/pc</t>
  </si>
  <si>
    <t>at ₹25.21/pc</t>
  </si>
  <si>
    <t>at ₹17.8/pc</t>
  </si>
  <si>
    <t>at ₹16.02/pc</t>
  </si>
  <si>
    <t>at ₹32.77/pc</t>
  </si>
  <si>
    <t>at ₹30.68/pc</t>
  </si>
  <si>
    <t>at ₹31.38/pc</t>
  </si>
  <si>
    <t>at ₹64.81/pc</t>
  </si>
  <si>
    <t>at ₹26.33/bottle</t>
  </si>
  <si>
    <t>at ₹67.92/can</t>
  </si>
  <si>
    <t>at ₹10.18/pc</t>
  </si>
  <si>
    <t>at ₹31.11/pc</t>
  </si>
  <si>
    <t>at ₹78.21/pc</t>
  </si>
  <si>
    <t>at ₹24.86/pc</t>
  </si>
  <si>
    <t>at ₹38.87/pack</t>
  </si>
  <si>
    <t>at ₹14.57/pack</t>
  </si>
  <si>
    <t>at ₹19.29/pack</t>
  </si>
  <si>
    <t>at ₹12.62/pack</t>
  </si>
  <si>
    <t>at ₹28.29/pc</t>
  </si>
  <si>
    <t>at ₹26.4/pc</t>
  </si>
  <si>
    <t>at ₹26.06/pc</t>
  </si>
  <si>
    <t>at ₹29.75/pc</t>
  </si>
  <si>
    <t>at ₹4.75/pc</t>
  </si>
  <si>
    <t>at ₹27.28/pc</t>
  </si>
  <si>
    <t>at ₹40.69/bottle</t>
  </si>
  <si>
    <t>at ₹25.71/pc</t>
  </si>
  <si>
    <t>at ₹28.95/pc</t>
  </si>
  <si>
    <t>at ₹14.12/pc</t>
  </si>
  <si>
    <t>at ₹21.67/pc</t>
  </si>
  <si>
    <t>at ₹13.76/ltr</t>
  </si>
  <si>
    <t>at ₹13.28/pc</t>
  </si>
  <si>
    <t>at ₹105.04/ltr</t>
  </si>
  <si>
    <t>at ₹109.11/ltr</t>
  </si>
  <si>
    <t>at ₹134/ltr</t>
  </si>
  <si>
    <t>at ₹25.15/pc</t>
  </si>
  <si>
    <t>"Heighlightdescription": "at ₹28.33/pc",</t>
  </si>
  <si>
    <t>"Heighlightdescription": "at ₹23.38/pc",</t>
  </si>
  <si>
    <t>"Heighlightdescription": "at ₹25.79/pc",</t>
  </si>
  <si>
    <t>"Heighlightdescription": "at ₹13.57/pc",</t>
  </si>
  <si>
    <t>"Heighlightdescription": "at ₹24.44/pc",</t>
  </si>
  <si>
    <t>"Heighlightdescription": "at ₹23.73/pc",</t>
  </si>
  <si>
    <t>"Heighlightdescription": "at ₹23.69/pc",</t>
  </si>
  <si>
    <t>"Heighlightdescription": "at ₹13.81/pc",</t>
  </si>
  <si>
    <t>"Heighlightdescription": "at ₹25.21/pc",</t>
  </si>
  <si>
    <t>"Heighlightdescription": "at ₹26.33/bottle",</t>
  </si>
  <si>
    <t>"Heighlightdescription": "at ₹10.18/pc",</t>
  </si>
  <si>
    <t>"Heighlightdescription": "at ₹24.86/pc",</t>
  </si>
  <si>
    <t>"Heighlightdescription": "at ₹38.87/pack",</t>
  </si>
  <si>
    <t>"Heighlightdescription": "at ₹14.57/pack",</t>
  </si>
  <si>
    <t>"Heighlightdescription": "at ₹19.29/pack",</t>
  </si>
  <si>
    <t>"Heighlightdescription": "at ₹12.62/pack",</t>
  </si>
  <si>
    <t>"Heighlightdescription": "at ₹28.29/pc",</t>
  </si>
  <si>
    <t>"Heighlightdescription": "at ₹26.4/pc",</t>
  </si>
  <si>
    <t>"Heighlightdescription": "at ₹26.06/pc",</t>
  </si>
  <si>
    <t>"Heighlightdescription": "at ₹29.75/pc",</t>
  </si>
  <si>
    <t>"Heighlightdescription": "at ₹27.28/pc",</t>
  </si>
  <si>
    <t>"Heighlightdescription": "at ₹25.71/pc",</t>
  </si>
  <si>
    <t>"Heighlightdescription": "at ₹28.95/pc",</t>
  </si>
  <si>
    <t>"Heighlightdescription": "at ₹14.12/pc",</t>
  </si>
  <si>
    <t>"Heighlightdescription": "at ₹21.67/pc",</t>
  </si>
  <si>
    <t>"Heighlightdescription": "at ₹13.28/pc",</t>
  </si>
  <si>
    <t>"Heighlightdescription": "at ₹25.15/pc",</t>
  </si>
  <si>
    <t>"Heighlightdescription": "at ₹70.62/can",</t>
  </si>
  <si>
    <t>"Heighlightdescription": "at ₹64.81/pc",</t>
  </si>
  <si>
    <t>"Heighlightdescription": "at ₹67.92/can",</t>
  </si>
  <si>
    <t>"Heighlightdescription": "at ₹40.69/bottle",</t>
  </si>
  <si>
    <t>"Heighlightdescription": "at ₹16.27/pc",</t>
  </si>
  <si>
    <t>"Heighlightdescription": "at ₹14.25/pc",</t>
  </si>
  <si>
    <t>"Heighlightdescription": "at ₹25/pc",</t>
  </si>
  <si>
    <t>"Heighlightdescription": "at ₹33.12/can",</t>
  </si>
  <si>
    <t>"Heighlightdescription": "at ₹33.71/pc",</t>
  </si>
  <si>
    <t>"Heighlightdescription": "at ₹17.8/pc",</t>
  </si>
  <si>
    <t>"Heighlightdescription": "at ₹16.02/pc",</t>
  </si>
  <si>
    <t>"Heighlightdescription": "at ₹32.77/pc",</t>
  </si>
  <si>
    <t>"Heighlightdescription": "at ₹30.68/pc",</t>
  </si>
  <si>
    <t>"Heighlightdescription": "at ₹31.38/pc",</t>
  </si>
  <si>
    <t>"Heighlightdescription": "at ₹31.11/pc",</t>
  </si>
  <si>
    <t>"Heighlightdescription": "at ₹78.21/pc",</t>
  </si>
  <si>
    <t>"Heighlightdescription": "at ₹4.75/pc",</t>
  </si>
  <si>
    <t>"Heighlightdescription": "at ₹13.76/ltr",</t>
  </si>
  <si>
    <t>"Heighlightdescription": "at ₹105.04/ltr",</t>
  </si>
  <si>
    <t>"Heighlightdescription": "at ₹109.11/ltr",</t>
  </si>
  <si>
    <t>"Heighlightdescription": "at ₹134/ltr",</t>
  </si>
  <si>
    <t>Products__Name</t>
  </si>
  <si>
    <t>Products__ImagePath</t>
  </si>
  <si>
    <t>Products__UnitPriceV2__Price</t>
  </si>
  <si>
    <t>Products__UnitPriceV2__SubHeading</t>
  </si>
  <si>
    <t>Products__OfferV2__Offers__Text</t>
  </si>
  <si>
    <t>Amul - Butter Salted, 500 gm</t>
  </si>
  <si>
    <t>https://assets.hyperpure.com/data/images/products/60137fc0264ee1eea4159ceefa77007a.png</t>
  </si>
  <si>
    <t>₹236.96/pc for 9 pcs+</t>
  </si>
  <si>
    <t>₹236.43/pc for 18 pcs+</t>
  </si>
  <si>
    <t>Amul - Fresh Cream, 1 L</t>
  </si>
  <si>
    <t>https://assets.hyperpure.com/data/images/products/57a57fde2acb4833599aeec75a0ea5aa.png</t>
  </si>
  <si>
    <t>Ananda - Dahi Matka (Skim), Blue Matka, 5 Kg</t>
  </si>
  <si>
    <t>https://assets.hyperpure.com/data/images/products/3ec44cf63ed3ef7554c2287df0e5f1a6.png</t>
  </si>
  <si>
    <t>at ₹62.29/kg</t>
  </si>
  <si>
    <t>₹60.8/kg for 15 kgs+</t>
  </si>
  <si>
    <t>₹60.29/kg for 25 kgs+</t>
  </si>
  <si>
    <t>Shudh Garhwal - Fresh Paneer, 1 Kg</t>
  </si>
  <si>
    <t>https://assets.hyperpure.com/data/images/products/8fc60720d3f2790243eaceea4b246508.png</t>
  </si>
  <si>
    <t>₹292/kg for 5 kgs+</t>
  </si>
  <si>
    <t>₹290/kg for 8 kgs+</t>
  </si>
  <si>
    <t>Amul - Taaza Milk, 1 L</t>
  </si>
  <si>
    <t>https://assets.hyperpure.com/data/images/products/da142dbf95aa95e7dc71c66fa23d8efb.png</t>
  </si>
  <si>
    <t>₹67.52/ltr for 12 ltrs+</t>
  </si>
  <si>
    <t>₹67.05/ltr for 18 ltrs+</t>
  </si>
  <si>
    <t>Nutralite - Professional Fat Spread, 500 gm</t>
  </si>
  <si>
    <t>https://assets.hyperpure.com/data/images/products/dd8ecb7fe88650eead72003f36f07a66.png</t>
  </si>
  <si>
    <t>₹69.71/pc for 6 pcs+</t>
  </si>
  <si>
    <t>₹69.24/pc for 14 pcs+</t>
  </si>
  <si>
    <t>Madhusudan - Dahi Lite, 1 Kg Pouch</t>
  </si>
  <si>
    <t>https://assets.hyperpure.com/data/images/products/adc8beb56ccfa0b8975d58f67a082630.png</t>
  </si>
  <si>
    <t>₹50.86/kg for 8 kgs+</t>
  </si>
  <si>
    <t>₹49.33/kg for 24 kgs+</t>
  </si>
  <si>
    <t>Madhusudan - Fresh Cream, 1 L Tetra Pak</t>
  </si>
  <si>
    <t>https://assets.hyperpure.com/data/images/products/841c017d0a56048f0e5c707ad2c90534.png</t>
  </si>
  <si>
    <t>Amul - Cheese, Diced Mozzarella, 1 Kg</t>
  </si>
  <si>
    <t>https://assets.hyperpure.com/data/images/products/30d057be8713d237421a0763c7767a3b.png</t>
  </si>
  <si>
    <t>₹412.68/kg for 4 kgs+</t>
  </si>
  <si>
    <t>₹410.62/kg for 12 kgs+</t>
  </si>
  <si>
    <t>Goodrich - Creamy Delite, 500 ml</t>
  </si>
  <si>
    <t>https://assets.hyperpure.com/data/images/products/c275b6997047d68dd7ea76c1247ed7f3.png</t>
  </si>
  <si>
    <t>₹72/pc for 7 pcs+</t>
  </si>
  <si>
    <t>₹71.05/pc for 21 pcs+</t>
  </si>
  <si>
    <t>Amul - Delicious Margarine, 500 gm</t>
  </si>
  <si>
    <t>https://assets.hyperpure.com/data/images/products/ad8a8552370fd45f02421a1790a7e479.png</t>
  </si>
  <si>
    <t>₹68/pc for 11 pcs+</t>
  </si>
  <si>
    <t>₹65.81/pc for 30 pcs+</t>
  </si>
  <si>
    <t>John - Mozzarella Cheese (Diced), 1 Kg</t>
  </si>
  <si>
    <t>https://assets.hyperpure.com/data/images/products/ea33561bfbd81b2a2f8241b54dc8e12d.png</t>
  </si>
  <si>
    <t>₹446.07/kg for 5 kgs+</t>
  </si>
  <si>
    <t>₹445/kg for 15 kgs+</t>
  </si>
  <si>
    <t>Madhusudan - Dahi Magic, 1 Kg Pouch</t>
  </si>
  <si>
    <t>https://assets.hyperpure.com/data/images/products/78767514b73d0c2e9b9f63284035f441.jpg</t>
  </si>
  <si>
    <t>₹64.67/pc for 5 pcs+</t>
  </si>
  <si>
    <t>₹63.14/pc for 15 pcs+</t>
  </si>
  <si>
    <t>John - Cheese (Diced Mozzarella and Cheddar), 1 Kg</t>
  </si>
  <si>
    <t>https://assets.hyperpure.com/data/images/products/ce62b3910c96057b1bcb9e75f3c172fb.png</t>
  </si>
  <si>
    <t>₹449.02/kg for 9 kgs+</t>
  </si>
  <si>
    <t>₹448.04/kg for 22 kgs+</t>
  </si>
  <si>
    <t>Dlecta - Cream Cheese, 1 Kg</t>
  </si>
  <si>
    <t>https://assets.hyperpure.com/data/images/products/cf0b44744f810963b95e81709cfb4fe3.png</t>
  </si>
  <si>
    <t>₹637.05/kg for 3 kgs+</t>
  </si>
  <si>
    <t>₹635/kg for 7 kgs+</t>
  </si>
  <si>
    <t>Amul - Processed Cheese, Block, 1 Kg</t>
  </si>
  <si>
    <t>https://assets.hyperpure.com/data/images/products/a99bf24150146ad6a5db4168d42505a6.png</t>
  </si>
  <si>
    <t>₹456.61/kg for 10 kgs+</t>
  </si>
  <si>
    <t>Milky Mist - Cheese, Diced Mozzarella, 2 Kg</t>
  </si>
  <si>
    <t>https://assets.hyperpure.com/data/images/products/ed658e0ad0463677fbac183e4613c674.jpg</t>
  </si>
  <si>
    <t>at ₹382.01/kg</t>
  </si>
  <si>
    <t>₹381.03/kg for 6 kgs+</t>
  </si>
  <si>
    <t>₹380/kg for 10 kgs+</t>
  </si>
  <si>
    <t>Soft &amp; Fresh Paneer (Analogue), 1 Kg</t>
  </si>
  <si>
    <t>https://assets.hyperpure.com/data/images/products/4bb7eba698cc6c08be35383db649613e.png</t>
  </si>
  <si>
    <t>₹207.05/kg for 3 kgs+</t>
  </si>
  <si>
    <t>₹205.52/kg for 5 kgs+</t>
  </si>
  <si>
    <t>Amul - Processed Cheese, 400 gm Tin</t>
  </si>
  <si>
    <t>https://assets.hyperpure.com/data/images/products/b97d94b5f3537279460661d45f9b5fb8.png</t>
  </si>
  <si>
    <t>₹204.91/pc for 6 pcs+</t>
  </si>
  <si>
    <t>₹204.55/pc for 12 pcs+</t>
  </si>
  <si>
    <t>Badshah - Frozen Chaap, 1 Kg</t>
  </si>
  <si>
    <t>https://assets.hyperpure.com/data/images/products/821da1729f38317c54c69076655f05d4.png</t>
  </si>
  <si>
    <t>₹100/kg for 3 kgs+</t>
  </si>
  <si>
    <t>₹97.05/kg for 6 kgs+</t>
  </si>
  <si>
    <t>Amul - Salted Butter, 100 gm</t>
  </si>
  <si>
    <t>https://assets.hyperpure.com/data/images/products/e1980e9942cedea8f49c8cbb6c86146b.png</t>
  </si>
  <si>
    <t>Amul - Butter Blisters Chiplets (125 Units/Pack), 1 Kg</t>
  </si>
  <si>
    <t>https://assets.hyperpure.com/data/images/products/0a9ba390462ccd656f7bdad896b809d9.jpg</t>
  </si>
  <si>
    <t>at ₹4.21/pc</t>
  </si>
  <si>
    <t>₹4.19/pc for 375 pcs+</t>
  </si>
  <si>
    <t>₹4.17/pc for 625 pcs+</t>
  </si>
  <si>
    <t>Rich's - Cooking Cream, 1 Kg</t>
  </si>
  <si>
    <t>https://assets.hyperpure.com/data/images/products/51c1320518891a305df7e4e45ecb970d.png</t>
  </si>
  <si>
    <t>₹173.56/kg for 6 kgs+</t>
  </si>
  <si>
    <t>₹173.05/kg for 12 kgs+</t>
  </si>
  <si>
    <t>Milkfood - Pure Ghee, 900 ml</t>
  </si>
  <si>
    <t>https://assets.hyperpure.com/data/images/products/ff7380decf6d9f247daceafdbe48515f.png</t>
  </si>
  <si>
    <t>₹431.52/pc for 3 pcs+</t>
  </si>
  <si>
    <t>₹429.73/pc for 6 pcs+</t>
  </si>
  <si>
    <t>Nutralite - Creamylicious (Contains Milk Fat), 500 gm</t>
  </si>
  <si>
    <t>https://assets.hyperpure.com/data/images/products/c9148157-f3ef-4fb5-ba11-3d97180255f5_NutraliteButteryContainsMilkFat500g.jpg</t>
  </si>
  <si>
    <t>₹105.34/pc for 4 pcs+</t>
  </si>
  <si>
    <t>₹104.32/pc for 8 pcs+</t>
  </si>
  <si>
    <t>Ananda - Dahi Matka (TM), Red Matka, 5 Kg</t>
  </si>
  <si>
    <t>https://assets.hyperpure.com/data/images/products/ba150e4459ce60650bb02e758713cf99.png</t>
  </si>
  <si>
    <t>at ₹71.81/kg</t>
  </si>
  <si>
    <t>₹70.84/kg for 15 kgs+</t>
  </si>
  <si>
    <t>₹69.81/kg for 25 kgs+</t>
  </si>
  <si>
    <t>Dairy Craft - Salted Butter, 500 gm</t>
  </si>
  <si>
    <t>https://assets.hyperpure.com/data/images/products/8519641e036b4f7e10280776cbf6449b.png</t>
  </si>
  <si>
    <t>₹214.02/pc for 3 pcs+</t>
  </si>
  <si>
    <t>₹213.57/pc for 9 pcs+</t>
  </si>
  <si>
    <t>Delicious Desserts - Vanilla Ice Cream, 4 L</t>
  </si>
  <si>
    <t>https://assets.hyperpure.com/data/images/products/568d5bc785913cc4ace787eefa345cc9.jpg</t>
  </si>
  <si>
    <t>at ₹79.3/ltr</t>
  </si>
  <si>
    <t>₹78.22/ltr for 12 ltrs+</t>
  </si>
  <si>
    <t>₹76.06/ltr for 20 ltrs+</t>
  </si>
  <si>
    <t>Nutdelight - Fat Spread, 500 gm</t>
  </si>
  <si>
    <t>https://assets.hyperpure.com/data/images/products/30f2b4f0091cdeba962942e09eecc34d.png</t>
  </si>
  <si>
    <t>₹65.05/pc for 7 pcs+</t>
  </si>
  <si>
    <t>₹64/pc for 21 pcs+</t>
  </si>
  <si>
    <t>Amul - Cheese Slice, 750 gm</t>
  </si>
  <si>
    <t>https://assets.hyperpure.com/data/images/products/d6c8e1cb03f3b72640c9edeb634134eb.png</t>
  </si>
  <si>
    <t>at ₹7.24/slice</t>
  </si>
  <si>
    <t>₹7.21/slice for 150 slices+</t>
  </si>
  <si>
    <t>₹7.18/slice for 250 slices+</t>
  </si>
  <si>
    <t>Amul - Gold Milk, 1 L</t>
  </si>
  <si>
    <t>https://assets.hyperpure.com/data/images/products/849c6ae947ab11ae9402a06ce6d691b0.png</t>
  </si>
  <si>
    <t>₹73.24/ltr for 21 ltrs+</t>
  </si>
  <si>
    <t>₹71.43/ltr for 46 ltrs+</t>
  </si>
  <si>
    <t>Active Paneer, 1 Kg</t>
  </si>
  <si>
    <t>https://assets.hyperpure.com/data/images/products/dd3659f1a1b17ccc8800d12f8f532c33.png</t>
  </si>
  <si>
    <t>₹250.38/kg for 3 kgs+</t>
  </si>
  <si>
    <t>₹249.33/kg for 5 kgs+</t>
  </si>
  <si>
    <t>Amul - Butter (Unsalted), 500 gm</t>
  </si>
  <si>
    <t>https://assets.hyperpure.com/data/images/products/ba39364f9a3dd2903bbffdc6d9c39583.jpg</t>
  </si>
  <si>
    <t>₹238.04/pc for 12 pcs+</t>
  </si>
  <si>
    <t>₹233.66/pc for 24 pcs+</t>
  </si>
  <si>
    <t>Anandam - Diced Pizza Cheese, 1 Kg</t>
  </si>
  <si>
    <t>https://assets.hyperpure.com/data/images/products/c12d05c1bb851ef58ec8ee38532e163b.jpg</t>
  </si>
  <si>
    <t>₹373.04/kg for 3 kgs+</t>
  </si>
  <si>
    <t>₹371.07/kg for 5 kgs+</t>
  </si>
  <si>
    <t>Ananda - Dahi Pouch (TM), 1 Kg</t>
  </si>
  <si>
    <t>https://assets.hyperpure.com/data/images/products/8753ccf8e87b0881271ada33bd7663db.png</t>
  </si>
  <si>
    <t>₹68/kg for 4 kgs+</t>
  </si>
  <si>
    <t>₹67.43/kg for 8 kgs+</t>
  </si>
  <si>
    <t>Madhusudan - Dahi Lite, 5 Kg Jar</t>
  </si>
  <si>
    <t>https://assets.hyperpure.com/data/images/products/c43139f6be76cf7fba8dab0c4706c6e5.png</t>
  </si>
  <si>
    <t>at ₹59.49/kg</t>
  </si>
  <si>
    <t>₹57.98/kg for 15 kgs+</t>
  </si>
  <si>
    <t>₹56.48/kg for 25 kgs+</t>
  </si>
  <si>
    <t>Fresh Paneer (Malai), 1 Kg</t>
  </si>
  <si>
    <t>https://assets.hyperpure.com/data/images/products/209fb50a406cd27de1ea9a32263436f9.png</t>
  </si>
  <si>
    <t>₹291.33/kg for 3 kgs+</t>
  </si>
  <si>
    <t>₹290.38/kg for 5 kgs+</t>
  </si>
  <si>
    <t>Amul - Butter Blisters, Chiplets (100 Units/Pack), 1 Kg</t>
  </si>
  <si>
    <t>https://assets.hyperpure.com/data/images/products/22be0eeb63150af88c55549554a900d5.jpg</t>
  </si>
  <si>
    <t>at ₹4.76/pc</t>
  </si>
  <si>
    <t>Tikka Paneer, 1 Kg</t>
  </si>
  <si>
    <t>https://assets.hyperpure.com/data/images/products/93cdec9f77e7af239c0f60d73fdeb39a.png</t>
  </si>
  <si>
    <t>₹213/pc for 3 pcs+</t>
  </si>
  <si>
    <t>₹211/pc for 5 pcs+</t>
  </si>
  <si>
    <t>Dairy Craft - Unsalted Butter, 500 gm</t>
  </si>
  <si>
    <t>https://assets.hyperpure.com/data/images/products/86fe32c26c0dbd2fc4e3777742175770.png</t>
  </si>
  <si>
    <t>₹214.02/pc for 8 pcs+</t>
  </si>
  <si>
    <t>₹213.57/pc for 19 pcs+</t>
  </si>
  <si>
    <t>Ananda - Ghee, 900 ml</t>
  </si>
  <si>
    <t>https://assets.hyperpure.com/data/images/products/17b0389001b391b9c1a17bca14a3e0d6.png</t>
  </si>
  <si>
    <t>₹444.91/pc for 3 pcs+</t>
  </si>
  <si>
    <t>₹443.04/pc for 5 pcs+</t>
  </si>
  <si>
    <t>Ananda - Dahi Matka (Skim), Blue Matka, 15 Kg</t>
  </si>
  <si>
    <t>https://assets.hyperpure.com/data/images/products/889cef80-9df8-4f40-a50b-80e13a277b5e_AnandaDahiMatkaSkimBlueMatka15Kg.jpg</t>
  </si>
  <si>
    <t>at ₹60.7/kg</t>
  </si>
  <si>
    <t>₹59.2/kg for 30 kgs+</t>
  </si>
  <si>
    <t>₹58.7/kg for 60 kgs+</t>
  </si>
  <si>
    <t>Dlecta - Cheese Slice, 765 gm</t>
  </si>
  <si>
    <t>https://assets.hyperpure.com/data/images/products/8ffced80-02dc-454e-b898-c771358d9f89_DlectaCheeseSlice(IndividuallyWrapped51x15Grams)765gm.jpg</t>
  </si>
  <si>
    <t>at ₹6.64/slice</t>
  </si>
  <si>
    <t>₹6.61/slice for 306 slices+</t>
  </si>
  <si>
    <t>₹6.58/slice for 612 slices+</t>
  </si>
  <si>
    <t>Milky Mist - Cheese Slice, 765 gm</t>
  </si>
  <si>
    <t>https://assets.hyperpure.com/data/images/products/a407300f36148a396a783e6856eb4f5f.jpg</t>
  </si>
  <si>
    <t>at ₹6.28/slice</t>
  </si>
  <si>
    <t>₹6.26/slice for 153 slices+</t>
  </si>
  <si>
    <t>₹6.25/slice for 459 slices+</t>
  </si>
  <si>
    <t>Nandini - Good Life Milk, 1 L</t>
  </si>
  <si>
    <t>https://assets.hyperpure.com/data/images/products/dfa409f2424d66cb1f23efcc8de97bc0.png</t>
  </si>
  <si>
    <t>₹61.24/pc for 13 pcs+</t>
  </si>
  <si>
    <t>₹60.76/pc for 38 pcs+</t>
  </si>
  <si>
    <t>Madhusudan - Ghee, 1 L</t>
  </si>
  <si>
    <t>https://assets.hyperpure.com/data/images/products/8932da9ade3ead3cf46831c3109775f7.png</t>
  </si>
  <si>
    <t>₹493.39/ltr for 3 ltrs+</t>
  </si>
  <si>
    <t>₹490.36/ltr for 5 ltrs+</t>
  </si>
  <si>
    <t>Amul - Plain Cheese Spread, 200 gm</t>
  </si>
  <si>
    <t>https://assets.hyperpure.com/data/images/products/c76fed177d70b8e653726a4133e363f1.jpg</t>
  </si>
  <si>
    <t>₹91.96/pc for 8 pcs+</t>
  </si>
  <si>
    <t>₹90.18/pc for 24 pcs+</t>
  </si>
  <si>
    <t>Amul - Butter, Salted, Institutional Pack, 500 gm (Pack Of 40)</t>
  </si>
  <si>
    <t>https://assets.hyperpure.com/data/images/products/1423283d1a433c2fb4af2f3e181c6a8a.png</t>
  </si>
  <si>
    <t>at ₹232.14/pc</t>
  </si>
  <si>
    <t>ProVedic - Pure Desi Ghee, 1 L Ceka Pack</t>
  </si>
  <si>
    <t>https://assets.hyperpure.com/data/images/products/c5e02787eb30cf36fd87d099b2431992.png</t>
  </si>
  <si>
    <t>₹407.95/ltr for 3 ltrs+</t>
  </si>
  <si>
    <t>₹405.98/ltr for 5 ltrs+</t>
  </si>
  <si>
    <t>Amul - Ghee, 1 L</t>
  </si>
  <si>
    <t>https://assets.hyperpure.com/data/images/products/98d60d46422383bd2110ac02dd543dd8.png</t>
  </si>
  <si>
    <t>Heritage - Curd Lite Pouch, 1 Kg</t>
  </si>
  <si>
    <t>https://assets.hyperpure.com/data/images/products/e540f5432bcc116aeff9876cb7ddd325.png</t>
  </si>
  <si>
    <t>₹52/kg for 7 kgs+</t>
  </si>
  <si>
    <t>₹50.57/kg for 20 kgs+</t>
  </si>
  <si>
    <t>Eat Happy - Frozen Soya Chaap, 1 Kg</t>
  </si>
  <si>
    <t>https://assets.hyperpure.com/data/images/products/099221eb5c232fb0798f2f3bd7ac1deb.png</t>
  </si>
  <si>
    <t>₹87.05/kg for 4 kgs+</t>
  </si>
  <si>
    <t>₹85.05/kg for 10 kgs+</t>
  </si>
  <si>
    <t>Amul - Cheese (Diced Blend), 1 Kg</t>
  </si>
  <si>
    <t>https://assets.hyperpure.com/data/images/products/71b10d3fd4f4ec3c33d715f094d2d639.png</t>
  </si>
  <si>
    <t>₹424.2/kg for 5 kgs+</t>
  </si>
  <si>
    <t>₹420.18/kg for 9 kgs+</t>
  </si>
  <si>
    <t>Amul - Cheese Slice, 200 gm</t>
  </si>
  <si>
    <t>https://assets.hyperpure.com/data/images/products/30057a69949a864f16ae717387413bd8.jpg</t>
  </si>
  <si>
    <t>at ₹12.34/slice</t>
  </si>
  <si>
    <t>₹12.32/slice for 30 slices+</t>
  </si>
  <si>
    <t>₹12.02/slice for 50 slices+</t>
  </si>
  <si>
    <t>Nandini - Ghee, 1 L</t>
  </si>
  <si>
    <t>https://assets.hyperpure.com/data/images/products/c5988b9496e68a143ee078f7adfc0376.jpg</t>
  </si>
  <si>
    <t>₹518.48/ltr for 4 ltrs+</t>
  </si>
  <si>
    <t>₹517.5/ltr for 12 ltrs+</t>
  </si>
  <si>
    <t>Shudh Garhwal - Khoya Pindi, 1 Kg</t>
  </si>
  <si>
    <t>https://assets.hyperpure.com/data/images/products/a1fe8be0b1bf41d055967253bc72c1a7.png</t>
  </si>
  <si>
    <t>₹355.05/kg for 3 kgs+</t>
  </si>
  <si>
    <t>₹352/kg for 5 kgs+</t>
  </si>
  <si>
    <t>Shudh Garhwal - Cooking Cream, 1 L</t>
  </si>
  <si>
    <t>https://assets.hyperpure.com/data/images/products/1e6a456e6c65a30604a46cf49aebec2f.png</t>
  </si>
  <si>
    <t>₹203.05/ltr for 6 ltrs+</t>
  </si>
  <si>
    <t>₹201.05/ltr for 8 ltrs+</t>
  </si>
  <si>
    <t>Amul - Mithai Mate EOE, 400 gm</t>
  </si>
  <si>
    <t>https://assets.hyperpure.com/data/images/products/2a77aed9117101c9bc28664bdcc19778.png</t>
  </si>
  <si>
    <t>₹102.5/pc for 5 pcs+</t>
  </si>
  <si>
    <t>₹102.05/pc for 11 pcs+</t>
  </si>
  <si>
    <t>Fresh Malai Paneer (High Fat), 2 Kg</t>
  </si>
  <si>
    <t>https://assets.hyperpure.com/data/images/products/aed0dfc99a532245e8114598774a99ca.png</t>
  </si>
  <si>
    <t>at ₹287/kg</t>
  </si>
  <si>
    <t>Amezo - Parmesan Cheese, 500 gm</t>
  </si>
  <si>
    <t>https://assets.hyperpure.com/data/images/products/707a23d4230d5b8dbca71d12200e9b91.jpeg</t>
  </si>
  <si>
    <t>₹487.5/pack for 2 packs+</t>
  </si>
  <si>
    <t>₹487.05/pack for 4 packs+</t>
  </si>
  <si>
    <t>Ananda - Cream UHT Pack, 1 L</t>
  </si>
  <si>
    <t>https://assets.hyperpure.com/data/images/products/076854289d0beffb7e67899bef6f0a29.jpg</t>
  </si>
  <si>
    <t>₹189/pc for 6 pcs+</t>
  </si>
  <si>
    <t>₹187/pc for 12 pcs+</t>
  </si>
  <si>
    <t>Sonai - UHT Toned Milk, 1 L</t>
  </si>
  <si>
    <t>https://assets.hyperpure.com/data/images/products/8258d4990c5a13a28ac29ca8c53da60a.png</t>
  </si>
  <si>
    <t>Madhusudan - Dahi Magic, 5 Kg Jar</t>
  </si>
  <si>
    <t>https://assets.hyperpure.com/data/images/products/6a61b9f2-cb8f-4dfe-8d32-6c9d6ff78f8f_MadhusudanDahiMagic5KgJar.jpg</t>
  </si>
  <si>
    <t>at ₹61.1/kg</t>
  </si>
  <si>
    <t>₹59.6/kg for 15 kgs+</t>
  </si>
  <si>
    <t>₹58.1/kg for 25 kgs+</t>
  </si>
  <si>
    <t>Dairy Craft - Desi Ghee Jar, 1 L</t>
  </si>
  <si>
    <t>https://assets.hyperpure.com/data/images/products/f4fca6b0d076913e70807830e712cb0a.png</t>
  </si>
  <si>
    <t>₹462.05/kg for 2 kgs+</t>
  </si>
  <si>
    <t>₹461.07/kg for 4 kgs+</t>
  </si>
  <si>
    <t>Dairy Craft - Processed Cheddar, 1 Kg</t>
  </si>
  <si>
    <t>https://assets.hyperpure.com/data/images/products/3e0525f09d4dfebe3816735022a1e68a.png</t>
  </si>
  <si>
    <t>₹408.04/pc for 3 pcs+</t>
  </si>
  <si>
    <t>₹406.07/pc for 5 pcs+</t>
  </si>
  <si>
    <t>John - Mozzarella Block Cheese, 1 Kg</t>
  </si>
  <si>
    <t>https://assets.hyperpure.com/data/images/products/ccc8b480972c423d9dce92886d8b75e6.png</t>
  </si>
  <si>
    <t>₹441.07/kg for 4 kgs+</t>
  </si>
  <si>
    <t>₹439.02/kg for 12 kgs+</t>
  </si>
  <si>
    <t>Cream Pot - Vanilla Ice Cream, 4 L</t>
  </si>
  <si>
    <t>https://assets.hyperpure.com/data/images/products/a2029601ab6bc24e7d3b4bc959d2477c.png</t>
  </si>
  <si>
    <t>at ₹85.78/ltr</t>
  </si>
  <si>
    <t>₹84.68/ltr for 12 ltrs+</t>
  </si>
  <si>
    <t>₹82.5/ltr for 20 ltrs+</t>
  </si>
  <si>
    <t>Shudh Garhwal - Fresh Malai Paneer (Vacuum Pack), 1 Kg</t>
  </si>
  <si>
    <t>https://assets.hyperpure.com/data/images/products/223694611b753a5937756e00c41c459f.png</t>
  </si>
  <si>
    <t>₹320/pc for 2 pcs+</t>
  </si>
  <si>
    <t>Dairy Craft - Cheese Slice, 765 gm</t>
  </si>
  <si>
    <t>https://assets.hyperpure.com/data/images/products/fb949b66a5ef4de7100c6f2cbbd00bf5.png</t>
  </si>
  <si>
    <t>at ₹5.84/slice</t>
  </si>
  <si>
    <t>₹5.81/slice for 153 slices+</t>
  </si>
  <si>
    <t>₹5.8/slice for 306 slices+</t>
  </si>
  <si>
    <t>Ananda - Cow Milk UHT, 1 L</t>
  </si>
  <si>
    <t>https://assets.hyperpure.com/data/images/products/b052175b6869e3c67021605df9a7896a.jpeg</t>
  </si>
  <si>
    <t>₹64.1/pc for 6 pcs+</t>
  </si>
  <si>
    <t>₹63.05/pc for 12 pcs+</t>
  </si>
  <si>
    <t>Ayufarm - Hung Curd (TM), 1 Kg</t>
  </si>
  <si>
    <t>https://assets.hyperpure.com/data/images/products/fb2ca0b034001603b807627b040354e4.png</t>
  </si>
  <si>
    <t>₹131.05/kg for 4 kgs+</t>
  </si>
  <si>
    <t>₹129.05/kg for 6 kgs+</t>
  </si>
  <si>
    <t>Dairy Craft - Mascarpone, 500 gm</t>
  </si>
  <si>
    <t>https://assets.hyperpure.com/data/images/products/bb6e66d6ea43346e018de205fd16f44b.png</t>
  </si>
  <si>
    <t>₹256.52/pc for 4 pcs+</t>
  </si>
  <si>
    <t>₹255.54/pc for 8 pcs+</t>
  </si>
  <si>
    <t>Dlecta - Feta Cheese, 250 gm</t>
  </si>
  <si>
    <t>https://assets.hyperpure.com/data/images/products/be127cc5a9d2378199734e6cde54c362.png</t>
  </si>
  <si>
    <t>₹155.27/pc for 6 pcs+</t>
  </si>
  <si>
    <t>₹154.82/pc for 12 pcs+</t>
  </si>
  <si>
    <t>Shudh Garhwal - Salted (Table) Butter, 500 gm</t>
  </si>
  <si>
    <t>https://assets.hyperpure.com/data/images/products/f683ea4f6b643ff2943746cd8503d084.webp</t>
  </si>
  <si>
    <t>₹234.55/pc for 14 pcs+</t>
  </si>
  <si>
    <t>₹233.57/pc for 20 pcs+</t>
  </si>
  <si>
    <t>Choudhery - Cheese Singles (Slice), 1 Kg</t>
  </si>
  <si>
    <t>https://assets.hyperpure.com/data/images/products/0472724a45046559adb0bfb3bf2d26e1.jpg</t>
  </si>
  <si>
    <t>at ₹5.58/slice</t>
  </si>
  <si>
    <t>₹5.55/slice for 360 slices+</t>
  </si>
  <si>
    <t>₹5.52/slice for 720 slices+</t>
  </si>
  <si>
    <t>Hi-Life - Pizza Diced Topping, 2 Kg</t>
  </si>
  <si>
    <t>https://assets.hyperpure.com/data/images/products/f360da6a088eb28b6bcfa73209ca407b.png</t>
  </si>
  <si>
    <t>at ₹345/kg</t>
  </si>
  <si>
    <t>₹342.01/kg for 6 kgs+</t>
  </si>
  <si>
    <t>₹339.02/kg for 12 kgs+</t>
  </si>
  <si>
    <t>Prabhat - Mozzarella Cheese (Diced), 2 Kg</t>
  </si>
  <si>
    <t>https://assets.hyperpure.com/data/images/products/d1be797a7a2b29b2f00905b816a1d4c2.png</t>
  </si>
  <si>
    <t>at ₹395/kg</t>
  </si>
  <si>
    <t>₹393.04/kg for 8 kgs+</t>
  </si>
  <si>
    <t>₹391.03/kg for 18 kgs+</t>
  </si>
  <si>
    <t>Hi-Life - Mozzarella Blend (Diced), 1 Kg</t>
  </si>
  <si>
    <t>https://assets.hyperpure.com/data/images/products/f5745c8040829db46dfd7d2132bb96dc.png</t>
  </si>
  <si>
    <t>₹378.04/kg for 3 kgs+</t>
  </si>
  <si>
    <t>₹376.07/kg for 5 kgs+</t>
  </si>
  <si>
    <t>Hi-Life - Pizza Cheese Block, 1 Kg</t>
  </si>
  <si>
    <t>https://assets.hyperpure.com/data/images/products/918489f2660a8e273fcc934ff75d37a8.png</t>
  </si>
  <si>
    <t>₹292.05/pc for 3 pcs+</t>
  </si>
  <si>
    <t>₹290/pc for 6 pcs+</t>
  </si>
  <si>
    <t>Prabhat - Mozzarella Cheese (Shredded), 2 Kg</t>
  </si>
  <si>
    <t>https://assets.hyperpure.com/data/images/products/d59cf039793cc57d73c617de38dfae34.png</t>
  </si>
  <si>
    <t>at ₹400/kg</t>
  </si>
  <si>
    <t>₹398.04/kg for 6 kgs+</t>
  </si>
  <si>
    <t>₹396.03/kg for 12 kgs+</t>
  </si>
  <si>
    <t>Dairy Craft - Bocconcini, 200 gm</t>
  </si>
  <si>
    <t>https://assets.hyperpure.com/data/images/products/5942dc7166272f7a7cb3b5c8c3e746c2.png</t>
  </si>
  <si>
    <t>₹115.62/pc for 4 pcs+</t>
  </si>
  <si>
    <t>₹115.27/pc for 8 pcs+</t>
  </si>
  <si>
    <t>Milky Mist - Processed Cheese Block, 1 Kg</t>
  </si>
  <si>
    <t>https://assets.hyperpure.com/data/images/products/083ec11e6d447cc66a4ada70864df043.jpg</t>
  </si>
  <si>
    <t>₹404.29/kg for 3 kgs+</t>
  </si>
  <si>
    <t>₹402.32/kg for 6 kgs+</t>
  </si>
  <si>
    <t>Amul - Cream Cheese, 1 Kg</t>
  </si>
  <si>
    <t>https://assets.hyperpure.com/data/images/products/f64e69064dffcc2abe6ae70df4399157.jpeg</t>
  </si>
  <si>
    <t>₹429.02/kg for 6 kgs+</t>
  </si>
  <si>
    <t>Hi-Life - Singles Cheese Slice, 750 gm</t>
  </si>
  <si>
    <t>https://assets.hyperpure.com/data/images/products/dd61366aba88fde79c80fb87ff2e5d90.png</t>
  </si>
  <si>
    <t>₹280.27/pc for 7 pcs+</t>
  </si>
  <si>
    <t>₹278.04/pc for 14 pcs+</t>
  </si>
  <si>
    <t>Amul - Cow Ghee, 1 L</t>
  </si>
  <si>
    <t>https://assets.hyperpure.com/data/images/products/62213fbebc7e0b4eda78b711d130a6f8.jpg</t>
  </si>
  <si>
    <t>₹525.45/pc for 5 pcs+</t>
  </si>
  <si>
    <t>Amul - Safed Makkhan, 500 gm</t>
  </si>
  <si>
    <t>https://assets.hyperpure.com/data/images/products/14fdccd8448fbbf779a38b92b47e63f1.png</t>
  </si>
  <si>
    <t>₹238.04/pc for 15 pcs+</t>
  </si>
  <si>
    <t>₹236.96/pc for 30 pcs+</t>
  </si>
  <si>
    <t>Dlecta - Mascarpone Tub, 400 gm</t>
  </si>
  <si>
    <t>https://assets.hyperpure.com/data/images/products/d9737f06d8f984a77b80fbc444ef56ba.jpg</t>
  </si>
  <si>
    <t>₹263.47/pc for 6 pcs+</t>
  </si>
  <si>
    <t>₹263.05/pc for 12 pcs+</t>
  </si>
  <si>
    <t>Amul - Lite Milk Fat Spread, 500 gm</t>
  </si>
  <si>
    <t>https://assets.hyperpure.com/data/images/products/7f9c0e2c4b6243d74089cb72b085a288.png</t>
  </si>
  <si>
    <t>₹191.96/pc for 5 pcs+</t>
  </si>
  <si>
    <t>₹190.98/pc for 15 pcs+</t>
  </si>
  <si>
    <t>John - Cheese (Mozzarella + Cheddar + Gouda), 1 Kg</t>
  </si>
  <si>
    <t>https://assets.hyperpure.com/data/images/products/8c1f6744adf012ad250af28c85e61781.png</t>
  </si>
  <si>
    <t>₹458.04/kg for 8 kgs+</t>
  </si>
  <si>
    <t>₹456.07/kg for 16 kgs+</t>
  </si>
  <si>
    <t>Shudh Garhwal - White Butter, 1 Kg</t>
  </si>
  <si>
    <t>https://assets.hyperpure.com/data/images/products/e563c88ae28e444361bc92a2ec13cef4.webp</t>
  </si>
  <si>
    <t>₹465/kg for 6 kgs+</t>
  </si>
  <si>
    <t>₹463.04/kg for 12 kgs+</t>
  </si>
  <si>
    <t>D'lecta - Mozzarella Cheese (Shredded), 2 Kg</t>
  </si>
  <si>
    <t>https://assets.hyperpure.com/data/images/products/5a665359d740bf10c6f2d41eab7553dc.png</t>
  </si>
  <si>
    <t>at ₹418.52/kg</t>
  </si>
  <si>
    <t>₹416.52/kg for 6 kgs+</t>
  </si>
  <si>
    <t>₹414.51/kg for 12 kgs+</t>
  </si>
  <si>
    <t>Dynamix - Mozzarella Diced Cheese, 2 Kg</t>
  </si>
  <si>
    <t>https://assets.hyperpure.com/data/images/products/5b68a6a1765e6b68bdaa71f64af4ab6b.png</t>
  </si>
  <si>
    <t>at ₹380/kg</t>
  </si>
  <si>
    <t>₹378.04/kg for 6 kgs+</t>
  </si>
  <si>
    <t>₹377.01/kg for 12 kgs+</t>
  </si>
  <si>
    <t>Dairy Craft - Burrata, 250 gm</t>
  </si>
  <si>
    <t>https://assets.hyperpure.com/data/images/products/be4d142daaa329af837e40f8400655ee.png</t>
  </si>
  <si>
    <t>Dairy Craft - Fetta Cheese, 400 gm</t>
  </si>
  <si>
    <t>https://assets.hyperpure.com/data/images/products/0e63f15461e726767e0db8d5413e065d.png</t>
  </si>
  <si>
    <t>₹257.05/pc for 6 pcs+</t>
  </si>
  <si>
    <t>₹256.25/pc for 12 pcs+</t>
  </si>
  <si>
    <t>Dynamix - Shredded Mozzarella Cheese, 1 Kg</t>
  </si>
  <si>
    <t>https://assets.hyperpure.com/data/images/products/9f15d5c78fae038b7152137c569ee1cd.png</t>
  </si>
  <si>
    <t>₹367.05/kg for 3 kgs+</t>
  </si>
  <si>
    <t>₹364.02/kg for 6 kgs+</t>
  </si>
  <si>
    <t>Dairy Craft - Fetta Cheese, 200 gm</t>
  </si>
  <si>
    <t>https://assets.hyperpure.com/data/images/products/29722bf2b37d108a3430a5ea039facb1.png</t>
  </si>
  <si>
    <t>Delicious Desserts - Chocolate Ice Cream, 4 L</t>
  </si>
  <si>
    <t>https://assets.hyperpure.com/data/images/products/398288d526a0158d3f4fb27788d99f85.jpg</t>
  </si>
  <si>
    <t>at ₹96.29/ltr</t>
  </si>
  <si>
    <t>₹95.76/ltr for 8 ltrs+</t>
  </si>
  <si>
    <t>₹95.21/ltr for 16 ltrs+</t>
  </si>
  <si>
    <t>Dairy Craft - Processed Cheese Block, 1 Kg</t>
  </si>
  <si>
    <t>https://assets.hyperpure.com/data/images/products/dbaf5277d4e7dcb0efb89b52b828d96c.png</t>
  </si>
  <si>
    <t>₹413.04/kg for 6 kgs+</t>
  </si>
  <si>
    <t>₹411.07/kg for 12 kgs+</t>
  </si>
  <si>
    <t>Choudhery - Pizza Cheese, 1 Kg</t>
  </si>
  <si>
    <t>https://assets.hyperpure.com/data/images/products/efae15e84c08ae5ac73eb27cb0b8a9a8.png</t>
  </si>
  <si>
    <t>₹313.04/kg for 6 kgs+</t>
  </si>
  <si>
    <t>₹311.07/kg for 12 kgs+</t>
  </si>
  <si>
    <t>Ayufarm - Salted Butter, 500 gm</t>
  </si>
  <si>
    <t>https://assets.hyperpure.com/data/images/products/a0f12bd47a86abf5a7bcc1f7bbe0d67c.png</t>
  </si>
  <si>
    <t>₹205.45/pc for 6 pcs+</t>
  </si>
  <si>
    <t>₹204.46/pc for 12 pcs+</t>
  </si>
  <si>
    <t>Prabhat - Mozzarella Cheese (Blend), 2 Kg</t>
  </si>
  <si>
    <t>https://assets.hyperpure.com/data/images/products/eeeecc27875871b4fbeadc9143f09d62.png</t>
  </si>
  <si>
    <t>at ₹406.02/kg</t>
  </si>
  <si>
    <t>₹404.02/kg for 4 kgs+</t>
  </si>
  <si>
    <t>₹402.01/kg for 8 kgs+</t>
  </si>
  <si>
    <t>Madhusudan - Salted Butter, 500 gm</t>
  </si>
  <si>
    <t>https://assets.hyperpure.com/data/images/products/ad5b520b0a3b90b91444748c8a99f1ae.png</t>
  </si>
  <si>
    <t>₹219.37/pc for 12 pcs+</t>
  </si>
  <si>
    <t>₹217.86/pc for 24 pcs+</t>
  </si>
  <si>
    <t>Cream Pot - Chocolate Ice Cream, 4 L</t>
  </si>
  <si>
    <t>https://assets.hyperpure.com/data/images/products/815287ca49091259c6f3e942d98a0afa.png</t>
  </si>
  <si>
    <t>at ₹103.09/ltr</t>
  </si>
  <si>
    <t>₹102.01/ltr for 8 ltrs+</t>
  </si>
  <si>
    <t>₹99.85/ltr for 16 ltrs+</t>
  </si>
  <si>
    <t>Madhusudan - Desi Ghee, 15 Kg Tin</t>
  </si>
  <si>
    <t>https://assets.hyperpure.com/data/images/products/5aa5c22ed52c53c6e385fc016262ad0f.webp</t>
  </si>
  <si>
    <t>Ayufarm - Unsalted Butter, 500 gm</t>
  </si>
  <si>
    <t>https://assets.hyperpure.com/data/images/products/7c0f37b44e3d23d4fb456f3039bd6b66.png</t>
  </si>
  <si>
    <t>₹213.93/pc for 6 pcs+</t>
  </si>
  <si>
    <t>₹212.95/pc for 12 pcs+</t>
  </si>
  <si>
    <t>Delicious Desserts - Butterscotch Ice Cream, 4 L</t>
  </si>
  <si>
    <t>https://assets.hyperpure.com/data/images/products/b23f46ded39995ddccd552b7280a845e.jpg</t>
  </si>
  <si>
    <t>at ₹85.4/ltr</t>
  </si>
  <si>
    <t>₹84.32/ltr for 8 ltrs+</t>
  </si>
  <si>
    <t>₹82.16/ltr for 16 ltrs+</t>
  </si>
  <si>
    <t>Dairy Craft - Mozzarella Bufala, 200 gm</t>
  </si>
  <si>
    <t>https://assets.hyperpure.com/data/images/products/b4415e0e399df652253ff3f8dc0ed827.png</t>
  </si>
  <si>
    <t>Dlecta - Cheese Sauce, 1 Kg Tub</t>
  </si>
  <si>
    <t>https://assets.hyperpure.com/data/images/products/87e3d447290b91a6431313d56c3da7d3.png</t>
  </si>
  <si>
    <t>₹375/kg for 3 kgs+</t>
  </si>
  <si>
    <t>₹374.02/kg for 6 kgs+</t>
  </si>
  <si>
    <t>Amul - Mithai Mate EOE, 7.5 Kg</t>
  </si>
  <si>
    <t>https://assets.hyperpure.com/data/images/products/4021eb96f29efa5777e67cccc6855e1d.jpeg</t>
  </si>
  <si>
    <t>Ananda - Cow Ghee, 900 ml</t>
  </si>
  <si>
    <t>https://assets.hyperpure.com/data/images/products/a55134cec6bf45f96abec6ca3d9bd11e.png</t>
  </si>
  <si>
    <t>₹462.77/pc for 4 pcs+</t>
  </si>
  <si>
    <t>₹460.98/pc for 12 pcs+</t>
  </si>
  <si>
    <t>Amul - Fresh Cream, 25O ml</t>
  </si>
  <si>
    <t>https://assets.hyperpure.com/data/images/products/b5deab5ec63de1070f6fd5da432807ec.png</t>
  </si>
  <si>
    <t>Ananda - Paneer Professional, 1 Kg</t>
  </si>
  <si>
    <t>https://assets.hyperpure.com/data/images/products/26467f54077234fefa60a15382640f23.png</t>
  </si>
  <si>
    <t>₹316.19/kg for 2 kgs+</t>
  </si>
  <si>
    <t>₹310.57/kg for 4 kgs+</t>
  </si>
  <si>
    <t>Delicious Desserts - Strawberry Ice Cream, 4 L</t>
  </si>
  <si>
    <t>https://assets.hyperpure.com/data/images/products/d5164dd6354922fb6dccdc481003094c.jpg</t>
  </si>
  <si>
    <t>at ₹80.3/ltr</t>
  </si>
  <si>
    <t>₹79.77/ltr for 8 ltrs+</t>
  </si>
  <si>
    <t>₹79.22/ltr for 16 ltrs+</t>
  </si>
  <si>
    <t>Shudh Garhwal - Extra Dry Butter (Unsalted), 1 Kg</t>
  </si>
  <si>
    <t>https://assets.hyperpure.com/data/images/products/0a08a4caf54d50938aace7f60a3306da.png</t>
  </si>
  <si>
    <t>₹509.02/kg for 6 kgs+</t>
  </si>
  <si>
    <t>₹507.05/kg for 12 kgs+</t>
  </si>
  <si>
    <t>Prabhat - Cheese Sauce, 500 gm</t>
  </si>
  <si>
    <t>https://assets.hyperpure.com/data/images/products/15a7da6ca33cd66ef85005f08931cccc.png</t>
  </si>
  <si>
    <t>₹154.02/pc for 3 pcs+</t>
  </si>
  <si>
    <t>₹153.04/pc for 6 pcs+</t>
  </si>
  <si>
    <t>Ayufarm - Dahi Matka (Toned), Blue Matka, 15 Kg</t>
  </si>
  <si>
    <t>https://assets.hyperpure.com/data/images/products/829f8537b56c2dcf7499beb47c987098.png</t>
  </si>
  <si>
    <t>at ₹44.29/kg</t>
  </si>
  <si>
    <t>Cream Pot - Strawberry Ice Cream, 4 L</t>
  </si>
  <si>
    <t>https://assets.hyperpure.com/data/images/products/a2a2317ecd12cda920d92dcfc6f5cc73.png</t>
  </si>
  <si>
    <t>at ₹85.61/ltr</t>
  </si>
  <si>
    <t>₹84.56/ltr for 8 ltrs+</t>
  </si>
  <si>
    <t>₹82.37/ltr for 16 ltrs+</t>
  </si>
  <si>
    <t>Bocconcini, 500 gm</t>
  </si>
  <si>
    <t>https://assets.hyperpure.com/data/images/products/f99fafe1abe3e2f0c994545948a3c83b.png</t>
  </si>
  <si>
    <t>₹276.52/pack for 3 packs+</t>
  </si>
  <si>
    <t>₹275.54/pack for 6 packs+</t>
  </si>
  <si>
    <t>Dynamix - Mozzarella Shredded Cheese, 2 Kg</t>
  </si>
  <si>
    <t>https://assets.hyperpure.com/data/images/products/b9f7e9f936172f4bb7334617a33e3f61.png</t>
  </si>
  <si>
    <t>at ₹365/kg</t>
  </si>
  <si>
    <t>₹363.04/kg for 8 kgs+</t>
  </si>
  <si>
    <t>₹361.03/kg for 16 kgs+</t>
  </si>
  <si>
    <t>Ananda - Gold T20 Milk, 1 L</t>
  </si>
  <si>
    <t>https://assets.hyperpure.com/data/images/products/63255a9778e7e612a4b2e5598eae46bb.jpg</t>
  </si>
  <si>
    <t>₹67.81/ltr for 12 ltrs+</t>
  </si>
  <si>
    <t>Amul - Masti Buttermilk, 200 ml</t>
  </si>
  <si>
    <t>https://assets.hyperpure.com/data/images/products/edb94bfefc4162e67effce9056dc4267.jpg</t>
  </si>
  <si>
    <t>₹7.62/pc for 50 pcs+</t>
  </si>
  <si>
    <t>Amul - Masti Buttermilk, 200 ml (Pack of 30)</t>
  </si>
  <si>
    <t>https://assets.hyperpure.com/data/images/products/d3cf707ad9af41cd6291e022e222873a.jpg</t>
  </si>
  <si>
    <t>at ₹14.29/pc</t>
  </si>
  <si>
    <t>Delicious Desserts - Mango Ice Cream, 4 L</t>
  </si>
  <si>
    <t>https://assets.hyperpure.com/data/images/products/af730d167d7f4bab1345e022193682b4.jpg</t>
  </si>
  <si>
    <t>at ₹116.55/ltr</t>
  </si>
  <si>
    <t>₹115.47/ltr for 8 ltrs+</t>
  </si>
  <si>
    <t>₹114.39/ltr for 16 ltrs+</t>
  </si>
  <si>
    <t>Heritage - Curd (TM), 1 Kg Pouch</t>
  </si>
  <si>
    <t>https://assets.hyperpure.com/data/images/products/cb0e267b41825f47e4fd56db0bbcf018.png</t>
  </si>
  <si>
    <t>₹57.05/pc for 10 pcs+</t>
  </si>
  <si>
    <t>₹56.1/pc for 19 pcs+</t>
  </si>
  <si>
    <t>Dynamix - Processed Cheese Block (Easy Melt), 1 Kg</t>
  </si>
  <si>
    <t>https://assets.hyperpure.com/data/images/products/f6b6bd5b5ed786182b3ef2338736dc3a.png</t>
  </si>
  <si>
    <t>₹385/pc for 3 pcs+</t>
  </si>
  <si>
    <t>₹384.02/pc for 6 pcs+</t>
  </si>
  <si>
    <t>JK Dairy - TOP Cream Cheese, 1 Kg</t>
  </si>
  <si>
    <t>https://assets.hyperpure.com/data/images/products/c6aee85b1ead61db4bd66148bc824d91.png</t>
  </si>
  <si>
    <t>₹451.43/kg for 2 kgs+</t>
  </si>
  <si>
    <t>₹449.46/kg for 4 kgs+</t>
  </si>
  <si>
    <t>Amul - Masti Buttermilk, 1 L Tetra Pak</t>
  </si>
  <si>
    <t>https://assets.hyperpure.com/data/images/products/fa31bc51c24d40afc1123884bb02f40c.png</t>
  </si>
  <si>
    <t>₹63.9/pc for 3 pcs+</t>
  </si>
  <si>
    <t>₹63.43/pc for 5 pcs+</t>
  </si>
  <si>
    <t>Fresh Mozzarella, 500 gm</t>
  </si>
  <si>
    <t>https://assets.hyperpure.com/data/images/products/9d4dfb074ea3d15d2c41f62f27875f43.png</t>
  </si>
  <si>
    <t>₹296.52/pack for 3 packs+</t>
  </si>
  <si>
    <t>₹295.54/pack for 6 packs+</t>
  </si>
  <si>
    <t>Dynamix - Processed Cheese Slice on Slice,  4.54 Kg</t>
  </si>
  <si>
    <t>https://assets.hyperpure.com/data/images/products/8d3c9609a2153c53ab4260ea463425ae.png</t>
  </si>
  <si>
    <t>Shudh Garhwal - Cream Cheese, 800 gm</t>
  </si>
  <si>
    <t>https://assets.hyperpure.com/data/images/products/ee52450343ea8c559ebc220e8d439547.png</t>
  </si>
  <si>
    <t>₹482.41/pc for 6 pcs+</t>
  </si>
  <si>
    <t>₹480.8/pc for 10 pcs+</t>
  </si>
  <si>
    <t>GoodNutra - Sweetened Condensed Milk, 21 Kg</t>
  </si>
  <si>
    <t>https://assets.hyperpure.com/data/images/products/0fd3f864c81a4f4c1df5b7db564c8e0f.png</t>
  </si>
  <si>
    <t>Dairy Craft - Cream Cheese, 1 Kg</t>
  </si>
  <si>
    <t>https://assets.hyperpure.com/data/images/products/e06ab5c47f13a9694eff89ed9ddea640.png</t>
  </si>
  <si>
    <t>Milky Mist - Cream Cheese, 1 Kg</t>
  </si>
  <si>
    <t>https://assets.hyperpure.com/data/images/products/6d8d0b095d0f7daa50afdb15a0a54dc4.jpg</t>
  </si>
  <si>
    <t>₹475/kg for 3 kgs+</t>
  </si>
  <si>
    <t>₹473.04/kg for 8 kgs+</t>
  </si>
  <si>
    <t>President - Cheddar Processed Cheese Slices, 765 gm</t>
  </si>
  <si>
    <t>https://assets.hyperpure.com/data/images/products/f2ba1e343e5339445129fb19cd6d0b83.jpg</t>
  </si>
  <si>
    <t>at ₹6.15/slice</t>
  </si>
  <si>
    <t>₹6.12/slice for 408 slices+</t>
  </si>
  <si>
    <t>₹6.06/slice for 816 slices+</t>
  </si>
  <si>
    <t>Milky Mist - Cream Cheese, 400 gm (Pack of 12)</t>
  </si>
  <si>
    <t>https://assets.hyperpure.com/data/images/products/df5132efc719fd12ddee19dbc5e8b731.jpg</t>
  </si>
  <si>
    <t>at ₹205/pc</t>
  </si>
  <si>
    <t>President - Unsalted Butter (IP), 10 Kg</t>
  </si>
  <si>
    <t>https://assets.hyperpure.com/data/images/products/fb451ce5723a2bdcd90112deef200a52.png</t>
  </si>
  <si>
    <t>at ₹465/kg</t>
  </si>
  <si>
    <t>Amul - Lassi, 1 L Tetra Pak</t>
  </si>
  <si>
    <t>https://assets.hyperpure.com/data/images/products/80216d2903b0f1aed5241332ea70ce33.png</t>
  </si>
  <si>
    <t>₹82.29/pc for 6 pcs+</t>
  </si>
  <si>
    <t>₹81.33/pc for 12 pcs+</t>
  </si>
  <si>
    <t>Shudh Garhwal - Mozzarella Shredded Cheese, 2 Kg</t>
  </si>
  <si>
    <t>https://assets.hyperpure.com/data/images/products/27997c9e13678a8283837eb23d0a3fa2.webp</t>
  </si>
  <si>
    <t>at ₹399.02/kg</t>
  </si>
  <si>
    <t>Milk Joy - Premium Grade Ghee, 1 L</t>
  </si>
  <si>
    <t>https://assets.hyperpure.com/data/images/products/8a410dcace601804582c2f984a0e443e.png</t>
  </si>
  <si>
    <t>₹407.5/pc for 6 pcs+</t>
  </si>
  <si>
    <t>₹404.46/pc for 12 pcs+</t>
  </si>
  <si>
    <t>Milky Mist - Butter Chiplets, (100 Units/Pack), 1 Kg</t>
  </si>
  <si>
    <t>https://assets.hyperpure.com/data/images/products/796bb7d901d6e97d9c1847e13ad238c5.jpg</t>
  </si>
  <si>
    <t>at ₹4.26/pc</t>
  </si>
  <si>
    <t>₹4.25/pc for 600 pcs+</t>
  </si>
  <si>
    <t>₹4.24/pc for 1200 pcs+</t>
  </si>
  <si>
    <t>Dlecta - Pasteurised Table Butter, Institutional Pack, 500 gm (Pack of 30)</t>
  </si>
  <si>
    <t>https://assets.hyperpure.com/data/images/products/507b6dce262aa3f92598c822fe966855.jpeg</t>
  </si>
  <si>
    <t>at ₹150/pc</t>
  </si>
  <si>
    <t>Provedic - Pure Desi Ghee, 15 Kg Tin</t>
  </si>
  <si>
    <t>https://assets.hyperpure.com/data/images/products/21dbe310982d35cb9e618c604abcf17a.png</t>
  </si>
  <si>
    <t>at ₹408.86/kg</t>
  </si>
  <si>
    <t>₹406.86/kg for 45 kgs+</t>
  </si>
  <si>
    <t>Milkfood - Pure Ghee, 15 Kg</t>
  </si>
  <si>
    <t>https://assets.hyperpure.com/data/images/products/79e339b3-ab4c-4508-95e4-4da5aeef6504_MilkfoodPureGhee15kg.jpg</t>
  </si>
  <si>
    <t>at ₹482.38/kg</t>
  </si>
  <si>
    <t>₹479.38/kg for 45 kgs+</t>
  </si>
  <si>
    <t>Dairy Craft - Coloured Cheese Slices, 765 gm</t>
  </si>
  <si>
    <t>https://assets.hyperpure.com/data/images/products/db2da75b604d13c7bdf2fe2d2104e3c6.png</t>
  </si>
  <si>
    <t>Milky Mist - Butter (Unsalted), 100 gm</t>
  </si>
  <si>
    <t>https://assets.hyperpure.com/data/images/products/338a087ec2ce6aff5c02d9f7bfe7591f.jpg</t>
  </si>
  <si>
    <t>Dairy Craft - Salted Butter (Institutional Pack), 500 gm (Pack of 40)</t>
  </si>
  <si>
    <t>https://assets.hyperpure.com/data/images/products/1b5b3670d3ae8002dbfc9f6175f5acd3.png</t>
  </si>
  <si>
    <t>at ₹204.12/pc</t>
  </si>
  <si>
    <t>Dairy Craft - Desi Ghee Tub, 15 Kg</t>
  </si>
  <si>
    <t>https://assets.hyperpure.com/data/images/products/53ef76b431d7f00c7a519d09836d8c96.png</t>
  </si>
  <si>
    <t>at ₹515.65/kg</t>
  </si>
  <si>
    <t>₹513.65/kg for 30 kgs+</t>
  </si>
  <si>
    <t>₹510.65/kg for 75 kgs+</t>
  </si>
  <si>
    <t>KRJ - Fresh Paneer, 1 Kg</t>
  </si>
  <si>
    <t>https://assets.hyperpure.com/data/images/products/23fee931e6099ee95da552a00a18fb9e.webp</t>
  </si>
  <si>
    <t>Paneer Slices, 525 gm (Pack of 5)</t>
  </si>
  <si>
    <t>https://assets.hyperpure.com/data/images/products/8ab94d3862d881ba298c2fd3425b2c74.png</t>
  </si>
  <si>
    <t>Dairy Craft - Scamorza Affumicata (Smoked), 300 gm</t>
  </si>
  <si>
    <t>https://assets.hyperpure.com/data/images/products/a0f13b3bf7b8a91a16480522ad69461c.jpeg</t>
  </si>
  <si>
    <t>Heritage - Cow Ghee (Tetra Pack), 1 L</t>
  </si>
  <si>
    <t>https://assets.hyperpure.com/data/images/products/ca799165e073db2d5ad55d65128da048.jpg</t>
  </si>
  <si>
    <t>₹487.86/pc for 3 pcs+</t>
  </si>
  <si>
    <t>₹483.84/pc for 6 pcs+</t>
  </si>
  <si>
    <t>Buffala Mozzarella, 200 gm</t>
  </si>
  <si>
    <t>https://assets.hyperpure.com/data/images/products/fa5707f24b8da62fb531d5beec8a81e6.png</t>
  </si>
  <si>
    <t>Milk Joy - Premium Grade Ghee, 15 Kg</t>
  </si>
  <si>
    <t>https://assets.hyperpure.com/data/images/products/1306957dbfe9b1441912526c658f4dcb.png</t>
  </si>
  <si>
    <t>at ₹477.5/kg</t>
  </si>
  <si>
    <t>₹471.17/kg for 60 kgs+</t>
  </si>
  <si>
    <t>Amul - Khoa Bucket (Frozen), 12 Kg</t>
  </si>
  <si>
    <t>https://assets.hyperpure.com/data/images/products/cdb5ecbfa6bd5369d9a25ee9d66044a8.png</t>
  </si>
  <si>
    <t>at ₹333.33/kg</t>
  </si>
  <si>
    <t>KRJ - Paneer Slices, 1 Kg</t>
  </si>
  <si>
    <t>https://assets.hyperpure.com/data/images/products/db8ccd23a31afa5a4f152f71419acd5f.png</t>
  </si>
  <si>
    <t>Bocconcini, 200 gm</t>
  </si>
  <si>
    <t>https://assets.hyperpure.com/data/images/products/0f63f1f70d7f63d42a300b9d7eb6d303.png</t>
  </si>
  <si>
    <t>Milk Joy - Premium Grade Ghee, 15 Kg (DD)</t>
  </si>
  <si>
    <t>https://assets.hyperpure.com/data/images/products/bac44af486402f7675c81064dd12c3ff.png</t>
  </si>
  <si>
    <t>at ₹466.67/kg</t>
  </si>
  <si>
    <t>Gyan - Khoya Plain, 5 Kg</t>
  </si>
  <si>
    <t>https://assets.hyperpure.com/data/images/products/9bfb40bc959ad494676d0772f2ec9a49.png</t>
  </si>
  <si>
    <t>at ₹278.1/kg</t>
  </si>
  <si>
    <t>Nandini - Good Life Gold, 1 L</t>
  </si>
  <si>
    <t>https://assets.hyperpure.com/data/images/products/eb31588a10590035ba5d01e170cdc0e3.jpeg</t>
  </si>
  <si>
    <t>Milk Joy - Cow Ghee, 900 ml</t>
  </si>
  <si>
    <t>https://assets.hyperpure.com/data/images/products/0feae000f3e5ef9ea5f1d481e95d56b5.png</t>
  </si>
  <si>
    <t>Plantaway - Plant Based Cheddar, 250 gm</t>
  </si>
  <si>
    <t>https://assets.hyperpure.com/data/images/products/1203e4fc91faee31e2a53a1b25966da5.png</t>
  </si>
  <si>
    <t>Plantaway - Plant Based Shredded Mozzarella, 250 gm</t>
  </si>
  <si>
    <t>https://assets.hyperpure.com/data/images/products/ca93e76ca03a0d1cd5a2b41e5ac82f08.png</t>
  </si>
  <si>
    <t>Plantaway - Plant Based Butter, 200 gm</t>
  </si>
  <si>
    <t>https://assets.hyperpure.com/data/images/products/e6d25692051d5d05bda964d5748a4b01.png</t>
  </si>
  <si>
    <t>Nandini - Processed Cheese Block, 500 gm</t>
  </si>
  <si>
    <t>https://assets.hyperpure.com/data/images/products/f031c30a6f83e75cc59a20f6e5827afa.png</t>
  </si>
  <si>
    <t>Flanders - Mozzarella Block Cheese, 16 Kg Box</t>
  </si>
  <si>
    <t>https://assets.hyperpure.com/data/images/products/841f35d1b520253f32d20398a7aed10c.webp</t>
  </si>
  <si>
    <t>at ₹824.71/pc</t>
  </si>
  <si>
    <t>President - Pasteurised Cooking Butter (Unsalted) Institutional Pack, 500 gm (Pack of 10)</t>
  </si>
  <si>
    <t>https://assets.hyperpure.com/data/images/products/53018abe2c7ff1959d3311687c2229ff.png</t>
  </si>
  <si>
    <t>at ₹230.5/pc</t>
  </si>
  <si>
    <t>Amezo - Mozzarella Block Cheese, 1 Kg</t>
  </si>
  <si>
    <t>https://assets.hyperpure.com/data/images/products/c294a4833f5b324a8883004ec05349cd.jpg</t>
  </si>
  <si>
    <t>Amezo - White Cheddar Cheese, 1 Kg</t>
  </si>
  <si>
    <t>https://assets.hyperpure.com/data/images/products/b5a5742aa8c8cd7b667cec5c15af8d5a.jpg</t>
  </si>
  <si>
    <t>Amezo - Feta Cheese, 200 gm</t>
  </si>
  <si>
    <t>https://assets.hyperpure.com/data/images/products/96d2b8718b1d6bda2c0be51dbe4f4d20.jpg</t>
  </si>
  <si>
    <t>Amezo - Edam Cheese, 200 gm</t>
  </si>
  <si>
    <t>https://assets.hyperpure.com/data/images/products/2437928cdbeff12edbba24415544cfbb.jpg</t>
  </si>
  <si>
    <t>Amezo - Gouda Cheese, 200 gm</t>
  </si>
  <si>
    <t>https://assets.hyperpure.com/data/images/products/a137740498d58e25a3bec828f6f0a821.jpg</t>
  </si>
  <si>
    <t>Amezo - Yellow Cheddar Block Cheese, 1 Kg</t>
  </si>
  <si>
    <t>https://assets.hyperpure.com/data/images/products/85a54aaa10e0e31ba9a2e3d595341258.png</t>
  </si>
  <si>
    <t>Dairy Craft - Frozen Cream, 1 Kg</t>
  </si>
  <si>
    <t>https://assets.hyperpure.com/data/images/products/ddc18ad01feff749d0f92a5676488478.png</t>
  </si>
  <si>
    <t xml:space="preserve">Paras - Desi Ghee, 15 Kg </t>
  </si>
  <si>
    <t>https://assets.hyperpure.com/data/images/products/bf0f2076f3a68068fd10c2260bed91bb.jpg</t>
  </si>
  <si>
    <t>at ₹537.02/kg</t>
  </si>
  <si>
    <t>Dynamix - (Blend) Diced Mozzarella Cheddar Cheese, 2 Kg</t>
  </si>
  <si>
    <t>https://assets.hyperpure.com/data/images/products/856d038eb579060afff500a065c22c30.png</t>
  </si>
  <si>
    <t>at ₹396.02/kg</t>
  </si>
  <si>
    <t>Atheya - Unsalted Butter, 500 gm</t>
  </si>
  <si>
    <t>https://assets.hyperpure.com/data/images/products/a29277c355cf579dee59467c598aa59d.png</t>
  </si>
  <si>
    <t>Nandini - Butter Chiplets (100 Units/Pack), 1 Kg</t>
  </si>
  <si>
    <t>https://assets.hyperpure.com/data/images/products/7159245ed2c368880552b46719c93456.jpg</t>
  </si>
  <si>
    <t>Dynamix - Processed Cheese Block (High Melt), 1 Kg</t>
  </si>
  <si>
    <t>https://assets.hyperpure.com/data/images/products/b2ade61b97fd3d5821c18747928c4812.png</t>
  </si>
  <si>
    <t>₹367.05/pc for 6 pcs+</t>
  </si>
  <si>
    <t>₹364.02/pc for 12 pcs+</t>
  </si>
  <si>
    <t>Dynamix - Cheese Slices (Yellow), 765 gm</t>
  </si>
  <si>
    <t>https://assets.hyperpure.com/data/images/products/1dfb3e08921c7b7a387b073dd43f7fd3.png</t>
  </si>
  <si>
    <t>₹276.16/pc for 3 pcs+</t>
  </si>
  <si>
    <t>₹274.64/pc for 6 pcs+</t>
  </si>
  <si>
    <t>Gokul - Ghee, 5 L Jar</t>
  </si>
  <si>
    <t>https://assets.hyperpure.com/data/images/products/e0ca574036b252f125dc852f4106549c.png</t>
  </si>
  <si>
    <t>at ₹520.55/ltr</t>
  </si>
  <si>
    <t>Geet Foods - Fresh Paneer, 1 Kg (Medium Fat)</t>
  </si>
  <si>
    <t>https://assets.hyperpure.com/data/images/products/56edf1b5a7baae094fa0ec386a59229a.png</t>
  </si>
  <si>
    <t>₹270/kg for 3 kgs+</t>
  </si>
  <si>
    <t>₹267/kg for 5 kgs+</t>
  </si>
  <si>
    <t>Atheya - Non Fat Paneer (0.5%), 1 Kg</t>
  </si>
  <si>
    <t>https://assets.hyperpure.com/data/images/products/8b68987e40ad4b58be55da1d62ddd1db.png</t>
  </si>
  <si>
    <t>₹232/kg for 4 kgs+</t>
  </si>
  <si>
    <t>₹230/kg for 7 kgs+</t>
  </si>
  <si>
    <t>Dynamix - UHT Fresh Cream, 1 L</t>
  </si>
  <si>
    <t>https://assets.hyperpure.com/data/images/products/9ce56df7c5158a4581ddcc2dcca24259.png</t>
  </si>
  <si>
    <t>₹185/ltr for 3 ltrs+</t>
  </si>
  <si>
    <t>₹183/ltr for 9 ltrs+</t>
  </si>
  <si>
    <t>Milky Mist - Processed Cheese Hard Block, 1 Kg</t>
  </si>
  <si>
    <t>https://assets.hyperpure.com/data/images/products/be5f33b3ce0ca3eade4159ed40d7cd1b.png</t>
  </si>
  <si>
    <t>Nand Gokul - Ghee, 1 L</t>
  </si>
  <si>
    <t>https://assets.hyperpure.com/data/images/products/8d65e841232f4a6c6eeea762c3d3030a.jpeg</t>
  </si>
  <si>
    <t>₹511.61/ltr for 2 ltrs+</t>
  </si>
  <si>
    <t>₹510.54/ltr for 5 ltrs+</t>
  </si>
  <si>
    <t>Fresh Paneer, (3.2 - 3.5 Kg/Block)</t>
  </si>
  <si>
    <t>https://assets.hyperpure.com/data/images/products/8eade4f38bd3a66260111948a9442a2e.png</t>
  </si>
  <si>
    <t>at ₹210.61/kg</t>
  </si>
  <si>
    <t>₹210/kg for 9.9 kgs+</t>
  </si>
  <si>
    <t>₹209.39/kg for 16.5 kgs+</t>
  </si>
  <si>
    <t>Sri Murugan - Cow Ghee, 1 L</t>
  </si>
  <si>
    <t>https://assets.hyperpure.com/data/images/products/6ebe63ff26da8c8b98c67489367c692c.png</t>
  </si>
  <si>
    <t>Swastika - Cow Ghee, 1 L</t>
  </si>
  <si>
    <t>https://assets.hyperpure.com/data/images/products/bfb4d70ad0f4c8d65e882ce3d58e4ed2.png</t>
  </si>
  <si>
    <t>₹465/ltr for 6 ltrs+</t>
  </si>
  <si>
    <t>₹462.5/ltr for 12 ltrs+</t>
  </si>
  <si>
    <t>Amul - Masti Curd, 5 Kg</t>
  </si>
  <si>
    <t>https://assets.hyperpure.com/data/images/products/60edc9e050375289cb220c5a94cb35e7.png</t>
  </si>
  <si>
    <t>at ₹70.38/kg</t>
  </si>
  <si>
    <t>₹69.39/kg for 15 kgs+</t>
  </si>
  <si>
    <t>₹68.38/kg for 25 kgs+</t>
  </si>
  <si>
    <t>Milky Mist - Sweetened Condensed Milk, 400 gm</t>
  </si>
  <si>
    <t>https://assets.hyperpure.com/data/images/products/0b9806381f146f0b5e9024625d015452.png</t>
  </si>
  <si>
    <t>₹97.68/pc for 24 pcs+</t>
  </si>
  <si>
    <t>Ruchi - Low Fat Paneer, 1 Kg</t>
  </si>
  <si>
    <t>https://assets.hyperpure.com/data/images/products/8b0b28591d7a8a7d5eb60517ca722103.png</t>
  </si>
  <si>
    <t>₹218/kg for 4 kgs+</t>
  </si>
  <si>
    <t>₹216/kg for 8 kgs+</t>
  </si>
  <si>
    <t>Krishna - Premium Skimmed Milk Powder, 25 Kg</t>
  </si>
  <si>
    <t>https://assets.hyperpure.com/data/images/products/64feb7ce047374a273f05d14d61e8e1c.png</t>
  </si>
  <si>
    <t>Swastika - Premium Unsalted Butter, 500 gm</t>
  </si>
  <si>
    <t>https://assets.hyperpure.com/data/images/products/283b090796e09ff0dccb6571e2e541b3.png</t>
  </si>
  <si>
    <t>₹209.55/pc for 5 pcs+</t>
  </si>
  <si>
    <t>₹209.02/pc for 10 pcs+</t>
  </si>
  <si>
    <t>Swastika - Premium Salted Butter, 500 gm</t>
  </si>
  <si>
    <t>https://assets.hyperpure.com/data/images/products/455fc49f008e574d9303a4953ea1ec8b.png</t>
  </si>
  <si>
    <t>Sri Murugan - Ghee, 15 Kg Tin (White Ghee)</t>
  </si>
  <si>
    <t>https://assets.hyperpure.com/data/images/products/c92edbbc0ac37d41423f01755ebfda31.png</t>
  </si>
  <si>
    <t>at ₹591/kg</t>
  </si>
  <si>
    <t>₹590/kg for 30 kgs+</t>
  </si>
  <si>
    <t>₹589/kg for 60 kgs+</t>
  </si>
  <si>
    <t>Jharna - Ghee, 1 L</t>
  </si>
  <si>
    <t>https://assets.hyperpure.com/data/images/products/b8a4eb588bd6ab89da87653e43d398f4.png</t>
  </si>
  <si>
    <t>₹574.82/ltr for 5 ltrs+</t>
  </si>
  <si>
    <t>₹572.86/ltr for 10 ltrs+</t>
  </si>
  <si>
    <t>Aahhaa - Pure Ghee, 1 L</t>
  </si>
  <si>
    <t>https://assets.hyperpure.com/data/images/products/1eac9b4c2a55dbdcfb8ee74d14a0b956.png</t>
  </si>
  <si>
    <t>₹459.02/ltr for 5 ltrs+</t>
  </si>
  <si>
    <t>₹458.04/ltr for 10 ltrs+</t>
  </si>
  <si>
    <t>Dilicia - Ghee, 15 Kg Tin</t>
  </si>
  <si>
    <t>https://assets.hyperpure.com/data/images/products/4325044b7baa7abd65e073288b86c15a.png</t>
  </si>
  <si>
    <t>Dlecta - Bake Stable Cheese, 1 Kg</t>
  </si>
  <si>
    <t>https://assets.hyperpure.com/data/images/products/7b2fe7c12f51c59d51edf048a5d6758c.jpeg</t>
  </si>
  <si>
    <t>Tabela Paneer, 1 Kg</t>
  </si>
  <si>
    <t>https://assets.hyperpure.com/data/images/products/fcf9e854c92fcb59caeaddcee5f66e87.png</t>
  </si>
  <si>
    <t>Darshan Dairy - Curd, 1 Kg</t>
  </si>
  <si>
    <t>https://assets.hyperpure.com/data/images/products/6d78275856a0988886ac6a8997b68e52.png</t>
  </si>
  <si>
    <t>Hariyali Mawa, 1 Kg</t>
  </si>
  <si>
    <t>https://assets.hyperpure.com/data/images/products/5f71ba007374dbaa0460f266ac202934.png</t>
  </si>
  <si>
    <t>Sada Mawa, 1 Kg</t>
  </si>
  <si>
    <t>https://assets.hyperpure.com/data/images/products/f0fb4358bd061730a2564dd5994f2b3b.png</t>
  </si>
  <si>
    <t>Amul - Butter (Unsalted), 100 gm</t>
  </si>
  <si>
    <t>https://assets.hyperpure.com/data/images/products/b71e20d48120ab8ecd5c2b129e022337.png</t>
  </si>
  <si>
    <t>Amul - Cream Cheese, 180 gm</t>
  </si>
  <si>
    <t>https://assets.hyperpure.com/data/images/products/44726315e4746c87d64302b591738e40.jpg</t>
  </si>
  <si>
    <t>Milky Mist - UHT Toned Milk, 1 L</t>
  </si>
  <si>
    <t>https://assets.hyperpure.com/data/images/products/45fabfddacf92dd33821e25b7f6e1be2.png</t>
  </si>
  <si>
    <t>Prabhat - Cheddar Cheese (Diced), 2 Kg</t>
  </si>
  <si>
    <t>https://assets.hyperpure.com/data/images/products/62ccfa99ce0352ca42377b1869bad887.png</t>
  </si>
  <si>
    <t>Dodla - Double Toned Curd, 900 gm</t>
  </si>
  <si>
    <t>https://assets.hyperpure.com/data/images/products/03590a9483cce89e23e1a4f4e6dfbdcb.jpg</t>
  </si>
  <si>
    <t>Sri Murugan - Ghee, 15 Kg Tin</t>
  </si>
  <si>
    <t>https://assets.hyperpure.com/data/images/products/045c0714f0b35ea66787e8493da573ae.png</t>
  </si>
  <si>
    <t>at ₹623.14/kg</t>
  </si>
  <si>
    <t>Vijaya - Ghee, 1 L</t>
  </si>
  <si>
    <t>https://assets.hyperpure.com/data/images/products/7c28476f316bb8decce7e13a7a6f08c1.jpg</t>
  </si>
  <si>
    <t>Nova - Shudh Ghee, 15 Kg Tin</t>
  </si>
  <si>
    <t>https://assets.hyperpure.com/data/images/products/abd9209148512739c052ba77ffb9cdc0.png</t>
  </si>
  <si>
    <t>at ₹488.31/kg</t>
  </si>
  <si>
    <t>Vallhabha - Cooking Butter, 500 gm</t>
  </si>
  <si>
    <t>https://assets.hyperpure.com/data/images/products/80ec19fa499f4bf5417a0d0a5a70344f.png</t>
  </si>
  <si>
    <t>Nattu's - Fresh Paneer, 1 Kg</t>
  </si>
  <si>
    <t>https://assets.hyperpure.com/data/images/products/ea4e3b04b3c11e5f39010d3325bd0152.jpeg</t>
  </si>
  <si>
    <t>Amul - Cheese Easy Open Chiplets, 200 gm</t>
  </si>
  <si>
    <t>https://assets.hyperpure.com/data/images/products/f46dae09934774151e17033cd68c0d53.jpg</t>
  </si>
  <si>
    <t>Amul - Mithai Mate EOE, 2.5 Kg</t>
  </si>
  <si>
    <t>https://assets.hyperpure.com/data/images/products/544d9614b9785233d7a413ed1766ed65.jpg</t>
  </si>
  <si>
    <t>RKG - Ghee, 15 L Tin</t>
  </si>
  <si>
    <t>https://assets.hyperpure.com/data/images/products/0c3ded5d964b602599a79131d54f0a61.png</t>
  </si>
  <si>
    <t>RKG - Ghee, 1 L</t>
  </si>
  <si>
    <t>https://assets.hyperpure.com/data/images/products/e5c0b12958bb297a564206d9ef00ed1c.png</t>
  </si>
  <si>
    <t>Vallhabha - Cow Ghee, 1 L</t>
  </si>
  <si>
    <t>https://assets.hyperpure.com/data/images/products/e4b4a4ab9b897d402b7f1da61204f118.jpg</t>
  </si>
  <si>
    <t>₹442.05/ltr for 6 ltrs+</t>
  </si>
  <si>
    <t>₹440/ltr for 10 ltrs+</t>
  </si>
  <si>
    <t>Aahhaa - Khova, 1 Kg</t>
  </si>
  <si>
    <t>https://assets.hyperpure.com/data/images/products/89166e585e12a92ca5a9d9c1310ba9e4.jpg</t>
  </si>
  <si>
    <t>₹253.05/kg for 5 kgs+</t>
  </si>
  <si>
    <t>₹251.05/kg for 8 kgs+</t>
  </si>
  <si>
    <t>Heritage - Buffalo Ghee, 1 L</t>
  </si>
  <si>
    <t>https://assets.hyperpure.com/data/images/products/b2025b7b0c434a077053f091dd341ac6.jpg</t>
  </si>
  <si>
    <t>₹509.73/pc for 5 pcs+</t>
  </si>
  <si>
    <t>₹508.75/pc for 12 pcs+</t>
  </si>
  <si>
    <t>Vallhabha - Bucket Curd, 10 Kg</t>
  </si>
  <si>
    <t>https://assets.hyperpure.com/data/images/products/b52b92c6c68bcba14afd563ce3198fd2.jpeg</t>
  </si>
  <si>
    <t>at ₹67.24/kg</t>
  </si>
  <si>
    <t>₹66.74/kg for 20 kgs+</t>
  </si>
  <si>
    <t>₹65.64/kg for 40 kgs+</t>
  </si>
  <si>
    <t>Prabhat - Dahi (Low Fat), 1 Kg</t>
  </si>
  <si>
    <t>https://assets.hyperpure.com/data/images/products/95d798acb2cf3f810f154d72651c7955.png</t>
  </si>
  <si>
    <t>₹60.57/pc for 6 pcs+</t>
  </si>
  <si>
    <t>Aahhaa - Double Toned Curd, 1 Kg Pouch</t>
  </si>
  <si>
    <t>https://assets.hyperpure.com/data/images/products/d204d9399101e3a858e9efefdbc17ba4.jpg</t>
  </si>
  <si>
    <t>₹54/kg for 12 kgs+</t>
  </si>
  <si>
    <t>₹53.05/kg for 24 kgs+</t>
  </si>
  <si>
    <t>Vimal - Processed Cheese Block, 1 Kg</t>
  </si>
  <si>
    <t>https://assets.hyperpure.com/data/images/products/0999194e000de69911de7ffa925e6b96.png</t>
  </si>
  <si>
    <t>₹412.95/kg for 6 kgs+</t>
  </si>
  <si>
    <t>₹410.98/kg for 12 kgs+</t>
  </si>
  <si>
    <t>Gokul - Ghee, 1 L</t>
  </si>
  <si>
    <t>https://assets.hyperpure.com/data/images/products/3b506f3cb27b85dd58e2190d4f824117.jpg</t>
  </si>
  <si>
    <t>₹502.23/ltr for 3 ltrs+</t>
  </si>
  <si>
    <t>₹500.27/ltr for 5 ltrs+</t>
  </si>
  <si>
    <t>Vallhabha - Paneer, 1 Kg</t>
  </si>
  <si>
    <t>https://assets.hyperpure.com/data/images/products/ef6f0cb18b333778cf9d6c80e61f7281.jpg</t>
  </si>
  <si>
    <t>₹320.57/kg for 6 kgs+</t>
  </si>
  <si>
    <t>₹319.05/kg for 13 kgs+</t>
  </si>
  <si>
    <t>Amulspray - Infant Milk Food, 1 Kg</t>
  </si>
  <si>
    <t>https://assets.hyperpure.com/data/images/products/df1f80a57ceef82c0cf4065f290645fe.jpg</t>
  </si>
  <si>
    <t>₹416.48/pc for 6 pcs+</t>
  </si>
  <si>
    <t>₹415.43/pc for 10 pcs+</t>
  </si>
  <si>
    <t>Vallhabha - Double Toned Curd, 950 gm</t>
  </si>
  <si>
    <t>https://assets.hyperpure.com/data/images/products/72f481c6f7e277c49dc7b4a906469ee6.png</t>
  </si>
  <si>
    <t>₹54.29/pc for 10 pcs+</t>
  </si>
  <si>
    <t>₹53.81/pc for 19 pcs+</t>
  </si>
  <si>
    <t>Red Cow - Ghee, 1 L</t>
  </si>
  <si>
    <t>https://assets.hyperpure.com/data/images/products/496e4c43d89cf082093e56a56fec138a.jpg</t>
  </si>
  <si>
    <t>₹553.75/ltr for 3 ltrs+</t>
  </si>
  <si>
    <t>₹552.77/ltr for 5 ltrs+</t>
  </si>
  <si>
    <t>Milky Mist - Fresh Cream, 250 ml</t>
  </si>
  <si>
    <t>https://assets.hyperpure.com/data/images/products/9c1ee5c4cad3625d9b6295f33c490526.jpg</t>
  </si>
  <si>
    <t>President - Processed Cheddar Cheese Slice, 765 gm</t>
  </si>
  <si>
    <t>https://assets.hyperpure.com/data/images/products/ab73ccf0d2e39887de7a802b97f4c9c6.jpeg</t>
  </si>
  <si>
    <t>at ₹6.06/slice</t>
  </si>
  <si>
    <t>₹6.03/slice for 153 slices+</t>
  </si>
  <si>
    <t>₹6/slice for 255 slices+</t>
  </si>
  <si>
    <t>Tikka Fresh, 1 Kg</t>
  </si>
  <si>
    <t>https://assets.hyperpure.com/data/images/products/740ba7ef25ce3c1e55adfd12c684e4d7.png</t>
  </si>
  <si>
    <t>₹230/kg for 3 kgs+</t>
  </si>
  <si>
    <t>Sri Murugan - Ghee,  1 L</t>
  </si>
  <si>
    <t>https://assets.hyperpure.com/data/images/products/b5e2afd596075ff450360c5a650f961a.jpg</t>
  </si>
  <si>
    <t>₹620.36/ltr for 3 ltrs+</t>
  </si>
  <si>
    <t>₹618.93/ltr for 5 ltrs+</t>
  </si>
  <si>
    <t>Aahhaa - Paneer, 1 Kg (Non-Fat)</t>
  </si>
  <si>
    <t>https://assets.hyperpure.com/data/images/products/13eaeb75974f0647c3488c35cc447066.png</t>
  </si>
  <si>
    <t>₹256/kg for 3 kgs+</t>
  </si>
  <si>
    <t>₹254/kg for 6 kgs+</t>
  </si>
  <si>
    <t>Vallhabha - Double Toned Curd, 940 gm</t>
  </si>
  <si>
    <t>https://assets.hyperpure.com/data/images/products/af62110924af6646fe6931eef56b7cc3.png</t>
  </si>
  <si>
    <t>₹56.57/pc for 11 pcs+</t>
  </si>
  <si>
    <t>₹55.62/pc for 30 pcs+</t>
  </si>
  <si>
    <t>Soft Spot - Vegan Truffle Cheese, 150 gm</t>
  </si>
  <si>
    <t>https://assets.hyperpure.com/data/images/products/0ec02b40016447993df0bc9cc1ec0c6f.png</t>
  </si>
  <si>
    <t>₹132.23/pc for 2 pcs+</t>
  </si>
  <si>
    <t>₹132.05/pc for 6 pcs+</t>
  </si>
  <si>
    <t>Soft Spot - Vegan Smoked Cheddar Cheese, 200 gm</t>
  </si>
  <si>
    <t>https://assets.hyperpure.com/data/images/products/70e8938c2f587db5f037a9f5e76c2728.png</t>
  </si>
  <si>
    <t>₹133.39/pack for 2 packs+</t>
  </si>
  <si>
    <t>₹133.21/pack for 6 packs+</t>
  </si>
  <si>
    <t>Soft Spot - Vegan Parmesan Cheese, 200 gm</t>
  </si>
  <si>
    <t>https://assets.hyperpure.com/data/images/products/226e50a1a3b074257b93083404e4aa8b.png</t>
  </si>
  <si>
    <t>₹135.71/pack for 3 packs+</t>
  </si>
  <si>
    <t>₹135.45/pack for 5 packs+</t>
  </si>
  <si>
    <t>Soft Spot - Vegan Mozzarella Cheese (Soft), 200 gm</t>
  </si>
  <si>
    <t>https://assets.hyperpure.com/data/images/products/0cfa7adb95317bc3c3bfcde5361c8479.jpg</t>
  </si>
  <si>
    <t>₹135.71/pack for 2 packs+</t>
  </si>
  <si>
    <t>₹135.45/pack for 6 packs+</t>
  </si>
  <si>
    <t>Soft Spot - Vegan Mozzarella Cheese, 200 gm</t>
  </si>
  <si>
    <t>https://assets.hyperpure.com/data/images/products/721b14b52b5a0faaabaa86a2be747429.png</t>
  </si>
  <si>
    <t>Soft Spot - Vegan Cheddar Cheese, 200 gm</t>
  </si>
  <si>
    <t>https://assets.hyperpure.com/data/images/products/87b1fde630770eaf5257394d863f8ecd.png</t>
  </si>
  <si>
    <t>Modern Dairy - Fresh Mawa, 1 Kg</t>
  </si>
  <si>
    <t>https://assets.hyperpure.com/data/images/products/1baa8a21838c063dca398bd9a7f9fac4.png</t>
  </si>
  <si>
    <t>₹315.05/kg for 3 kgs+</t>
  </si>
  <si>
    <t>₹313.43/kg for 7 kgs+</t>
  </si>
  <si>
    <t>Modern Dairy - Veg. Chaap, 1 Kg</t>
  </si>
  <si>
    <t>https://assets.hyperpure.com/data/images/products/ff778412f896cfc8623b649ef835e740.jpg</t>
  </si>
  <si>
    <t>₹136/kg for 5 kgs+</t>
  </si>
  <si>
    <t>Amul - Feta Cheese, 250 gm</t>
  </si>
  <si>
    <t>https://assets.hyperpure.com/data/images/products/5a51671112856dc09061239c0a2a16de.jpg</t>
  </si>
  <si>
    <t>Amul - Gouda Cheese, 250 gm</t>
  </si>
  <si>
    <t>https://assets.hyperpure.com/data/images/products/1de1188d9f4afc46eaa57abf4bf7f501.jpg</t>
  </si>
  <si>
    <t>SDP - Toned Curd, 1 Kg Pouch</t>
  </si>
  <si>
    <t>https://assets.hyperpure.com/data/images/products/9e72d431094727b7f1f040f383d7f51b.png</t>
  </si>
  <si>
    <t>₹65.52/pc for 7 pcs+</t>
  </si>
  <si>
    <t>Malai Paneer,1 Kg</t>
  </si>
  <si>
    <t>https://assets.hyperpure.com/data/images/products/6ce5097731578ecafa905c6d4246c504.jpg</t>
  </si>
  <si>
    <t>₹312/kg for 4 kgs+</t>
  </si>
  <si>
    <t>₹310/kg for 7 kgs+</t>
  </si>
  <si>
    <t>Fresh  Paneer, 1 Kg</t>
  </si>
  <si>
    <t>https://assets.hyperpure.com/data/images/products/af237aa7cafb23b602b695e883c877f6.png</t>
  </si>
  <si>
    <t>₹303/kg for 5 kgs+</t>
  </si>
  <si>
    <t>₹301/kg for 13 kgs+</t>
  </si>
  <si>
    <t>Vangal - Curd  (Toned), 1 Kg</t>
  </si>
  <si>
    <t>https://assets.hyperpure.com/data/images/products/680fa5d767a921d73b9b262339fa43fe.png</t>
  </si>
  <si>
    <t>₹61/kg for 10 kgs+</t>
  </si>
  <si>
    <t>₹60/kg for 16 kgs+</t>
  </si>
  <si>
    <t>Vangal - Paneer  (Malai), 1 Kg</t>
  </si>
  <si>
    <t>https://assets.hyperpure.com/data/images/products/e840bdd6a0030d231b5e1d89bfa2068b.png</t>
  </si>
  <si>
    <t>₹341/kg for 5 kgs+</t>
  </si>
  <si>
    <t>₹339/kg for 10 kgs+</t>
  </si>
  <si>
    <t>Govind - Curd, 10 Kg Tub</t>
  </si>
  <si>
    <t>https://assets.hyperpure.com/data/images/products/e85b21112480672a959c6101b7b030b1.jpg</t>
  </si>
  <si>
    <t>at ₹70/kg</t>
  </si>
  <si>
    <t>₹68.51/kg for 20 kgs+</t>
  </si>
  <si>
    <t>₹67/kg for 40 kgs+</t>
  </si>
  <si>
    <t>Amezo - Paneer, 1 Kg</t>
  </si>
  <si>
    <t>https://assets.hyperpure.com/data/images/products/1d540b45d180520a9cb259b3c444687d.png</t>
  </si>
  <si>
    <t>₹252/kg for 3 kgs+</t>
  </si>
  <si>
    <t>₹251.05/kg for 5 kgs+</t>
  </si>
  <si>
    <t>Amulya - Dairy Whitener, 25 Kg Bag</t>
  </si>
  <si>
    <t>https://assets.hyperpure.com/data/images/products/0cc353e63903c9a376fc29a40772bf18.png</t>
  </si>
  <si>
    <t>at ₹280/kg</t>
  </si>
  <si>
    <t>Vallhabha - Toned Curd, 940 gm</t>
  </si>
  <si>
    <t>https://assets.hyperpure.com/data/images/products/159822f4209e1b2a097c7b46807698fb.png</t>
  </si>
  <si>
    <t>₹55.62/pc for 11 pcs+</t>
  </si>
  <si>
    <t>₹54.67/pc for 23 pcs+</t>
  </si>
  <si>
    <t>Milky Mist - Cow Ghee, 1 L (Pouch)</t>
  </si>
  <si>
    <t>https://assets.hyperpure.com/data/images/products/1c97986c352d8ea1a078197a0e861d13.jpeg</t>
  </si>
  <si>
    <t>₹481.07/ltr for 3 ltrs+</t>
  </si>
  <si>
    <t>₹479.02/ltr for 5 ltrs+</t>
  </si>
  <si>
    <t>Vangal - Ghee, 15 Kg Tin</t>
  </si>
  <si>
    <t>https://assets.hyperpure.com/data/images/products/61591e6197aeee2443a872fcb7b21d0e.png</t>
  </si>
  <si>
    <t>₹8,107.32/pc for 2 pcs+</t>
  </si>
  <si>
    <t>₹8,077.32/pc for 5 pcs+</t>
  </si>
  <si>
    <t>Krishna - Ghee, 15 Kg Tin</t>
  </si>
  <si>
    <t>https://assets.hyperpure.com/data/images/products/48e1f6af0958505ef0b1fcc359457f26.png</t>
  </si>
  <si>
    <t>Ayufarm - Frozen Hung Curd (TM), 1 Kg</t>
  </si>
  <si>
    <t>https://assets.hyperpure.com/data/images/products/8977df06d139997746fefe500c8e50fd.png</t>
  </si>
  <si>
    <t>Khoya, 1 Kg</t>
  </si>
  <si>
    <t>https://assets.hyperpure.com/data/images/products/7171376f7439e612f964f0ab5f9a74fd.png</t>
  </si>
  <si>
    <t>Heritage - Cheese Slice, 480 gm</t>
  </si>
  <si>
    <t>https://assets.hyperpure.com/data/images/products/668b531f3e013b18284d3c742959f519.png</t>
  </si>
  <si>
    <t>Heritage - Ghee, 1 L</t>
  </si>
  <si>
    <t>https://assets.hyperpure.com/data/images/products/7651dccd1abbaf813a19abb310375e8a.png</t>
  </si>
  <si>
    <t>Heritage - Cow Ghee, 1 L</t>
  </si>
  <si>
    <t>https://assets.hyperpure.com/data/images/products/6c30b87b0509e6bd38e9cabac9d91b14.png</t>
  </si>
  <si>
    <t>Heritage - Table Butter, 500 gm</t>
  </si>
  <si>
    <t>https://assets.hyperpure.com/data/images/products/b7702d8d3d204323c4df8b3a02b79b31.png</t>
  </si>
  <si>
    <t>Heritage - Cooking Butter, 500 gm</t>
  </si>
  <si>
    <t>https://assets.hyperpure.com/data/images/products/7eed943ad4861e38cbba21c693278c33.png</t>
  </si>
  <si>
    <t>Milky Mist - Butter Blisters (100 units/pack), 1 Kg</t>
  </si>
  <si>
    <t>https://assets.hyperpure.com/data/images/products/126905f444e76a6b67df297cc417d0ea.jpg</t>
  </si>
  <si>
    <t>at ₹4.29/pc</t>
  </si>
  <si>
    <t>Kaizen - Dhaap Khoya, 1 Kg</t>
  </si>
  <si>
    <t>https://assets.hyperpure.com/data/images/products/fccc8a4fd04dde6e774bf9cd86e85bab.jpg</t>
  </si>
  <si>
    <t>Warana - Table Butter, 500 gm</t>
  </si>
  <si>
    <t>https://assets.hyperpure.com/data/images/products/8eaaf17782290d9d4ad4c957f1613a0c.jpg</t>
  </si>
  <si>
    <t>Fresh Paneer,  1 Kg</t>
  </si>
  <si>
    <t>https://assets.hyperpure.com/data/images/products/7c087c7690ba846d9c1905569397dc0a.png</t>
  </si>
  <si>
    <t>Malai Paneer, 5 Kg Block</t>
  </si>
  <si>
    <t>https://assets.hyperpure.com/data/images/products/b1e4eed9580c6e632437b5bba973ace6.png</t>
  </si>
  <si>
    <t>at ₹285/kg</t>
  </si>
  <si>
    <t>Derista - Mozzarella Cheese Shredded, 1 Kg</t>
  </si>
  <si>
    <t>https://assets.hyperpure.com/data/images/products/ca5f84f9872996d6ec571ea93453dbae.png</t>
  </si>
  <si>
    <t>Brahmaraj - Paneer, 1 Kg</t>
  </si>
  <si>
    <t>https://assets.hyperpure.com/data/images/products/14ed4bc2ac41b3c620eb1b92b6b87de5.jpg</t>
  </si>
  <si>
    <t>SDP - Fresh Premium Paneer, 1 Kg</t>
  </si>
  <si>
    <t>https://assets.hyperpure.com/data/images/products/60c579b794853499bc1cec773fdc00b1.jpeg</t>
  </si>
  <si>
    <t>SDP - Rich N Soft Paneer, 1 Kg</t>
  </si>
  <si>
    <t>https://assets.hyperpure.com/data/images/products/0a2bb8cb29ee201dfea9ff1159a2a46f.png</t>
  </si>
  <si>
    <t>Derista - Filler Cheese, 500 gm</t>
  </si>
  <si>
    <t>https://assets.hyperpure.com/data/images/products/8fd33777f9ce1889bf21d6724bf19735.png</t>
  </si>
  <si>
    <t>Amul - Ghee, 1 L Tin</t>
  </si>
  <si>
    <t>https://assets.hyperpure.com/data/images/products/ba2601795f2ea64682f111757b15837c.jpeg</t>
  </si>
  <si>
    <t>Dynamix - Salted Butter Institutional Pack, 500 gm (Pack of 30)</t>
  </si>
  <si>
    <t>https://assets.hyperpure.com/data/images/products/5188d29c4542629eba249b2cced29cde.png</t>
  </si>
  <si>
    <t>at ₹217.5/pc</t>
  </si>
  <si>
    <t>Dynamix - Sandwich Slices, 765 gm</t>
  </si>
  <si>
    <t>https://assets.hyperpure.com/data/images/products/44a30b3f767cd7bae7c017fa57809145.png</t>
  </si>
  <si>
    <t>at ₹5.3/slice</t>
  </si>
  <si>
    <t>Amul - Processed Cheese Cubes (40 Unit Pack), 1 Kg</t>
  </si>
  <si>
    <t>https://assets.hyperpure.com/data/images/products/f45569b3dd195be3e64a59b0d5b196db.png</t>
  </si>
  <si>
    <t>₹502.05/kg for 3 kgs+</t>
  </si>
  <si>
    <t>Amul - Butter (Salted), 100 gm</t>
  </si>
  <si>
    <t>https://assets.hyperpure.com/data/images/products/000c6ec2d6925ee5bc16b789a421334d.png</t>
  </si>
  <si>
    <t>₹49.55/pc for 5 pcs+</t>
  </si>
  <si>
    <t>Derista - Pizza Topping, 1 Kg</t>
  </si>
  <si>
    <t>https://assets.hyperpure.com/data/images/products/fe7a40b961c2fcdb2698d5ff4ec1d566.jpg</t>
  </si>
  <si>
    <t>₹361.07/kg for 4 kgs+</t>
  </si>
  <si>
    <t>₹360/kg for 12 kgs+</t>
  </si>
  <si>
    <t>Adya - Paneer, 1 Kg</t>
  </si>
  <si>
    <t>https://assets.hyperpure.com/data/images/products/23f639e9ad67107eb8e5ec98f6f40fb2.png</t>
  </si>
  <si>
    <t>₹321.52/kg for 3 kgs+</t>
  </si>
  <si>
    <t>₹320.57/kg for 5 kgs+</t>
  </si>
  <si>
    <t>Adya - Curd, 1 Kg</t>
  </si>
  <si>
    <t>https://assets.hyperpure.com/data/images/products/de6bcf273ee4a74ded65c94b707ededa.jpeg</t>
  </si>
  <si>
    <t>₹66.76/kg for 8 kgs+</t>
  </si>
  <si>
    <t>₹66.29/kg for 24 kgs+</t>
  </si>
  <si>
    <t>Adya - Pure Cow Ghee, 1 L</t>
  </si>
  <si>
    <t>https://assets.hyperpure.com/data/images/products/b29690b781a88a8d04a64303f107bfb6.jpg</t>
  </si>
  <si>
    <t>₹461.52/ltr for 5 ltrs+</t>
  </si>
  <si>
    <t>₹460.54/ltr for 9 ltrs+</t>
  </si>
  <si>
    <t>Red Cow - Amrit Doi, 1 Kg</t>
  </si>
  <si>
    <t>https://assets.hyperpure.com/data/images/products/14eb1562bc9c1240e212212618a9687f.png</t>
  </si>
  <si>
    <t>₹70.19/kg for 10 kgs+</t>
  </si>
  <si>
    <t>₹69.71/kg for 25 kgs+</t>
  </si>
  <si>
    <t>Red Cow - Paneer, 1 Kg</t>
  </si>
  <si>
    <t>https://assets.hyperpure.com/data/images/products/3381d0551d15e0b679e89c4e5a155b5d.png</t>
  </si>
  <si>
    <t>₹338.67/kg for 3 kgs+</t>
  </si>
  <si>
    <t>₹337.71/kg for 5 kgs+</t>
  </si>
  <si>
    <t>Milken - Malai Paneer, 1 Kg</t>
  </si>
  <si>
    <t>https://assets.hyperpure.com/data/images/products/eaac5263d9cdca3d639d0972b1e265fe.png</t>
  </si>
  <si>
    <t>₹328/kg for 4 kgs+</t>
  </si>
  <si>
    <t>₹326.38/kg for 8 kgs+</t>
  </si>
  <si>
    <t>Derista - ETG Processed Cheese Block, 1 Kg</t>
  </si>
  <si>
    <t>https://assets.hyperpure.com/data/images/products/15c387c3d28ddc1151b227e0b767e398.jpg</t>
  </si>
  <si>
    <t>₹384.02/kg for 4 kgs+</t>
  </si>
  <si>
    <t>₹383.04/kg for 6 kgs+</t>
  </si>
  <si>
    <t>Amul - Ghee, 1 L Pouch</t>
  </si>
  <si>
    <t>https://assets.hyperpure.com/data/images/products/809e7fd4b300a273926f922dd8cbc2b0.png</t>
  </si>
  <si>
    <t>₹522.86/ltr for 6 ltrs+</t>
  </si>
  <si>
    <t>Derista - Processed Cheese Block, 1 Kg</t>
  </si>
  <si>
    <t>https://assets.hyperpure.com/data/images/products/6643de320d9ed1e53daadb0af8947e5b.jpg</t>
  </si>
  <si>
    <t>₹371.07/kg for 3 kgs+</t>
  </si>
  <si>
    <t>₹370/kg for 8 kgs+</t>
  </si>
  <si>
    <t>Derista - Analogue Processed Cheese Block, 1 Kg Pack</t>
  </si>
  <si>
    <t>https://assets.hyperpure.com/data/images/products/8b27189a51c28fc0d99d1d2d591f86b0.jpg</t>
  </si>
  <si>
    <t>₹348.04/kg for 3 kgs+</t>
  </si>
  <si>
    <t>₹347.05/kg for 7 kgs+</t>
  </si>
  <si>
    <t>Derista - Cheese Slice, 780 gm</t>
  </si>
  <si>
    <t>https://assets.hyperpure.com/data/images/products/28bfd0aedc9f44d1bfc728fe0145b5b3.jpg</t>
  </si>
  <si>
    <t>at ₹5.96/slice</t>
  </si>
  <si>
    <t>₹5.94/slice for 150 slices+</t>
  </si>
  <si>
    <t>₹5.93/slice for 250 slices+</t>
  </si>
  <si>
    <t>Derista - Mozzarella Cheese Blend, 1 Kg</t>
  </si>
  <si>
    <t>https://assets.hyperpure.com/data/images/products/98c2152b0a6a4656f0b222062f25460d.jpg</t>
  </si>
  <si>
    <t>₹381.07/kg for 3 kgs+</t>
  </si>
  <si>
    <t>₹380/kg for 9 kgs+</t>
  </si>
  <si>
    <t>Derista - Mozzarella Cheese Diced, 1 Kg</t>
  </si>
  <si>
    <t>https://assets.hyperpure.com/data/images/products/6036df32185604302795fe80ded12494.jpg</t>
  </si>
  <si>
    <t>₹373.04/kg for 4 kgs+</t>
  </si>
  <si>
    <t>₹372.05/kg for 6 kgs+</t>
  </si>
  <si>
    <t>Nova - Shudh Ghee, 1 L Pack</t>
  </si>
  <si>
    <t>https://assets.hyperpure.com/data/images/products/7472beaa2c1965e9e12c0bfe2e2ca181.png</t>
  </si>
  <si>
    <t>₹470.36/ltr for 3 ltrs+</t>
  </si>
  <si>
    <t>₹468.39/ltr for 9 ltrs+</t>
  </si>
  <si>
    <t>Nutdelight - Margarine (IP), 500 gm</t>
  </si>
  <si>
    <t>https://assets.hyperpure.com/data/images/products/73ec48e84ee0df8664ddd8f75af12108.jpg</t>
  </si>
  <si>
    <t>₹68/pc for 6 pcs+</t>
  </si>
  <si>
    <t>₹67.05/pc for 18 pcs+</t>
  </si>
  <si>
    <t>Nandini - UHT Fresh Cream, 1 L</t>
  </si>
  <si>
    <t>https://assets.hyperpure.com/data/images/products/a15827416165e989d66c9eefafff4ce5.jpg</t>
  </si>
  <si>
    <t>₹172.8/ltr for 3 ltrs+</t>
  </si>
  <si>
    <t>₹170.8/ltr for 8 ltrs+</t>
  </si>
  <si>
    <t>Nandini - Mozzarella Blend Cheese Diced, 1 Kg Pack</t>
  </si>
  <si>
    <t>https://assets.hyperpure.com/data/images/products/c81a78413552d39000a56587400a66ae.jpg</t>
  </si>
  <si>
    <t>Nandini - Paneer, 1 Kg</t>
  </si>
  <si>
    <t>https://assets.hyperpure.com/data/images/products/380d27bd53fa63c328e5484807766752.jpg</t>
  </si>
  <si>
    <t>Nandini - Processed Cheese Block, 1 Kg</t>
  </si>
  <si>
    <t>https://assets.hyperpure.com/data/images/products/8a94aa9aed9de7256b00e04fa5b8d937.png</t>
  </si>
  <si>
    <t>Nandini - Cheese Slice, 750 gm</t>
  </si>
  <si>
    <t>https://assets.hyperpure.com/data/images/products/01885602b7b49648bcb8bff22e453842.png</t>
  </si>
  <si>
    <t>at ₹6.04/slice</t>
  </si>
  <si>
    <t>Paras - Dairy Cream, 1 L Pack</t>
  </si>
  <si>
    <t>https://assets.hyperpure.com/data/images/products/03d4df4b53f0e53d37891af66d4a1cde.png</t>
  </si>
  <si>
    <t>Geet Foods - Fresh Paneer, 1 Kg (Low Fat)</t>
  </si>
  <si>
    <t>https://assets.hyperpure.com/data/images/products/80b52003d6f215ffbd56ca3c60076c23.png</t>
  </si>
  <si>
    <t>Qualita - Analogue Cheese Special (Soft Cheese), 1 Kg</t>
  </si>
  <si>
    <t>https://assets.hyperpure.com/data/images/products/9b8c049ca1088419628c10c3b7934f6e.png</t>
  </si>
  <si>
    <t>Milky Mist - Mozzarella Cheese (Diced Blend), 2 Kg Pack</t>
  </si>
  <si>
    <t>https://assets.hyperpure.com/data/images/products/e80df029685b753b777a0855c640f152.png</t>
  </si>
  <si>
    <t>at ₹397.01/kg</t>
  </si>
  <si>
    <t>Vimal - Fresh Curd Pouch, 1 Kg</t>
  </si>
  <si>
    <t>https://assets.hyperpure.com/data/images/products/3fc4c0d1269a767e3478eb254e95cbe4.jpg</t>
  </si>
  <si>
    <t>Jain Dairy - Desi Ghee, 1 L</t>
  </si>
  <si>
    <t>https://assets.hyperpure.com/data/images/products/afa058587d394e6ed67112bb4964ef96.jpg</t>
  </si>
  <si>
    <t>Vimal - Pasteurized Butter, 500 gm</t>
  </si>
  <si>
    <t>https://assets.hyperpure.com/data/images/products/206bc61730552fc901c8abdb2e88f8d7.jpg</t>
  </si>
  <si>
    <t>Jain Dairy - Processed Cheese Block, 1 Kg</t>
  </si>
  <si>
    <t>https://assets.hyperpure.com/data/images/products/5d3f40b6db58c61384366a77b842a72a.png</t>
  </si>
  <si>
    <t>Jain Dairy - Malai Paneer, 1 Kg</t>
  </si>
  <si>
    <t>https://assets.hyperpure.com/data/images/products/cac891827354efe7c5a3442d64fa880b.jpg</t>
  </si>
  <si>
    <t>Dynamix - Unsalted Butter, 500 gm</t>
  </si>
  <si>
    <t>https://assets.hyperpure.com/data/images/products/98535073b35180024eba4eeaa43f27b9.png</t>
  </si>
  <si>
    <t>Akshara - Dahi Pouch (TM), 1 Kg</t>
  </si>
  <si>
    <t>https://assets.hyperpure.com/data/images/products/464ec30eaf2c04618fd4f961e971dfef.jpg</t>
  </si>
  <si>
    <t>Siddhlite - Fat Spread, 500 gm</t>
  </si>
  <si>
    <t>https://assets.hyperpure.com/data/images/products/fb2d9004349cf6202d64a3f96c7d4d91.png</t>
  </si>
  <si>
    <t>Dodla - (Double Toned) Curd, 1 Kg Pouch</t>
  </si>
  <si>
    <t>https://assets.hyperpure.com/data/images/products/77646a8aee2b60b8100c7d037191a60c.png</t>
  </si>
  <si>
    <t>Modern Dairy - Malai Paneer, 1 Kg</t>
  </si>
  <si>
    <t>https://assets.hyperpure.com/data/images/products/f33a511fbed07eae72777ac3359b8fe5.jpg</t>
  </si>
  <si>
    <t>Go - Sandwich Cheese Slice, 900 gm</t>
  </si>
  <si>
    <t>https://assets.hyperpure.com/data/images/products/2003c6fa959298c5a52fceb775747dcb.jpg</t>
  </si>
  <si>
    <t>at ₹6.02/slice</t>
  </si>
  <si>
    <t>Dodla - Pure Cow Ghee Poly, 1 L</t>
  </si>
  <si>
    <t>https://assets.hyperpure.com/data/images/products/ee8615b759e0d7e990c076afdd3a2ce9.jpg</t>
  </si>
  <si>
    <t>Dodla - Toned Milk (UHT) Fino Pack, 500 ml</t>
  </si>
  <si>
    <t>https://assets.hyperpure.com/data/images/products/37ad40128931badbf3e55c62e2aa2f10.png</t>
  </si>
  <si>
    <t>Milky Mist - Table Butter (Salted), 500 gm</t>
  </si>
  <si>
    <t>https://assets.hyperpure.com/data/images/products/4787510e8f9fda33932777b386ccf7ee.jpg</t>
  </si>
  <si>
    <t>Milky Mist - Cooking Butter (Unsalted), 500 gm</t>
  </si>
  <si>
    <t>https://assets.hyperpure.com/data/images/products/91f673a4c7da918af6609b5a7b1a582f.jpg</t>
  </si>
  <si>
    <t>Fresh Paneer (Medium Fat), 1 Kg</t>
  </si>
  <si>
    <t>https://assets.hyperpure.com/data/images/products/f42fad7ee4a8f7e04826a51e4f33e8ea.png</t>
  </si>
  <si>
    <t>Paras - Fresh Cream, 1 L</t>
  </si>
  <si>
    <t>https://assets.hyperpure.com/data/images/products/81db8521d6571ec182f06fb6681ae30a.png</t>
  </si>
  <si>
    <t>Sri Chakra - (DTM) Curd, 1 Kg</t>
  </si>
  <si>
    <t>https://assets.hyperpure.com/data/images/products/49bf8313b5647afc34c761be4f96d025.png</t>
  </si>
  <si>
    <t>Vintage - Khova, 1 Kg</t>
  </si>
  <si>
    <t>https://assets.hyperpure.com/data/images/products/25973867a77445bf86aa2ff5bc7d8805.png</t>
  </si>
  <si>
    <t>Milky Mist - UHT Fresh Cream, 1 L</t>
  </si>
  <si>
    <t>https://assets.hyperpure.com/data/images/products/f1170898668a5c9e3418a71dd8d42cf4.jpg</t>
  </si>
  <si>
    <t>Rich's - Double Dream, 1 L</t>
  </si>
  <si>
    <t>https://assets.hyperpure.com/data/images/products/9415e8107b8e9914f8864a60b0a1b1f5.png</t>
  </si>
  <si>
    <t>Amul - Cheddar Cheese (Diced), 1 Kg</t>
  </si>
  <si>
    <t>https://assets.hyperpure.com/data/images/products/bfd1fa45cca2179befaeec5021bef572.png</t>
  </si>
  <si>
    <t>Amul - Processed Cheese (ETG Block), 1 Kg</t>
  </si>
  <si>
    <t>https://assets.hyperpure.com/data/images/products/cf455fb218b501e1472484ada3f8d032.png</t>
  </si>
  <si>
    <t>President - Cheddar Mozzarella Mixed Cheese (Shredded), 2 Kg Pack</t>
  </si>
  <si>
    <t>https://assets.hyperpure.com/data/images/products/7f601006939bedd5177509046525b51e.png</t>
  </si>
  <si>
    <t>at ₹427.01/kg</t>
  </si>
  <si>
    <t>President - Mozzarella Cheese (Shredded), 2 Kg Pack</t>
  </si>
  <si>
    <t>https://assets.hyperpure.com/data/images/products/d6a061f30c8d23eb5fda07dc9bfc9f00.png</t>
  </si>
  <si>
    <t>at ₹405/kg</t>
  </si>
  <si>
    <t>President - Mozzarella Cheese (Diced), 2 Kg Pack</t>
  </si>
  <si>
    <t>https://assets.hyperpure.com/data/images/products/02e1f7cb42883d5ab3e9fa3d1c8321d0.png</t>
  </si>
  <si>
    <t>Nandini - Ghee, 500 ml</t>
  </si>
  <si>
    <t>https://assets.hyperpure.com/data/images/products/c5faa3dbf1d525089a9414fd13beca77.jpg</t>
  </si>
  <si>
    <t>Nandini - Unsalted Butter, 500 gm</t>
  </si>
  <si>
    <t>https://assets.hyperpure.com/data/images/products/2613fcf17985730a3a4dd9f2415cea3b.jpg</t>
  </si>
  <si>
    <t>Nandini - Salted Butter, 500 gm</t>
  </si>
  <si>
    <t>https://assets.hyperpure.com/data/images/products/65fcf42722e89f38b5b9acbd5c542a91.png</t>
  </si>
  <si>
    <t>GRB - Ghee, 1 L</t>
  </si>
  <si>
    <t>https://assets.hyperpure.com/data/images/products/20616e6e8f38eb3875ed8c038eb134cb.jpg</t>
  </si>
  <si>
    <t>Milky Mist - Set Curd, 5 Kg Pack</t>
  </si>
  <si>
    <t>https://assets.hyperpure.com/data/images/products/c7d877d2fc74df345a968eb64cf32936.png</t>
  </si>
  <si>
    <t>at ₹78.93/kg</t>
  </si>
  <si>
    <t>Milky Mist - Khova, 1 Kg</t>
  </si>
  <si>
    <t>https://assets.hyperpure.com/data/images/products/33312ac233e7c7c379c7bac4e873821e.jpg</t>
  </si>
  <si>
    <t>Milky Mist - Mozzarella Cheese (Shredded), 2 Kg Pack</t>
  </si>
  <si>
    <t>https://assets.hyperpure.com/data/images/products/515ec03e62fe67940edd3ae987f237f3.jpg</t>
  </si>
  <si>
    <t>Govind - Dahi, 1 Kg Pouch</t>
  </si>
  <si>
    <t>https://assets.hyperpure.com/data/images/products/24747049628de3fb5be7028b20a29579.png</t>
  </si>
  <si>
    <t>₹67.14/kg for 6 kgs+</t>
  </si>
  <si>
    <t>₹64.19/kg for 12 kgs+</t>
  </si>
  <si>
    <t>Govind - Salted Butter, 500 gm</t>
  </si>
  <si>
    <t>https://assets.hyperpure.com/data/images/products/cd7235ee229cc621b589e5b40aa28e1c.jpg</t>
  </si>
  <si>
    <t>₹237.77/pc for 3 pcs+</t>
  </si>
  <si>
    <t>₹237.23/pc for 5 pcs+</t>
  </si>
  <si>
    <t>Govind - Fresh Paneer, 1 Kg</t>
  </si>
  <si>
    <t>https://assets.hyperpure.com/data/images/products/3e78a35881c666180b015f49cdfdfad4.jpg</t>
  </si>
  <si>
    <t>₹330.29/kg for 3 kgs+</t>
  </si>
  <si>
    <t>Amul - Buttery Spread Garlic &amp; Herb, 100 gm</t>
  </si>
  <si>
    <t>https://assets.hyperpure.com/data/images/products/d8ccded59e56f3b3526abb42dcd4df49.png</t>
  </si>
  <si>
    <t>Amul - Lactose Free Milk, 250 ml</t>
  </si>
  <si>
    <t>https://assets.hyperpure.com/data/images/products/39c664fee7ecc73fddaed102239ec648.webp</t>
  </si>
  <si>
    <t>Nandini - Mozzarella Cheese Diced, 1 Kg</t>
  </si>
  <si>
    <t>https://assets.hyperpure.com/data/images/products/a75bc29045dcd4fdd072cdc59e189e5a.png</t>
  </si>
  <si>
    <t>₹410/kg for 12 kgs+</t>
  </si>
  <si>
    <t>Govind - Ghee, 1 L (Pouch)</t>
  </si>
  <si>
    <t>https://assets.hyperpure.com/data/images/products/3567d8cf992c6c0bf31dc38d74133b77.png</t>
  </si>
  <si>
    <t>₹513.66/ltr for 4 ltrs+</t>
  </si>
  <si>
    <t>₹511.61/ltr for 7 ltrs+</t>
  </si>
  <si>
    <t>Thirumala - Cow Ghee, 1 L</t>
  </si>
  <si>
    <t>https://assets.hyperpure.com/data/images/products/6a2ea18f42be150522eed538d4f7838a.jpg</t>
  </si>
  <si>
    <t>₹486.52/ltr for 3 ltrs+</t>
  </si>
  <si>
    <t>₹485/ltr for 8 ltrs+</t>
  </si>
  <si>
    <t>Amul - Lite Mix Fat Spread, 100 gm</t>
  </si>
  <si>
    <t>https://assets.hyperpure.com/data/images/products/e5682bf8-10a8-48b8-912b-6dca2748aaea_AmulLiteMixFatSpread100gBox.jpg</t>
  </si>
  <si>
    <t>₹40.54/pc for 10 pcs+</t>
  </si>
  <si>
    <t>₹40.45/pc for 30 pcs+</t>
  </si>
  <si>
    <t>Dodla - Curd (Toned), 1 Kg</t>
  </si>
  <si>
    <t>https://assets.hyperpure.com/data/images/products/5c1aa56a7da4b1f5147f7c223d80896a.webp</t>
  </si>
  <si>
    <t>₹54.57/kg for 11 kgs+</t>
  </si>
  <si>
    <t>₹53.52/kg for 18 kgs+</t>
  </si>
  <si>
    <t>Nandini - Good Life Milk Brick Pack, 500 ml</t>
  </si>
  <si>
    <t>https://assets.hyperpure.com/data/images/products/ecd944928213da551ba7c621c0bf5e74.png</t>
  </si>
  <si>
    <t>President - Unsalted Butter, 500 gm</t>
  </si>
  <si>
    <t>https://assets.hyperpure.com/data/images/products/f5a543b4216ab1fa52add68608cac3d6.webp</t>
  </si>
  <si>
    <t>₹241.52/pc for 8 pcs+</t>
  </si>
  <si>
    <t>₹241.07/pc for 17 pcs+</t>
  </si>
  <si>
    <t>President - Salted Butter, 500 gm</t>
  </si>
  <si>
    <t>https://assets.hyperpure.com/data/images/products/5d4e6ac46c4bfe032096aa7f5013b189.png</t>
  </si>
  <si>
    <t>₹241.52/pc for 6 pcs+</t>
  </si>
  <si>
    <t>₹240/pc for 12 pcs+</t>
  </si>
  <si>
    <t>Go - Mozzarella Cheese Diced, 2 Kg</t>
  </si>
  <si>
    <t>https://assets.hyperpure.com/data/images/products/406c689a-3e88-4d98-9473-41cebcd08ab3_GoMozzarellaCheeseDiced2Kg.jpg</t>
  </si>
  <si>
    <t>at ₹415/kg</t>
  </si>
  <si>
    <t>₹413.04/kg for 4 kgs+</t>
  </si>
  <si>
    <t>₹411.03/kg for 12 kgs+</t>
  </si>
  <si>
    <t>Amul - Ghee, 5 L</t>
  </si>
  <si>
    <t>https://assets.hyperpure.com/data/images/products/55033bf8-18f6-499c-b216-b73999d24654_AmulGhee5L.jpg</t>
  </si>
  <si>
    <t>at ₹539.75/ltr</t>
  </si>
  <si>
    <t>₹536.75/ltr for 10 ltrs+</t>
  </si>
  <si>
    <t>₹533.75/ltr for 20 ltrs+</t>
  </si>
  <si>
    <t>Milky Mist - Bucket Curd, 5 Kg</t>
  </si>
  <si>
    <t>https://assets.hyperpure.com/data/images/products/d2c17f38acce101244d267b73167a80d.jpg</t>
  </si>
  <si>
    <t>at ₹89.43/kg</t>
  </si>
  <si>
    <t>₹88.93/kg for 15 kgs+</t>
  </si>
  <si>
    <t>₹88.63/kg for 30 kgs+</t>
  </si>
  <si>
    <t>Amul - Masti Curd, 1 Kg</t>
  </si>
  <si>
    <t>https://assets.hyperpure.com/data/images/products/b64b2a8d9166a39a4c97aa709a22f9c7.png</t>
  </si>
  <si>
    <t>₹63.71/kg for 9 kgs+</t>
  </si>
  <si>
    <t>₹62.67/kg for 13 kgs+</t>
  </si>
  <si>
    <t>Dairy Agro - Fresh Paneer, 1 Kg</t>
  </si>
  <si>
    <t>https://assets.hyperpure.com/data/images/products/58e981f8-455b-4a92-b01d-a6932ae46ffb_Dairy%20Agro%20Fresh%20Paneer%201k.jpeg</t>
  </si>
  <si>
    <t>₹304.95/kg for 4 kgs+</t>
  </si>
  <si>
    <t>₹302.95/kg for 6 kgs+</t>
  </si>
  <si>
    <t>Nandini - Good Life Milk (Fine Pack), 500 ml</t>
  </si>
  <si>
    <t>https://assets.hyperpure.com/data/images/products/1471402f-caf7-40bc-991a-baed1970e578_Nandini%20Good%20Life%20Milk%20500m.jpg</t>
  </si>
  <si>
    <t>Dlecta - Unsalted Butter (Packed In Plain Parchment Paper), 500 gm</t>
  </si>
  <si>
    <t>https://assets.hyperpure.com/data/images/products/23a9c134-efee-48bf-9569-8a5c1654b6e8_DlectaUn-SaltedButter(packedinplainparchmentpaper)500gm.jpg</t>
  </si>
  <si>
    <t>₹285.54/pc for 6 pcs+</t>
  </si>
  <si>
    <t>₹285/pc for 12 pcs+</t>
  </si>
  <si>
    <t>D'lecta - Melto Cheese Loaf, 2.27 Kg</t>
  </si>
  <si>
    <t>https://assets.hyperpure.com/data/images/products/81e435d45be9b709c4e56ac400e1b6ed.png</t>
  </si>
  <si>
    <t>at ₹6.24/slice</t>
  </si>
  <si>
    <t>Dlecta - Fresh Cream, 1 L</t>
  </si>
  <si>
    <t>https://assets.hyperpure.com/data/images/products/3da1f26b-de5b-46b5-8f35-e01237c8d962_DlectaFreshCream1Ltrs.jpg</t>
  </si>
  <si>
    <t>Milky Mist - Paneer, 1 Kg</t>
  </si>
  <si>
    <t>https://assets.hyperpure.com/data/images/products/6ad41726dcc40b3aabcde607aeaa4546.jpeg</t>
  </si>
  <si>
    <t>Amulya - Dairy Whitener, 1 Kg</t>
  </si>
  <si>
    <t>https://assets.hyperpure.com/data/images/products/ccdfd30cdfeb3c4ed8068034afa1c14f.png</t>
  </si>
  <si>
    <t xml:space="preserve">Butter </t>
  </si>
  <si>
    <t xml:space="preserve"> Dairy</t>
  </si>
  <si>
    <t>60137fc0264ee1eea4159ceefa77007a.png</t>
  </si>
  <si>
    <t>e1980e9942cedea8f49c8cbb6c86146b.png</t>
  </si>
  <si>
    <t>0a9ba390462ccd656f7bdad896b809d9.jpg</t>
  </si>
  <si>
    <t>c9148157-f3ef-4fb5-ba11-3d97180255f5_NutraliteButteryContainsMilkFat500g.jpg</t>
  </si>
  <si>
    <t>8519641e036b4f7e10280776cbf6449b.png</t>
  </si>
  <si>
    <t>ba39364f9a3dd2903bbffdc6d9c39583.jpg</t>
  </si>
  <si>
    <t>22be0eeb63150af88c55549554a900d5.jpg</t>
  </si>
  <si>
    <t>86fe32c26c0dbd2fc4e3777742175770.png</t>
  </si>
  <si>
    <t>1423283d1a433c2fb4af2f3e181c6a8a.png</t>
  </si>
  <si>
    <t>f683ea4f6b643ff2943746cd8503d084.webp</t>
  </si>
  <si>
    <t>14fdccd8448fbbf779a38b92b47e63f1.png</t>
  </si>
  <si>
    <t>7f9c0e2c4b6243d74089cb72b085a288.png</t>
  </si>
  <si>
    <t>e563c88ae28e444361bc92a2ec13cef4.webp</t>
  </si>
  <si>
    <t>a0f12bd47a86abf5a7bcc1f7bbe0d67c.png</t>
  </si>
  <si>
    <t>ad5b520b0a3b90b91444748c8a99f1ae.png</t>
  </si>
  <si>
    <t>7c0f37b44e3d23d4fb456f3039bd6b66.png</t>
  </si>
  <si>
    <t>0a08a4caf54d50938aace7f60a3306da.png</t>
  </si>
  <si>
    <t>fb451ce5723a2bdcd90112deef200a52.png</t>
  </si>
  <si>
    <t>796bb7d901d6e97d9c1847e13ad238c5.jpg</t>
  </si>
  <si>
    <t>507b6dce262aa3f92598c822fe966855.jpeg</t>
  </si>
  <si>
    <t>338a087ec2ce6aff5c02d9f7bfe7591f.jpg</t>
  </si>
  <si>
    <t>1b5b3670d3ae8002dbfc9f6175f5acd3.png</t>
  </si>
  <si>
    <t>e6d25692051d5d05bda964d5748a4b01.png</t>
  </si>
  <si>
    <t>53018abe2c7ff1959d3311687c2229ff.png</t>
  </si>
  <si>
    <t>a29277c355cf579dee59467c598aa59d.png</t>
  </si>
  <si>
    <t>7159245ed2c368880552b46719c93456.jpg</t>
  </si>
  <si>
    <t>283b090796e09ff0dccb6571e2e541b3.png</t>
  </si>
  <si>
    <t>455fc49f008e574d9303a4953ea1ec8b.png</t>
  </si>
  <si>
    <t>b71e20d48120ab8ecd5c2b129e022337.png</t>
  </si>
  <si>
    <t>80ec19fa499f4bf5417a0d0a5a70344f.png</t>
  </si>
  <si>
    <t>b7702d8d3d204323c4df8b3a02b79b31.png</t>
  </si>
  <si>
    <t>7eed943ad4861e38cbba21c693278c33.png</t>
  </si>
  <si>
    <t>126905f444e76a6b67df297cc417d0ea.jpg</t>
  </si>
  <si>
    <t>8eaaf17782290d9d4ad4c957f1613a0c.jpg</t>
  </si>
  <si>
    <t>5188d29c4542629eba249b2cced29cde.png</t>
  </si>
  <si>
    <t>000c6ec2d6925ee5bc16b789a421334d.png</t>
  </si>
  <si>
    <t>206bc61730552fc901c8abdb2e88f8d7.jpg</t>
  </si>
  <si>
    <t>98535073b35180024eba4eeaa43f27b9.png</t>
  </si>
  <si>
    <t>fb2d9004349cf6202d64a3f96c7d4d91.png</t>
  </si>
  <si>
    <t>4787510e8f9fda33932777b386ccf7ee.jpg</t>
  </si>
  <si>
    <t>91f673a4c7da918af6609b5a7b1a582f.jpg</t>
  </si>
  <si>
    <t>2613fcf17985730a3a4dd9f2415cea3b.jpg</t>
  </si>
  <si>
    <t>65fcf42722e89f38b5b9acbd5c542a91.png</t>
  </si>
  <si>
    <t>cd7235ee229cc621b589e5b40aa28e1c.jpg</t>
  </si>
  <si>
    <t>d8ccded59e56f3b3526abb42dcd4df49.png</t>
  </si>
  <si>
    <t>e5682bf8-10a8-48b8-912b-6dca2748aaea_AmulLiteMixFatSpread100gBox.jpg</t>
  </si>
  <si>
    <t>f5a543b4216ab1fa52add68608cac3d6.webp</t>
  </si>
  <si>
    <t>5d4e6ac46c4bfe032096aa7f5013b189.png</t>
  </si>
  <si>
    <t>23a9c134-efee-48bf-9569-8a5c1654b6e8_DlectaUn-SaltedButter(packedinplainparchmentpaper)500gm.jpg</t>
  </si>
  <si>
    <t xml:space="preserve">Cheese </t>
  </si>
  <si>
    <t>30d057be8713d237421a0763c7767a3b.png</t>
  </si>
  <si>
    <t>ea33561bfbd81b2a2f8241b54dc8e12d.png</t>
  </si>
  <si>
    <t>ce62b3910c96057b1bcb9e75f3c172fb.png</t>
  </si>
  <si>
    <t>cf0b44744f810963b95e81709cfb4fe3.png</t>
  </si>
  <si>
    <t>a99bf24150146ad6a5db4168d42505a6.png</t>
  </si>
  <si>
    <t>ed658e0ad0463677fbac183e4613c674.jpg</t>
  </si>
  <si>
    <t>b97d94b5f3537279460661d45f9b5fb8.png</t>
  </si>
  <si>
    <t>d6c8e1cb03f3b72640c9edeb634134eb.png</t>
  </si>
  <si>
    <t>c12d05c1bb851ef58ec8ee38532e163b.jpg</t>
  </si>
  <si>
    <t>8ffced80-02dc-454e-b898-c771358d9f89_DlectaCheeseSlice(IndividuallyWrapped51x15Grams)765gm.jpg</t>
  </si>
  <si>
    <t>a407300f36148a396a783e6856eb4f5f.jpg</t>
  </si>
  <si>
    <t>c76fed177d70b8e653726a4133e363f1.jpg</t>
  </si>
  <si>
    <t>71b10d3fd4f4ec3c33d715f094d2d639.png</t>
  </si>
  <si>
    <t>30057a69949a864f16ae717387413bd8.jpg</t>
  </si>
  <si>
    <t>707a23d4230d5b8dbca71d12200e9b91.jpeg</t>
  </si>
  <si>
    <t>3e0525f09d4dfebe3816735022a1e68a.png</t>
  </si>
  <si>
    <t>ccc8b480972c423d9dce92886d8b75e6.png</t>
  </si>
  <si>
    <t>fb949b66a5ef4de7100c6f2cbbd00bf5.png</t>
  </si>
  <si>
    <t>bb6e66d6ea43346e018de205fd16f44b.png</t>
  </si>
  <si>
    <t>be127cc5a9d2378199734e6cde54c362.png</t>
  </si>
  <si>
    <t>0472724a45046559adb0bfb3bf2d26e1.jpg</t>
  </si>
  <si>
    <t>f360da6a088eb28b6bcfa73209ca407b.png</t>
  </si>
  <si>
    <t>d1be797a7a2b29b2f00905b816a1d4c2.png</t>
  </si>
  <si>
    <t>f5745c8040829db46dfd7d2132bb96dc.png</t>
  </si>
  <si>
    <t>918489f2660a8e273fcc934ff75d37a8.png</t>
  </si>
  <si>
    <t>d59cf039793cc57d73c617de38dfae34.png</t>
  </si>
  <si>
    <t>5942dc7166272f7a7cb3b5c8c3e746c2.png</t>
  </si>
  <si>
    <t>083ec11e6d447cc66a4ada70864df043.jpg</t>
  </si>
  <si>
    <t>f64e69064dffcc2abe6ae70df4399157.jpeg</t>
  </si>
  <si>
    <t>dd61366aba88fde79c80fb87ff2e5d90.png</t>
  </si>
  <si>
    <t>d9737f06d8f984a77b80fbc444ef56ba.jpg</t>
  </si>
  <si>
    <t>8c1f6744adf012ad250af28c85e61781.png</t>
  </si>
  <si>
    <t>5a665359d740bf10c6f2d41eab7553dc.png</t>
  </si>
  <si>
    <t>5b68a6a1765e6b68bdaa71f64af4ab6b.png</t>
  </si>
  <si>
    <t>be4d142daaa329af837e40f8400655ee.png</t>
  </si>
  <si>
    <t>0e63f15461e726767e0db8d5413e065d.png</t>
  </si>
  <si>
    <t>9f15d5c78fae038b7152137c569ee1cd.png</t>
  </si>
  <si>
    <t>29722bf2b37d108a3430a5ea039facb1.png</t>
  </si>
  <si>
    <t>dbaf5277d4e7dcb0efb89b52b828d96c.png</t>
  </si>
  <si>
    <t>efae15e84c08ae5ac73eb27cb0b8a9a8.png</t>
  </si>
  <si>
    <t>eeeecc27875871b4fbeadc9143f09d62.png</t>
  </si>
  <si>
    <t>b4415e0e399df652253ff3f8dc0ed827.png</t>
  </si>
  <si>
    <t>87e3d447290b91a6431313d56c3da7d3.png</t>
  </si>
  <si>
    <t>15a7da6ca33cd66ef85005f08931cccc.png</t>
  </si>
  <si>
    <t>f99fafe1abe3e2f0c994545948a3c83b.png</t>
  </si>
  <si>
    <t>b9f7e9f936172f4bb7334617a33e3f61.png</t>
  </si>
  <si>
    <t>f6b6bd5b5ed786182b3ef2338736dc3a.png</t>
  </si>
  <si>
    <t>c6aee85b1ead61db4bd66148bc824d91.png</t>
  </si>
  <si>
    <t>9d4dfb074ea3d15d2c41f62f27875f43.png</t>
  </si>
  <si>
    <t>8d3c9609a2153c53ab4260ea463425ae.png</t>
  </si>
  <si>
    <t>ee52450343ea8c559ebc220e8d439547.png</t>
  </si>
  <si>
    <t>e06ab5c47f13a9694eff89ed9ddea640.png</t>
  </si>
  <si>
    <t>6d8d0b095d0f7daa50afdb15a0a54dc4.jpg</t>
  </si>
  <si>
    <t>f2ba1e343e5339445129fb19cd6d0b83.jpg</t>
  </si>
  <si>
    <t>df5132efc719fd12ddee19dbc5e8b731.jpg</t>
  </si>
  <si>
    <t>27997c9e13678a8283837eb23d0a3fa2.webp</t>
  </si>
  <si>
    <t>db2da75b604d13c7bdf2fe2d2104e3c6.png</t>
  </si>
  <si>
    <t>a0f13b3bf7b8a91a16480522ad69461c.jpeg</t>
  </si>
  <si>
    <t>fa5707f24b8da62fb531d5beec8a81e6.png</t>
  </si>
  <si>
    <t>0f63f1f70d7f63d42a300b9d7eb6d303.png</t>
  </si>
  <si>
    <t>1203e4fc91faee31e2a53a1b25966da5.png</t>
  </si>
  <si>
    <t>ca93e76ca03a0d1cd5a2b41e5ac82f08.png</t>
  </si>
  <si>
    <t>f031c30a6f83e75cc59a20f6e5827afa.png</t>
  </si>
  <si>
    <t>841f35d1b520253f32d20398a7aed10c.webp</t>
  </si>
  <si>
    <t>c294a4833f5b324a8883004ec05349cd.jpg</t>
  </si>
  <si>
    <t>b5a5742aa8c8cd7b667cec5c15af8d5a.jpg</t>
  </si>
  <si>
    <t>96d2b8718b1d6bda2c0be51dbe4f4d20.jpg</t>
  </si>
  <si>
    <t>2437928cdbeff12edbba24415544cfbb.jpg</t>
  </si>
  <si>
    <t>a137740498d58e25a3bec828f6f0a821.jpg</t>
  </si>
  <si>
    <t>85a54aaa10e0e31ba9a2e3d595341258.png</t>
  </si>
  <si>
    <t>856d038eb579060afff500a065c22c30.png</t>
  </si>
  <si>
    <t>b2ade61b97fd3d5821c18747928c4812.png</t>
  </si>
  <si>
    <t>1dfb3e08921c7b7a387b073dd43f7fd3.png</t>
  </si>
  <si>
    <t>be5f33b3ce0ca3eade4159ed40d7cd1b.png</t>
  </si>
  <si>
    <t>7b2fe7c12f51c59d51edf048a5d6758c.jpeg</t>
  </si>
  <si>
    <t>44726315e4746c87d64302b591738e40.jpg</t>
  </si>
  <si>
    <t>62ccfa99ce0352ca42377b1869bad887.png</t>
  </si>
  <si>
    <t>f46dae09934774151e17033cd68c0d53.jpg</t>
  </si>
  <si>
    <t>0999194e000de69911de7ffa925e6b96.png</t>
  </si>
  <si>
    <t>ab73ccf0d2e39887de7a802b97f4c9c6.jpeg</t>
  </si>
  <si>
    <t>0ec02b40016447993df0bc9cc1ec0c6f.png</t>
  </si>
  <si>
    <t>70e8938c2f587db5f037a9f5e76c2728.png</t>
  </si>
  <si>
    <t>226e50a1a3b074257b93083404e4aa8b.png</t>
  </si>
  <si>
    <t>0cfa7adb95317bc3c3bfcde5361c8479.jpg</t>
  </si>
  <si>
    <t>721b14b52b5a0faaabaa86a2be747429.png</t>
  </si>
  <si>
    <t>87b1fde630770eaf5257394d863f8ecd.png</t>
  </si>
  <si>
    <t>5a51671112856dc09061239c0a2a16de.jpg</t>
  </si>
  <si>
    <t>1de1188d9f4afc46eaa57abf4bf7f501.jpg</t>
  </si>
  <si>
    <t>668b531f3e013b18284d3c742959f519.png</t>
  </si>
  <si>
    <t>ca5f84f9872996d6ec571ea93453dbae.png</t>
  </si>
  <si>
    <t>8fd33777f9ce1889bf21d6724bf19735.png</t>
  </si>
  <si>
    <t>44a30b3f767cd7bae7c017fa57809145.png</t>
  </si>
  <si>
    <t>f45569b3dd195be3e64a59b0d5b196db.png</t>
  </si>
  <si>
    <t>fe7a40b961c2fcdb2698d5ff4ec1d566.jpg</t>
  </si>
  <si>
    <t>15c387c3d28ddc1151b227e0b767e398.jpg</t>
  </si>
  <si>
    <t>6643de320d9ed1e53daadb0af8947e5b.jpg</t>
  </si>
  <si>
    <t>8b27189a51c28fc0d99d1d2d591f86b0.jpg</t>
  </si>
  <si>
    <t>28bfd0aedc9f44d1bfc728fe0145b5b3.jpg</t>
  </si>
  <si>
    <t>98c2152b0a6a4656f0b222062f25460d.jpg</t>
  </si>
  <si>
    <t>6036df32185604302795fe80ded12494.jpg</t>
  </si>
  <si>
    <t>c81a78413552d39000a56587400a66ae.jpg</t>
  </si>
  <si>
    <t>8a94aa9aed9de7256b00e04fa5b8d937.png</t>
  </si>
  <si>
    <t>01885602b7b49648bcb8bff22e453842.png</t>
  </si>
  <si>
    <t>9b8c049ca1088419628c10c3b7934f6e.png</t>
  </si>
  <si>
    <t>e80df029685b753b777a0855c640f152.png</t>
  </si>
  <si>
    <t>5d3f40b6db58c61384366a77b842a72a.png</t>
  </si>
  <si>
    <t>2003c6fa959298c5a52fceb775747dcb.jpg</t>
  </si>
  <si>
    <t>bfd1fa45cca2179befaeec5021bef572.png</t>
  </si>
  <si>
    <t>cf455fb218b501e1472484ada3f8d032.png</t>
  </si>
  <si>
    <t>7f601006939bedd5177509046525b51e.png</t>
  </si>
  <si>
    <t>d6a061f30c8d23eb5fda07dc9bfc9f00.png</t>
  </si>
  <si>
    <t>02e1f7cb42883d5ab3e9fa3d1c8321d0.png</t>
  </si>
  <si>
    <t>515ec03e62fe67940edd3ae987f237f3.jpg</t>
  </si>
  <si>
    <t>a75bc29045dcd4fdd072cdc59e189e5a.png</t>
  </si>
  <si>
    <t>406c689a-3e88-4d98-9473-41cebcd08ab3_GoMozzarellaCheeseDiced2Kg.jpg</t>
  </si>
  <si>
    <t>81e435d45be9b709c4e56ac400e1b6ed.png</t>
  </si>
  <si>
    <t xml:space="preserve">Cream </t>
  </si>
  <si>
    <t>57a57fde2acb4833599aeec75a0ea5aa.png</t>
  </si>
  <si>
    <t>841c017d0a56048f0e5c707ad2c90534.png</t>
  </si>
  <si>
    <t>c275b6997047d68dd7ea76c1247ed7f3.png</t>
  </si>
  <si>
    <t>51c1320518891a305df7e4e45ecb970d.png</t>
  </si>
  <si>
    <t>1e6a456e6c65a30604a46cf49aebec2f.png</t>
  </si>
  <si>
    <t>076854289d0beffb7e67899bef6f0a29.jpg</t>
  </si>
  <si>
    <t>b5deab5ec63de1070f6fd5da432807ec.png</t>
  </si>
  <si>
    <t>ddc18ad01feff749d0f92a5676488478.png</t>
  </si>
  <si>
    <t>9ce56df7c5158a4581ddcc2dcca24259.png</t>
  </si>
  <si>
    <t>9c1ee5c4cad3625d9b6295f33c490526.jpg</t>
  </si>
  <si>
    <t>a15827416165e989d66c9eefafff4ce5.jpg</t>
  </si>
  <si>
    <t>03d4df4b53f0e53d37891af66d4a1cde.png</t>
  </si>
  <si>
    <t>81db8521d6571ec182f06fb6681ae30a.png</t>
  </si>
  <si>
    <t>f1170898668a5c9e3418a71dd8d42cf4.jpg</t>
  </si>
  <si>
    <t>9415e8107b8e9914f8864a60b0a1b1f5.png</t>
  </si>
  <si>
    <t>3da1f26b-de5b-46b5-8f35-e01237c8d962_DlectaFreshCream1Ltrs.jpg</t>
  </si>
  <si>
    <t xml:space="preserve">Curd </t>
  </si>
  <si>
    <t>3ec44cf63ed3ef7554c2287df0e5f1a6.png</t>
  </si>
  <si>
    <t>adc8beb56ccfa0b8975d58f67a082630.png</t>
  </si>
  <si>
    <t>78767514b73d0c2e9b9f63284035f441.jpg</t>
  </si>
  <si>
    <t>ba150e4459ce60650bb02e758713cf99.png</t>
  </si>
  <si>
    <t>8753ccf8e87b0881271ada33bd7663db.png</t>
  </si>
  <si>
    <t>c43139f6be76cf7fba8dab0c4706c6e5.png</t>
  </si>
  <si>
    <t>889cef80-9df8-4f40-a50b-80e13a277b5e_AnandaDahiMatkaSkimBlueMatka15Kg.jpg</t>
  </si>
  <si>
    <t>e540f5432bcc116aeff9876cb7ddd325.png</t>
  </si>
  <si>
    <t>6a61b9f2-cb8f-4dfe-8d32-6c9d6ff78f8f_MadhusudanDahiMagic5KgJar.jpg</t>
  </si>
  <si>
    <t>fb2ca0b034001603b807627b040354e4.png</t>
  </si>
  <si>
    <t>829f8537b56c2dcf7499beb47c987098.png</t>
  </si>
  <si>
    <t>edb94bfefc4162e67effce9056dc4267.jpg</t>
  </si>
  <si>
    <t>d3cf707ad9af41cd6291e022e222873a.jpg</t>
  </si>
  <si>
    <t>cb0e267b41825f47e4fd56db0bbcf018.png</t>
  </si>
  <si>
    <t>fa31bc51c24d40afc1123884bb02f40c.png</t>
  </si>
  <si>
    <t>80216d2903b0f1aed5241332ea70ce33.png</t>
  </si>
  <si>
    <t>60edc9e050375289cb220c5a94cb35e7.png</t>
  </si>
  <si>
    <t>6d78275856a0988886ac6a8997b68e52.png</t>
  </si>
  <si>
    <t>03590a9483cce89e23e1a4f4e6dfbdcb.jpg</t>
  </si>
  <si>
    <t>b52b92c6c68bcba14afd563ce3198fd2.jpeg</t>
  </si>
  <si>
    <t>95d798acb2cf3f810f154d72651c7955.png</t>
  </si>
  <si>
    <t>d204d9399101e3a858e9efefdbc17ba4.jpg</t>
  </si>
  <si>
    <t>72f481c6f7e277c49dc7b4a906469ee6.png</t>
  </si>
  <si>
    <t>af62110924af6646fe6931eef56b7cc3.png</t>
  </si>
  <si>
    <t>9e72d431094727b7f1f040f383d7f51b.png</t>
  </si>
  <si>
    <t>680fa5d767a921d73b9b262339fa43fe.png</t>
  </si>
  <si>
    <t>e85b21112480672a959c6101b7b030b1.jpg</t>
  </si>
  <si>
    <t>159822f4209e1b2a097c7b46807698fb.png</t>
  </si>
  <si>
    <t>8977df06d139997746fefe500c8e50fd.png</t>
  </si>
  <si>
    <t>de6bcf273ee4a74ded65c94b707ededa.jpeg</t>
  </si>
  <si>
    <t>14eb1562bc9c1240e212212618a9687f.png</t>
  </si>
  <si>
    <t>3fc4c0d1269a767e3478eb254e95cbe4.jpg</t>
  </si>
  <si>
    <t>464ec30eaf2c04618fd4f961e971dfef.jpg</t>
  </si>
  <si>
    <t>77646a8aee2b60b8100c7d037191a60c.png</t>
  </si>
  <si>
    <t>49bf8313b5647afc34c761be4f96d025.png</t>
  </si>
  <si>
    <t>c7d877d2fc74df345a968eb64cf32936.png</t>
  </si>
  <si>
    <t>24747049628de3fb5be7028b20a29579.png</t>
  </si>
  <si>
    <t>5c1aa56a7da4b1f5147f7c223d80896a.webp</t>
  </si>
  <si>
    <t>d2c17f38acce101244d267b73167a80d.jpg</t>
  </si>
  <si>
    <t>b64b2a8d9166a39a4c97aa709a22f9c7.png</t>
  </si>
  <si>
    <t xml:space="preserve">Ghee </t>
  </si>
  <si>
    <t>ff7380decf6d9f247daceafdbe48515f.png</t>
  </si>
  <si>
    <t>17b0389001b391b9c1a17bca14a3e0d6.png</t>
  </si>
  <si>
    <t>8932da9ade3ead3cf46831c3109775f7.png</t>
  </si>
  <si>
    <t>c5e02787eb30cf36fd87d099b2431992.png</t>
  </si>
  <si>
    <t>98d60d46422383bd2110ac02dd543dd8.png</t>
  </si>
  <si>
    <t>c5988b9496e68a143ee078f7adfc0376.jpg</t>
  </si>
  <si>
    <t>f4fca6b0d076913e70807830e712cb0a.png</t>
  </si>
  <si>
    <t>62213fbebc7e0b4eda78b711d130a6f8.jpg</t>
  </si>
  <si>
    <t>5aa5c22ed52c53c6e385fc016262ad0f.webp</t>
  </si>
  <si>
    <t>a55134cec6bf45f96abec6ca3d9bd11e.png</t>
  </si>
  <si>
    <t>8a410dcace601804582c2f984a0e443e.png</t>
  </si>
  <si>
    <t>21dbe310982d35cb9e618c604abcf17a.png</t>
  </si>
  <si>
    <t>79e339b3-ab4c-4508-95e4-4da5aeef6504_MilkfoodPureGhee15kg.jpg</t>
  </si>
  <si>
    <t>53ef76b431d7f00c7a519d09836d8c96.png</t>
  </si>
  <si>
    <t>ca799165e073db2d5ad55d65128da048.jpg</t>
  </si>
  <si>
    <t>1306957dbfe9b1441912526c658f4dcb.png</t>
  </si>
  <si>
    <t>bac44af486402f7675c81064dd12c3ff.png</t>
  </si>
  <si>
    <t>0feae000f3e5ef9ea5f1d481e95d56b5.png</t>
  </si>
  <si>
    <t>bf0f2076f3a68068fd10c2260bed91bb.jpg</t>
  </si>
  <si>
    <t>e0ca574036b252f125dc852f4106549c.png</t>
  </si>
  <si>
    <t>8d65e841232f4a6c6eeea762c3d3030a.jpeg</t>
  </si>
  <si>
    <t>6ebe63ff26da8c8b98c67489367c692c.png</t>
  </si>
  <si>
    <t>bfb4d70ad0f4c8d65e882ce3d58e4ed2.png</t>
  </si>
  <si>
    <t>c92edbbc0ac37d41423f01755ebfda31.png</t>
  </si>
  <si>
    <t>b8a4eb588bd6ab89da87653e43d398f4.png</t>
  </si>
  <si>
    <t>1eac9b4c2a55dbdcfb8ee74d14a0b956.png</t>
  </si>
  <si>
    <t>4325044b7baa7abd65e073288b86c15a.png</t>
  </si>
  <si>
    <t>045c0714f0b35ea66787e8493da573ae.png</t>
  </si>
  <si>
    <t>7c28476f316bb8decce7e13a7a6f08c1.jpg</t>
  </si>
  <si>
    <t>abd9209148512739c052ba77ffb9cdc0.png</t>
  </si>
  <si>
    <t>0c3ded5d964b602599a79131d54f0a61.png</t>
  </si>
  <si>
    <t>e5c0b12958bb297a564206d9ef00ed1c.png</t>
  </si>
  <si>
    <t>e4b4a4ab9b897d402b7f1da61204f118.jpg</t>
  </si>
  <si>
    <t>b2025b7b0c434a077053f091dd341ac6.jpg</t>
  </si>
  <si>
    <t>3b506f3cb27b85dd58e2190d4f824117.jpg</t>
  </si>
  <si>
    <t>496e4c43d89cf082093e56a56fec138a.jpg</t>
  </si>
  <si>
    <t>b5e2afd596075ff450360c5a650f961a.jpg</t>
  </si>
  <si>
    <t>1c97986c352d8ea1a078197a0e861d13.jpeg</t>
  </si>
  <si>
    <t>61591e6197aeee2443a872fcb7b21d0e.png</t>
  </si>
  <si>
    <t>48e1f6af0958505ef0b1fcc359457f26.png</t>
  </si>
  <si>
    <t>7651dccd1abbaf813a19abb310375e8a.png</t>
  </si>
  <si>
    <t>6c30b87b0509e6bd38e9cabac9d91b14.png</t>
  </si>
  <si>
    <t>ba2601795f2ea64682f111757b15837c.jpeg</t>
  </si>
  <si>
    <t>b29690b781a88a8d04a64303f107bfb6.jpg</t>
  </si>
  <si>
    <t>809e7fd4b300a273926f922dd8cbc2b0.png</t>
  </si>
  <si>
    <t>7472beaa2c1965e9e12c0bfe2e2ca181.png</t>
  </si>
  <si>
    <t>afa058587d394e6ed67112bb4964ef96.jpg</t>
  </si>
  <si>
    <t>ee8615b759e0d7e990c076afdd3a2ce9.jpg</t>
  </si>
  <si>
    <t>37ad40128931badbf3e55c62e2aa2f10.png</t>
  </si>
  <si>
    <t>c5faa3dbf1d525089a9414fd13beca77.jpg</t>
  </si>
  <si>
    <t>20616e6e8f38eb3875ed8c038eb134cb.jpg</t>
  </si>
  <si>
    <t>3567d8cf992c6c0bf31dc38d74133b77.png</t>
  </si>
  <si>
    <t>6a2ea18f42be150522eed538d4f7838a.jpg</t>
  </si>
  <si>
    <t>55033bf8-18f6-499c-b216-b73999d24654_AmulGhee5L.jpg</t>
  </si>
  <si>
    <t xml:space="preserve">Ice Cream </t>
  </si>
  <si>
    <t>568d5bc785913cc4ace787eefa345cc9.jpg</t>
  </si>
  <si>
    <t>a2029601ab6bc24e7d3b4bc959d2477c.png</t>
  </si>
  <si>
    <t>398288d526a0158d3f4fb27788d99f85.jpg</t>
  </si>
  <si>
    <t>815287ca49091259c6f3e942d98a0afa.png</t>
  </si>
  <si>
    <t>b23f46ded39995ddccd552b7280a845e.jpg</t>
  </si>
  <si>
    <t>d5164dd6354922fb6dccdc481003094c.jpg</t>
  </si>
  <si>
    <t>a2a2317ecd12cda920d92dcfc6f5cc73.png</t>
  </si>
  <si>
    <t>af730d167d7f4bab1345e022193682b4.jpg</t>
  </si>
  <si>
    <t xml:space="preserve">Khoya </t>
  </si>
  <si>
    <t>a1fe8be0b1bf41d055967253bc72c1a7.png</t>
  </si>
  <si>
    <t>cdb5ecbfa6bd5369d9a25ee9d66044a8.png</t>
  </si>
  <si>
    <t>9bfb40bc959ad494676d0772f2ec9a49.png</t>
  </si>
  <si>
    <t>5f71ba007374dbaa0460f266ac202934.png</t>
  </si>
  <si>
    <t>f0fb4358bd061730a2564dd5994f2b3b.png</t>
  </si>
  <si>
    <t>89166e585e12a92ca5a9d9c1310ba9e4.jpg</t>
  </si>
  <si>
    <t>1baa8a21838c063dca398bd9a7f9fac4.png</t>
  </si>
  <si>
    <t>7171376f7439e612f964f0ab5f9a74fd.png</t>
  </si>
  <si>
    <t>fccc8a4fd04dde6e774bf9cd86e85bab.jpg</t>
  </si>
  <si>
    <t>25973867a77445bf86aa2ff5bc7d8805.png</t>
  </si>
  <si>
    <t>33312ac233e7c7c379c7bac4e873821e.jpg</t>
  </si>
  <si>
    <t xml:space="preserve">Margarine </t>
  </si>
  <si>
    <t>dd8ecb7fe88650eead72003f36f07a66.png</t>
  </si>
  <si>
    <t>ad8a8552370fd45f02421a1790a7e479.png</t>
  </si>
  <si>
    <t>30f2b4f0091cdeba962942e09eecc34d.png</t>
  </si>
  <si>
    <t>73ec48e84ee0df8664ddd8f75af12108.jpg</t>
  </si>
  <si>
    <t xml:space="preserve">Milk &amp; Milk Powder </t>
  </si>
  <si>
    <t>da142dbf95aa95e7dc71c66fa23d8efb.png</t>
  </si>
  <si>
    <t>849c6ae947ab11ae9402a06ce6d691b0.png</t>
  </si>
  <si>
    <t>dfa409f2424d66cb1f23efcc8de97bc0.png</t>
  </si>
  <si>
    <t>2a77aed9117101c9bc28664bdcc19778.png</t>
  </si>
  <si>
    <t>8258d4990c5a13a28ac29ca8c53da60a.png</t>
  </si>
  <si>
    <t>b052175b6869e3c67021605df9a7896a.jpeg</t>
  </si>
  <si>
    <t>4021eb96f29efa5777e67cccc6855e1d.jpeg</t>
  </si>
  <si>
    <t>63255a9778e7e612a4b2e5598eae46bb.jpg</t>
  </si>
  <si>
    <t>0fd3f864c81a4f4c1df5b7db564c8e0f.png</t>
  </si>
  <si>
    <t>eb31588a10590035ba5d01e170cdc0e3.jpeg</t>
  </si>
  <si>
    <t>0b9806381f146f0b5e9024625d015452.png</t>
  </si>
  <si>
    <t>64feb7ce047374a273f05d14d61e8e1c.png</t>
  </si>
  <si>
    <t>45fabfddacf92dd33821e25b7f6e1be2.png</t>
  </si>
  <si>
    <t>544d9614b9785233d7a413ed1766ed65.jpg</t>
  </si>
  <si>
    <t>df1f80a57ceef82c0cf4065f290645fe.jpg</t>
  </si>
  <si>
    <t>0cc353e63903c9a376fc29a40772bf18.png</t>
  </si>
  <si>
    <t>39c664fee7ecc73fddaed102239ec648.webp</t>
  </si>
  <si>
    <t>ecd944928213da551ba7c621c0bf5e74.png</t>
  </si>
  <si>
    <t>1471402f-caf7-40bc-991a-baed1970e578_Nandini%20Good%20Life%20Milk%20500m.jpg</t>
  </si>
  <si>
    <t>ccdfd30cdfeb3c4ed8068034afa1c14f.png</t>
  </si>
  <si>
    <t xml:space="preserve">Paneer </t>
  </si>
  <si>
    <t>8fc60720d3f2790243eaceea4b246508.png</t>
  </si>
  <si>
    <t>4bb7eba698cc6c08be35383db649613e.png</t>
  </si>
  <si>
    <t>dd3659f1a1b17ccc8800d12f8f532c33.png</t>
  </si>
  <si>
    <t>209fb50a406cd27de1ea9a32263436f9.png</t>
  </si>
  <si>
    <t>93cdec9f77e7af239c0f60d73fdeb39a.png</t>
  </si>
  <si>
    <t>aed0dfc99a532245e8114598774a99ca.png</t>
  </si>
  <si>
    <t>223694611b753a5937756e00c41c459f.png</t>
  </si>
  <si>
    <t>26467f54077234fefa60a15382640f23.png</t>
  </si>
  <si>
    <t>23fee931e6099ee95da552a00a18fb9e.webp</t>
  </si>
  <si>
    <t>8ab94d3862d881ba298c2fd3425b2c74.png</t>
  </si>
  <si>
    <t>db8ccd23a31afa5a4f152f71419acd5f.png</t>
  </si>
  <si>
    <t>56edf1b5a7baae094fa0ec386a59229a.png</t>
  </si>
  <si>
    <t>8b68987e40ad4b58be55da1d62ddd1db.png</t>
  </si>
  <si>
    <t>8eade4f38bd3a66260111948a9442a2e.png</t>
  </si>
  <si>
    <t>8b0b28591d7a8a7d5eb60517ca722103.png</t>
  </si>
  <si>
    <t>fcf9e854c92fcb59caeaddcee5f66e87.png</t>
  </si>
  <si>
    <t>ea4e3b04b3c11e5f39010d3325bd0152.jpeg</t>
  </si>
  <si>
    <t>ef6f0cb18b333778cf9d6c80e61f7281.jpg</t>
  </si>
  <si>
    <t>740ba7ef25ce3c1e55adfd12c684e4d7.png</t>
  </si>
  <si>
    <t>13eaeb75974f0647c3488c35cc447066.png</t>
  </si>
  <si>
    <t>6ce5097731578ecafa905c6d4246c504.jpg</t>
  </si>
  <si>
    <t>af237aa7cafb23b602b695e883c877f6.png</t>
  </si>
  <si>
    <t>e840bdd6a0030d231b5e1d89bfa2068b.png</t>
  </si>
  <si>
    <t>1d540b45d180520a9cb259b3c444687d.png</t>
  </si>
  <si>
    <t>7c087c7690ba846d9c1905569397dc0a.png</t>
  </si>
  <si>
    <t>b1e4eed9580c6e632437b5bba973ace6.png</t>
  </si>
  <si>
    <t>14ed4bc2ac41b3c620eb1b92b6b87de5.jpg</t>
  </si>
  <si>
    <t>60c579b794853499bc1cec773fdc00b1.jpeg</t>
  </si>
  <si>
    <t>0a2bb8cb29ee201dfea9ff1159a2a46f.png</t>
  </si>
  <si>
    <t>23f639e9ad67107eb8e5ec98f6f40fb2.png</t>
  </si>
  <si>
    <t>3381d0551d15e0b679e89c4e5a155b5d.png</t>
  </si>
  <si>
    <t>eaac5263d9cdca3d639d0972b1e265fe.png</t>
  </si>
  <si>
    <t>380d27bd53fa63c328e5484807766752.jpg</t>
  </si>
  <si>
    <t>80b52003d6f215ffbd56ca3c60076c23.png</t>
  </si>
  <si>
    <t>cac891827354efe7c5a3442d64fa880b.jpg</t>
  </si>
  <si>
    <t>f33a511fbed07eae72777ac3359b8fe5.jpg</t>
  </si>
  <si>
    <t>f42fad7ee4a8f7e04826a51e4f33e8ea.png</t>
  </si>
  <si>
    <t>3e78a35881c666180b015f49cdfdfad4.jpg</t>
  </si>
  <si>
    <t>58e981f8-455b-4a92-b01d-a6932ae46ffb_Dairy%20Agro%20Fresh%20Paneer%201k.jpeg</t>
  </si>
  <si>
    <t>6ad41726dcc40b3aabcde607aeaa4546.jpeg</t>
  </si>
  <si>
    <t xml:space="preserve">Soya Chaap </t>
  </si>
  <si>
    <t>821da1729f38317c54c69076655f05d4.png</t>
  </si>
  <si>
    <t>099221eb5c232fb0798f2f3bd7ac1deb.png</t>
  </si>
  <si>
    <t>ff778412f896cfc8623b649ef835e740.jpg</t>
  </si>
  <si>
    <t>"SectionName": "Butter ",</t>
  </si>
  <si>
    <t>"SectionOrder": "7",</t>
  </si>
  <si>
    <t>"Price": "237.5",</t>
  </si>
  <si>
    <t>"Item": "Amul - Butter Salted, 500 gm",</t>
  </si>
  <si>
    <t>"CategoryName": " Dairy",</t>
  </si>
  <si>
    <t>"ImageUrl": "img/pics/60137fc0264ee1eea4159ceefa77007a.png",</t>
  </si>
  <si>
    <t>"Name": "₹236.96/pc for 9 pcs+",</t>
  </si>
  <si>
    <t>"Price": "236.96"</t>
  </si>
  <si>
    <t>"Name": "₹236.43/pc for 18 pcs+",</t>
  </si>
  <si>
    <t>"Price": "236.43"</t>
  </si>
  <si>
    <t>"Price": "47.77",</t>
  </si>
  <si>
    <t>"Item": "Amul - Salted Butter, 100 gm",</t>
  </si>
  <si>
    <t>"ImageUrl": "img/pics/e1980e9942cedea8f49c8cbb6c86146b.png",</t>
  </si>
  <si>
    <t>"Price": "526.07",</t>
  </si>
  <si>
    <t>"Item": "Amul - Butter Blisters Chiplets (125 Units/Pack), 1 Kg",</t>
  </si>
  <si>
    <t>"Heighlightdescription": "at ₹4.21/pc",</t>
  </si>
  <si>
    <t>"ImageUrl": "img/pics/0a9ba390462ccd656f7bdad896b809d9.jpg",</t>
  </si>
  <si>
    <t>"Name": "₹4.19/pc for 375 pcs+",</t>
  </si>
  <si>
    <t>"Price": "4.19"</t>
  </si>
  <si>
    <t>"Name": "₹4.17/pc for 625 pcs+",</t>
  </si>
  <si>
    <t>"Price": "4.17"</t>
  </si>
  <si>
    <t>"Price": "106.36",</t>
  </si>
  <si>
    <t>"Item": "Nutralite - Creamylicious (Contains Milk Fat), 500 gm",</t>
  </si>
  <si>
    <t>"ImageUrl": "img/pics/c9148157-f3ef-4fb5-ba11-3d97180255f5_NutraliteButteryContainsMilkFat500g.jpg",</t>
  </si>
  <si>
    <t>"Name": "₹105.34/pc for 4 pcs+",</t>
  </si>
  <si>
    <t>"Price": "105.34"</t>
  </si>
  <si>
    <t>"Name": "₹104.32/pc for 8 pcs+",</t>
  </si>
  <si>
    <t>"Price": "104.32"</t>
  </si>
  <si>
    <t>"Price": "215",</t>
  </si>
  <si>
    <t>"Item": "Dairy Craft - Salted Butter, 500 gm",</t>
  </si>
  <si>
    <t>"ImageUrl": "img/pics/8519641e036b4f7e10280776cbf6449b.png",</t>
  </si>
  <si>
    <t>"Name": "₹214.02/pc for 3 pcs+",</t>
  </si>
  <si>
    <t>"Price": "214.02"</t>
  </si>
  <si>
    <t>"Name": "₹213.57/pc for 9 pcs+",</t>
  </si>
  <si>
    <t>"Price": "213.57"</t>
  </si>
  <si>
    <t>"Price": "240.54",</t>
  </si>
  <si>
    <t>"Item": "Amul - Butter (Unsalted), 500 gm",</t>
  </si>
  <si>
    <t>"ImageUrl": "img/pics/ba39364f9a3dd2903bbffdc6d9c39583.jpg",</t>
  </si>
  <si>
    <t>"Name": "₹238.04/pc for 12 pcs+",</t>
  </si>
  <si>
    <t>"Price": "238.04"</t>
  </si>
  <si>
    <t>"Name": "₹233.66/pc for 24 pcs+",</t>
  </si>
  <si>
    <t>"Price": "233.66"</t>
  </si>
  <si>
    <t>"Price": "476.34",</t>
  </si>
  <si>
    <t>"Item": "Amul - Butter Blisters, Chiplets (100 Units/Pack), 1 Kg",</t>
  </si>
  <si>
    <t>"Heighlightdescription": "at ₹4.76/pc",</t>
  </si>
  <si>
    <t>"ImageUrl": "img/pics/22be0eeb63150af88c55549554a900d5.jpg",</t>
  </si>
  <si>
    <t>"Item": "Dairy Craft - Unsalted Butter, 500 gm",</t>
  </si>
  <si>
    <t>"ImageUrl": "img/pics/86fe32c26c0dbd2fc4e3777742175770.png",</t>
  </si>
  <si>
    <t>"Name": "₹214.02/pc for 8 pcs+",</t>
  </si>
  <si>
    <t>"Name": "₹213.57/pc for 19 pcs+",</t>
  </si>
  <si>
    <t>"Price": "9285.71",</t>
  </si>
  <si>
    <t>"Item": "Amul - Butter, Salted, Institutional Pack, 500 gm (Pack Of 40)",</t>
  </si>
  <si>
    <t>"Heighlightdescription": "at ₹232.14/pc",</t>
  </si>
  <si>
    <t>"ImageUrl": "img/pics/1423283d1a433c2fb4af2f3e181c6a8a.png",</t>
  </si>
  <si>
    <t>"Price": "235.54",</t>
  </si>
  <si>
    <t>"Item": "Shudh Garhwal - Salted (Table) Butter, 500 gm",</t>
  </si>
  <si>
    <t>"ImageUrl": "img/pics/f683ea4f6b643ff2943746cd8503d084.webp",</t>
  </si>
  <si>
    <t>"Name": "₹234.55/pc for 14 pcs+",</t>
  </si>
  <si>
    <t>"Price": "234.55"</t>
  </si>
  <si>
    <t>"Name": "₹233.57/pc for 20 pcs+",</t>
  </si>
  <si>
    <t>"Price": "233.57"</t>
  </si>
  <si>
    <t>"Price": "240",</t>
  </si>
  <si>
    <t>"Item": "Amul - Safed Makkhan, 500 gm",</t>
  </si>
  <si>
    <t>"ImageUrl": "img/pics/14fdccd8448fbbf779a38b92b47e63f1.png",</t>
  </si>
  <si>
    <t>"Name": "₹238.04/pc for 15 pcs+",</t>
  </si>
  <si>
    <t>"Name": "₹236.96/pc for 30 pcs+",</t>
  </si>
  <si>
    <t>"Price": "193.04",</t>
  </si>
  <si>
    <t>"Item": "Amul - Lite Milk Fat Spread, 500 gm",</t>
  </si>
  <si>
    <t>"ImageUrl": "img/pics/7f9c0e2c4b6243d74089cb72b085a288.png",</t>
  </si>
  <si>
    <t>"Name": "₹191.96/pc for 5 pcs+",</t>
  </si>
  <si>
    <t>"Price": "191.96"</t>
  </si>
  <si>
    <t>"Name": "₹190.98/pc for 15 pcs+",</t>
  </si>
  <si>
    <t>"Price": "190.98"</t>
  </si>
  <si>
    <t>"Price": "467.05",</t>
  </si>
  <si>
    <t>"Item": "Shudh Garhwal - White Butter, 1 Kg",</t>
  </si>
  <si>
    <t>"ImageUrl": "img/pics/e563c88ae28e444361bc92a2ec13cef4.webp",</t>
  </si>
  <si>
    <t>"Name": "₹465/kg for 6 kgs+",</t>
  </si>
  <si>
    <t>"Price": "465"</t>
  </si>
  <si>
    <t>"Name": "₹463.04/kg for 12 kgs+",</t>
  </si>
  <si>
    <t>"Price": "463.04"</t>
  </si>
  <si>
    <t>"Price": "206.43",</t>
  </si>
  <si>
    <t>"Item": "Ayufarm - Salted Butter, 500 gm",</t>
  </si>
  <si>
    <t>"ImageUrl": "img/pics/a0f12bd47a86abf5a7bcc1f7bbe0d67c.png",</t>
  </si>
  <si>
    <t>"Name": "₹205.45/pc for 6 pcs+",</t>
  </si>
  <si>
    <t>"Price": "205.45"</t>
  </si>
  <si>
    <t>"Name": "₹204.46/pc for 12 pcs+",</t>
  </si>
  <si>
    <t>"Price": "204.46"</t>
  </si>
  <si>
    <t>"Price": "220.89",</t>
  </si>
  <si>
    <t>"Item": "Madhusudan - Salted Butter, 500 gm",</t>
  </si>
  <si>
    <t>"ImageUrl": "img/pics/ad5b520b0a3b90b91444748c8a99f1ae.png",</t>
  </si>
  <si>
    <t>"Name": "₹219.37/pc for 12 pcs+",</t>
  </si>
  <si>
    <t>"Price": "219.37"</t>
  </si>
  <si>
    <t>"Name": "₹217.86/pc for 24 pcs+",</t>
  </si>
  <si>
    <t>"Price": "217.86"</t>
  </si>
  <si>
    <t>"Item": "Ayufarm - Unsalted Butter, 500 gm",</t>
  </si>
  <si>
    <t>"ImageUrl": "img/pics/7c0f37b44e3d23d4fb456f3039bd6b66.png",</t>
  </si>
  <si>
    <t>"Name": "₹213.93/pc for 6 pcs+",</t>
  </si>
  <si>
    <t>"Name": "₹212.95/pc for 12 pcs+",</t>
  </si>
  <si>
    <t>"Price": "212.95"</t>
  </si>
  <si>
    <t>"Price": "511.07",</t>
  </si>
  <si>
    <t>"Item": "Shudh Garhwal - Extra Dry Butter (Unsalted), 1 Kg",</t>
  </si>
  <si>
    <t>"ImageUrl": "img/pics/0a08a4caf54d50938aace7f60a3306da.png",</t>
  </si>
  <si>
    <t>"Name": "₹509.02/kg for 6 kgs+",</t>
  </si>
  <si>
    <t>"Price": "509.02"</t>
  </si>
  <si>
    <t>"Name": "₹507.05/kg for 12 kgs+",</t>
  </si>
  <si>
    <t>"Price": "507.05"</t>
  </si>
  <si>
    <t>"Price": "4650",</t>
  </si>
  <si>
    <t>"Item": "President - Unsalted Butter (IP), 10 Kg",</t>
  </si>
  <si>
    <t>"Heighlightdescription": "at ₹465/kg",</t>
  </si>
  <si>
    <t>"ImageUrl": "img/pics/fb451ce5723a2bdcd90112deef200a52.png",</t>
  </si>
  <si>
    <t>"Price": "425.8",</t>
  </si>
  <si>
    <t>"Item": "Milky Mist - Butter Chiplets, (100 Units/Pack), 1 Kg",</t>
  </si>
  <si>
    <t>"Heighlightdescription": "at ₹4.26/pc",</t>
  </si>
  <si>
    <t>"ImageUrl": "img/pics/796bb7d901d6e97d9c1847e13ad238c5.jpg",</t>
  </si>
  <si>
    <t>"Name": "₹4.25/pc for 600 pcs+",</t>
  </si>
  <si>
    <t>"Price": "4.25"</t>
  </si>
  <si>
    <t>"Name": "₹4.24/pc for 1200 pcs+",</t>
  </si>
  <si>
    <t>"Price": "4.24"</t>
  </si>
  <si>
    <t>"Price": "4500",</t>
  </si>
  <si>
    <t>"Item": "Dlecta - Pasteurised Table Butter, Institutional Pack, 500 gm (Pack of 30)",</t>
  </si>
  <si>
    <t>"Heighlightdescription": "at ₹150/pc",</t>
  </si>
  <si>
    <t>"ImageUrl": "img/pics/507b6dce262aa3f92598c822fe966855.jpeg",</t>
  </si>
  <si>
    <t>"Price": "50",</t>
  </si>
  <si>
    <t>"Item": "Milky Mist - Butter (Unsalted), 100 gm",</t>
  </si>
  <si>
    <t>"ImageUrl": "img/pics/338a087ec2ce6aff5c02d9f7bfe7591f.jpg",</t>
  </si>
  <si>
    <t>"Price": "8164.64",</t>
  </si>
  <si>
    <t>"Item": "Dairy Craft - Salted Butter (Institutional Pack), 500 gm (Pack of 40)",</t>
  </si>
  <si>
    <t>"Heighlightdescription": "at ₹204.12/pc",</t>
  </si>
  <si>
    <t>"ImageUrl": "img/pics/1b5b3670d3ae8002dbfc9f6175f5acd3.png",</t>
  </si>
  <si>
    <t>"Price": "138",</t>
  </si>
  <si>
    <t>"Item": "Plantaway - Plant Based Butter, 200 gm",</t>
  </si>
  <si>
    <t>"ImageUrl": "img/pics/e6d25692051d5d05bda964d5748a4b01.png",</t>
  </si>
  <si>
    <t>"Price": "2305",</t>
  </si>
  <si>
    <t>"Item": "President - Pasteurised Cooking Butter (Unsalted) Institutional Pack, 500 gm (Pack of 10)",</t>
  </si>
  <si>
    <t>"Heighlightdescription": "at ₹230.5/pc",</t>
  </si>
  <si>
    <t>"ImageUrl": "img/pics/53018abe2c7ff1959d3311687c2229ff.png",</t>
  </si>
  <si>
    <t>"Price": "209.02",</t>
  </si>
  <si>
    <t>"Item": "Atheya - Unsalted Butter, 500 gm",</t>
  </si>
  <si>
    <t>"ImageUrl": "img/pics/a29277c355cf579dee59467c598aa59d.png",</t>
  </si>
  <si>
    <t>"Price": "442.59",</t>
  </si>
  <si>
    <t>"Item": "Nandini - Butter Chiplets (100 Units/Pack), 1 Kg",</t>
  </si>
  <si>
    <t>"ImageUrl": "img/pics/7159245ed2c368880552b46719c93456.jpg",</t>
  </si>
  <si>
    <t>"Price": "210",</t>
  </si>
  <si>
    <t>"Item": "Swastika - Premium Unsalted Butter, 500 gm",</t>
  </si>
  <si>
    <t>"ImageUrl": "img/pics/283b090796e09ff0dccb6571e2e541b3.png",</t>
  </si>
  <si>
    <t>"Name": "₹209.55/pc for 5 pcs+",</t>
  </si>
  <si>
    <t>"Price": "209.55"</t>
  </si>
  <si>
    <t>"Name": "₹209.02/pc for 10 pcs+",</t>
  </si>
  <si>
    <t>"Price": "209.02"</t>
  </si>
  <si>
    <t>"Item": "Swastika - Premium Salted Butter, 500 gm",</t>
  </si>
  <si>
    <t>"ImageUrl": "img/pics/455fc49f008e574d9303a4953ea1ec8b.png",</t>
  </si>
  <si>
    <t>"Price": "49.02",</t>
  </si>
  <si>
    <t>"Item": "Amul - Butter (Unsalted), 100 gm",</t>
  </si>
  <si>
    <t>"ImageUrl": "img/pics/b71e20d48120ab8ecd5c2b129e022337.png",</t>
  </si>
  <si>
    <t>"Price": "191.07",</t>
  </si>
  <si>
    <t>"Item": "Vallhabha - Cooking Butter, 500 gm",</t>
  </si>
  <si>
    <t>"ImageUrl": "img/pics/80ec19fa499f4bf5417a0d0a5a70344f.png",</t>
  </si>
  <si>
    <t>"Price": "208.48",</t>
  </si>
  <si>
    <t>"Item": "Heritage - Table Butter, 500 gm",</t>
  </si>
  <si>
    <t>"ImageUrl": "img/pics/b7702d8d3d204323c4df8b3a02b79b31.png",</t>
  </si>
  <si>
    <t>"Price": "218.39",</t>
  </si>
  <si>
    <t>"Item": "Heritage - Cooking Butter, 500 gm",</t>
  </si>
  <si>
    <t>"ImageUrl": "img/pics/7eed943ad4861e38cbba21c693278c33.png",</t>
  </si>
  <si>
    <t>"Price": "428.84",</t>
  </si>
  <si>
    <t>"Item": "Milky Mist - Butter Blisters (100 units/pack), 1 Kg",</t>
  </si>
  <si>
    <t>"Heighlightdescription": "at ₹4.29/pc",</t>
  </si>
  <si>
    <t>"ImageUrl": "img/pics/126905f444e76a6b67df297cc417d0ea.jpg",</t>
  </si>
  <si>
    <t>"Price": "226.96",</t>
  </si>
  <si>
    <t>"Item": "Warana - Table Butter, 500 gm",</t>
  </si>
  <si>
    <t>"ImageUrl": "img/pics/8eaaf17782290d9d4ad4c957f1613a0c.jpg",</t>
  </si>
  <si>
    <t>"Price": "6525",</t>
  </si>
  <si>
    <t>"Item": "Dynamix - Salted Butter Institutional Pack, 500 gm (Pack of 30)",</t>
  </si>
  <si>
    <t>"Heighlightdescription": "at ₹217.5/pc",</t>
  </si>
  <si>
    <t>"ImageUrl": "img/pics/5188d29c4542629eba249b2cced29cde.png",</t>
  </si>
  <si>
    <t>"Item": "Amul - Butter (Salted), 100 gm",</t>
  </si>
  <si>
    <t>"ImageUrl": "img/pics/000c6ec2d6925ee5bc16b789a421334d.png",</t>
  </si>
  <si>
    <t>"Name": "₹49.55/pc for 5 pcs+",</t>
  </si>
  <si>
    <t>"Price": "49.55"</t>
  </si>
  <si>
    <t>"Price": "216.25",</t>
  </si>
  <si>
    <t>"Item": "Vimal - Pasteurized Butter, 500 gm",</t>
  </si>
  <si>
    <t>"ImageUrl": "img/pics/206bc61730552fc901c8abdb2e88f8d7.jpg",</t>
  </si>
  <si>
    <t>"Price": "223.04",</t>
  </si>
  <si>
    <t>"Item": "Dynamix - Unsalted Butter, 500 gm",</t>
  </si>
  <si>
    <t>"ImageUrl": "img/pics/98535073b35180024eba4eeaa43f27b9.png",</t>
  </si>
  <si>
    <t>"Price": "79.05",</t>
  </si>
  <si>
    <t>"Item": "Siddhlite - Fat Spread, 500 gm",</t>
  </si>
  <si>
    <t>"ImageUrl": "img/pics/fb2d9004349cf6202d64a3f96c7d4d91.png",</t>
  </si>
  <si>
    <t>"Price": "238.84",</t>
  </si>
  <si>
    <t>"Item": "Milky Mist - Table Butter (Salted), 500 gm",</t>
  </si>
  <si>
    <t>"ImageUrl": "img/pics/4787510e8f9fda33932777b386ccf7ee.jpg",</t>
  </si>
  <si>
    <t>"Item": "Milky Mist - Cooking Butter (Unsalted), 500 gm",</t>
  </si>
  <si>
    <t>"ImageUrl": "img/pics/91f673a4c7da918af6609b5a7b1a582f.jpg",</t>
  </si>
  <si>
    <t>"Price": "190",</t>
  </si>
  <si>
    <t>"Item": "Nandini - Unsalted Butter, 500 gm",</t>
  </si>
  <si>
    <t>"ImageUrl": "img/pics/2613fcf17985730a3a4dd9f2415cea3b.jpg",</t>
  </si>
  <si>
    <t>"Price": "206.25",</t>
  </si>
  <si>
    <t>"Item": "Nandini - Salted Butter, 500 gm",</t>
  </si>
  <si>
    <t>"ImageUrl": "img/pics/65fcf42722e89f38b5b9acbd5c542a91.png",</t>
  </si>
  <si>
    <t>"Price": "238.21",</t>
  </si>
  <si>
    <t>"Item": "Govind - Salted Butter, 500 gm",</t>
  </si>
  <si>
    <t>"ImageUrl": "img/pics/cd7235ee229cc621b589e5b40aa28e1c.jpg",</t>
  </si>
  <si>
    <t>"Name": "₹237.77/pc for 3 pcs+",</t>
  </si>
  <si>
    <t>"Price": "237.77"</t>
  </si>
  <si>
    <t>"Name": "₹237.23/pc for 5 pcs+",</t>
  </si>
  <si>
    <t>"Price": "237.23"</t>
  </si>
  <si>
    <t>"Price": "46.7",</t>
  </si>
  <si>
    <t>"Item": "Amul - Buttery Spread Garlic &amp; Herb, 100 gm",</t>
  </si>
  <si>
    <t>"ImageUrl": "img/pics/d8ccded59e56f3b3526abb42dcd4df49.png",</t>
  </si>
  <si>
    <t>"Price": "40.71",</t>
  </si>
  <si>
    <t>"Item": "Amul - Lite Mix Fat Spread, 100 gm",</t>
  </si>
  <si>
    <t>"ImageUrl": "img/pics/e5682bf8-10a8-48b8-912b-6dca2748aaea_AmulLiteMixFatSpread100gBox.jpg",</t>
  </si>
  <si>
    <t>"Name": "₹40.54/pc for 10 pcs+",</t>
  </si>
  <si>
    <t>"Price": "40.54"</t>
  </si>
  <si>
    <t>"Name": "₹40.45/pc for 30 pcs+",</t>
  </si>
  <si>
    <t>"Price": "40.45"</t>
  </si>
  <si>
    <t>"Price": "242.5",</t>
  </si>
  <si>
    <t>"Item": "President - Unsalted Butter, 500 gm",</t>
  </si>
  <si>
    <t>"ImageUrl": "img/pics/f5a543b4216ab1fa52add68608cac3d6.webp",</t>
  </si>
  <si>
    <t>"Name": "₹241.52/pc for 8 pcs+",</t>
  </si>
  <si>
    <t>"Price": "241.52"</t>
  </si>
  <si>
    <t>"Name": "₹241.07/pc for 17 pcs+",</t>
  </si>
  <si>
    <t>"Price": "241.07"</t>
  </si>
  <si>
    <t>"Price": "243.04",</t>
  </si>
  <si>
    <t>"Item": "President - Salted Butter, 500 gm",</t>
  </si>
  <si>
    <t>"ImageUrl": "img/pics/5d4e6ac46c4bfe032096aa7f5013b189.png",</t>
  </si>
  <si>
    <t>"Name": "₹241.52/pc for 6 pcs+",</t>
  </si>
  <si>
    <t>"Name": "₹240/pc for 12 pcs+",</t>
  </si>
  <si>
    <t>"Price": "240"</t>
  </si>
  <si>
    <t>"Price": "286.07",</t>
  </si>
  <si>
    <t>"Item": "Dlecta - Unsalted Butter (Packed In Plain Parchment Paper), 500 gm",</t>
  </si>
  <si>
    <t>"ImageUrl": "img/pics/23a9c134-efee-48bf-9569-8a5c1654b6e8_DlectaUn-SaltedButter(packedinplainparchmentpaper)500gm.jpg",</t>
  </si>
  <si>
    <t>"Name": "₹285.54/pc for 6 pcs+",</t>
  </si>
  <si>
    <t>"Price": "285.54"</t>
  </si>
  <si>
    <t>"Name": "₹285/pc for 12 pcs+",</t>
  </si>
  <si>
    <t>"Price": "285"</t>
  </si>
  <si>
    <t>"SectionName": "Cheese ",</t>
  </si>
  <si>
    <t>"SectionOrder": "8",</t>
  </si>
  <si>
    <t>"Price": "414.64",</t>
  </si>
  <si>
    <t>"Item": "Amul - Cheese, Diced Mozzarella, 1 Kg",</t>
  </si>
  <si>
    <t>"ImageUrl": "img/pics/30d057be8713d237421a0763c7767a3b.png",</t>
  </si>
  <si>
    <t>"Name": "₹412.68/kg for 4 kgs+",</t>
  </si>
  <si>
    <t>"Price": "412.68"</t>
  </si>
  <si>
    <t>"Name": "₹410.62/kg for 12 kgs+",</t>
  </si>
  <si>
    <t>"Price": "410.62"</t>
  </si>
  <si>
    <t>"Price": "448.04",</t>
  </si>
  <si>
    <t>"Item": "John - Mozzarella Cheese (Diced), 1 Kg",</t>
  </si>
  <si>
    <t>"ImageUrl": "img/pics/ea33561bfbd81b2a2f8241b54dc8e12d.png",</t>
  </si>
  <si>
    <t>"Name": "₹446.07/kg for 5 kgs+",</t>
  </si>
  <si>
    <t>"Price": "446.07"</t>
  </si>
  <si>
    <t>"Name": "₹445/kg for 15 kgs+",</t>
  </si>
  <si>
    <t>"Price": "445"</t>
  </si>
  <si>
    <t>"Price": "451.07",</t>
  </si>
  <si>
    <t>"Item": "John - Cheese (Diced Mozzarella and Cheddar), 1 Kg",</t>
  </si>
  <si>
    <t>"ImageUrl": "img/pics/ce62b3910c96057b1bcb9e75f3c172fb.png",</t>
  </si>
  <si>
    <t>"Name": "₹449.02/kg for 9 kgs+",</t>
  </si>
  <si>
    <t>"Price": "449.02"</t>
  </si>
  <si>
    <t>"Name": "₹448.04/kg for 22 kgs+",</t>
  </si>
  <si>
    <t>"Price": "448.04"</t>
  </si>
  <si>
    <t>"Price": "639.02",</t>
  </si>
  <si>
    <t>"Item": "Dlecta - Cream Cheese, 1 Kg",</t>
  </si>
  <si>
    <t>"ImageUrl": "img/pics/cf0b44744f810963b95e81709cfb4fe3.png",</t>
  </si>
  <si>
    <t>"Name": "₹637.05/kg for 3 kgs+",</t>
  </si>
  <si>
    <t>"Price": "637.05"</t>
  </si>
  <si>
    <t>"Name": "₹635/kg for 7 kgs+",</t>
  </si>
  <si>
    <t>"Price": "635"</t>
  </si>
  <si>
    <t>"Price": "461.61",</t>
  </si>
  <si>
    <t>"Item": "Amul - Processed Cheese, Block, 1 Kg",</t>
  </si>
  <si>
    <t>"ImageUrl": "img/pics/a99bf24150146ad6a5db4168d42505a6.png",</t>
  </si>
  <si>
    <t>"Name": "₹456.61/kg for 10 kgs+",</t>
  </si>
  <si>
    <t>"Price": "456.61"</t>
  </si>
  <si>
    <t>"Price": "764.02",</t>
  </si>
  <si>
    <t>"Item": "Milky Mist - Cheese, Diced Mozzarella, 2 Kg",</t>
  </si>
  <si>
    <t>"Heighlightdescription": "at ₹382.01/kg",</t>
  </si>
  <si>
    <t>"ImageUrl": "img/pics/ed658e0ad0463677fbac183e4613c674.jpg",</t>
  </si>
  <si>
    <t>"Name": "₹381.03/kg for 6 kgs+",</t>
  </si>
  <si>
    <t>"Price": "381.03"</t>
  </si>
  <si>
    <t>"Name": "₹380/kg for 10 kgs+",</t>
  </si>
  <si>
    <t>"Price": "380"</t>
  </si>
  <si>
    <t>"Price": "205.71",</t>
  </si>
  <si>
    <t>"Item": "Amul - Processed Cheese, 400 gm Tin",</t>
  </si>
  <si>
    <t>"ImageUrl": "img/pics/b97d94b5f3537279460661d45f9b5fb8.png",</t>
  </si>
  <si>
    <t>"Name": "₹204.91/pc for 6 pcs+",</t>
  </si>
  <si>
    <t>"Price": "204.91"</t>
  </si>
  <si>
    <t>"Name": "₹204.55/pc for 12 pcs+",</t>
  </si>
  <si>
    <t>"Price": "204.55"</t>
  </si>
  <si>
    <t>"Price": "361.96",</t>
  </si>
  <si>
    <t>"Item": "Amul - Cheese Slice, 750 gm",</t>
  </si>
  <si>
    <t>"Heighlightdescription": "at ₹7.24/slice",</t>
  </si>
  <si>
    <t>"ImageUrl": "img/pics/d6c8e1cb03f3b72640c9edeb634134eb.png",</t>
  </si>
  <si>
    <t>"Name": "₹7.21/slice for 150 slices+",</t>
  </si>
  <si>
    <t>"Price": "7.21"</t>
  </si>
  <si>
    <t>"Name": "₹7.18/slice for 250 slices+",</t>
  </si>
  <si>
    <t>"Price": "7.18"</t>
  </si>
  <si>
    <t>"Price": "375",</t>
  </si>
  <si>
    <t>"Item": "Anandam - Diced Pizza Cheese, 1 Kg",</t>
  </si>
  <si>
    <t>"ImageUrl": "img/pics/c12d05c1bb851ef58ec8ee38532e163b.jpg",</t>
  </si>
  <si>
    <t>"Name": "₹373.04/kg for 3 kgs+",</t>
  </si>
  <si>
    <t>"Price": "373.04"</t>
  </si>
  <si>
    <t>"Name": "₹371.07/kg for 5 kgs+",</t>
  </si>
  <si>
    <t>"Price": "371.07"</t>
  </si>
  <si>
    <t>"Price": "338.84",</t>
  </si>
  <si>
    <t>"Item": "Dlecta - Cheese Slice, 765 gm",</t>
  </si>
  <si>
    <t>"Heighlightdescription": "at ₹6.64/slice",</t>
  </si>
  <si>
    <t>"ImageUrl": "img/pics/8ffced80-02dc-454e-b898-c771358d9f89_DlectaCheeseSlice(IndividuallyWrapped51x15Grams)765gm.jpg",</t>
  </si>
  <si>
    <t>"Name": "₹6.61/slice for 306 slices+",</t>
  </si>
  <si>
    <t>"Price": "6.61"</t>
  </si>
  <si>
    <t>"Name": "₹6.58/slice for 612 slices+",</t>
  </si>
  <si>
    <t>"Price": "6.58"</t>
  </si>
  <si>
    <t>"Price": "320.27",</t>
  </si>
  <si>
    <t>"Item": "Milky Mist - Cheese Slice, 765 gm",</t>
  </si>
  <si>
    <t>"Heighlightdescription": "at ₹6.28/slice",</t>
  </si>
  <si>
    <t>"ImageUrl": "img/pics/a407300f36148a396a783e6856eb4f5f.jpg",</t>
  </si>
  <si>
    <t>"Name": "₹6.26/slice for 153 slices+",</t>
  </si>
  <si>
    <t>"Price": "6.26"</t>
  </si>
  <si>
    <t>"Name": "₹6.25/slice for 459 slices+",</t>
  </si>
  <si>
    <t>"Price": "6.25"</t>
  </si>
  <si>
    <t>"Price": "93.75",</t>
  </si>
  <si>
    <t>"Item": "Amul - Plain Cheese Spread, 200 gm",</t>
  </si>
  <si>
    <t>"ImageUrl": "img/pics/c76fed177d70b8e653726a4133e363f1.jpg",</t>
  </si>
  <si>
    <t>"Name": "₹91.96/pc for 8 pcs+",</t>
  </si>
  <si>
    <t>"Price": "91.96"</t>
  </si>
  <si>
    <t>"Name": "₹90.18/pc for 24 pcs+",</t>
  </si>
  <si>
    <t>"Price": "90.18"</t>
  </si>
  <si>
    <t>"Price": "426.16",</t>
  </si>
  <si>
    <t>"Item": "Amul - Cheese (Diced Blend), 1 Kg",</t>
  </si>
  <si>
    <t>"ImageUrl": "img/pics/71b10d3fd4f4ec3c33d715f094d2d639.png",</t>
  </si>
  <si>
    <t>"Name": "₹424.2/kg for 5 kgs+",</t>
  </si>
  <si>
    <t>"Price": "424.2"</t>
  </si>
  <si>
    <t>"Name": "₹420.18/kg for 9 kgs+",</t>
  </si>
  <si>
    <t>"Price": "420.18"</t>
  </si>
  <si>
    <t>"Price": "123.39",</t>
  </si>
  <si>
    <t>"Item": "Amul - Cheese Slice, 200 gm",</t>
  </si>
  <si>
    <t>"Heighlightdescription": "at ₹12.34/slice",</t>
  </si>
  <si>
    <t>"ImageUrl": "img/pics/30057a69949a864f16ae717387413bd8.jpg",</t>
  </si>
  <si>
    <t>"Name": "₹12.32/slice for 30 slices+",</t>
  </si>
  <si>
    <t>"Price": "12.32"</t>
  </si>
  <si>
    <t>"Name": "₹12.02/slice for 50 slices+",</t>
  </si>
  <si>
    <t>"Price": "12.02"</t>
  </si>
  <si>
    <t>"Price": "488.04",</t>
  </si>
  <si>
    <t>"Item": "Amezo - Parmesan Cheese, 500 gm",</t>
  </si>
  <si>
    <t>"ImageUrl": "img/pics/707a23d4230d5b8dbca71d12200e9b91.jpeg",</t>
  </si>
  <si>
    <t>"Name": "₹487.5/pack for 2 packs+",</t>
  </si>
  <si>
    <t>"Price": "487.5"</t>
  </si>
  <si>
    <t>"Name": "₹487.05/pack for 4 packs+",</t>
  </si>
  <si>
    <t>"Price": "487.05"</t>
  </si>
  <si>
    <t>"Price": "410",</t>
  </si>
  <si>
    <t>"Item": "Dairy Craft - Processed Cheddar, 1 Kg",</t>
  </si>
  <si>
    <t>"ImageUrl": "img/pics/3e0525f09d4dfebe3816735022a1e68a.png",</t>
  </si>
  <si>
    <t>"Name": "₹408.04/pc for 3 pcs+",</t>
  </si>
  <si>
    <t>"Price": "408.04"</t>
  </si>
  <si>
    <t>"Name": "₹406.07/pc for 5 pcs+",</t>
  </si>
  <si>
    <t>"Price": "406.07"</t>
  </si>
  <si>
    <t>"Price": "443.04",</t>
  </si>
  <si>
    <t>"Item": "John - Mozzarella Block Cheese, 1 Kg",</t>
  </si>
  <si>
    <t>"ImageUrl": "img/pics/ccc8b480972c423d9dce92886d8b75e6.png",</t>
  </si>
  <si>
    <t>"Name": "₹441.07/kg for 4 kgs+",</t>
  </si>
  <si>
    <t>"Price": "441.07"</t>
  </si>
  <si>
    <t>"Name": "₹439.02/kg for 12 kgs+",</t>
  </si>
  <si>
    <t>"Price": "439.02"</t>
  </si>
  <si>
    <t>"Price": "297.95",</t>
  </si>
  <si>
    <t>"Item": "Dairy Craft - Cheese Slice, 765 gm",</t>
  </si>
  <si>
    <t>"Heighlightdescription": "at ₹5.84/slice",</t>
  </si>
  <si>
    <t>"ImageUrl": "img/pics/fb949b66a5ef4de7100c6f2cbbd00bf5.png",</t>
  </si>
  <si>
    <t>"Name": "₹5.81/slice for 153 slices+",</t>
  </si>
  <si>
    <t>"Price": "5.81"</t>
  </si>
  <si>
    <t>"Name": "₹5.8/slice for 306 slices+",</t>
  </si>
  <si>
    <t>"Price": "5.8"</t>
  </si>
  <si>
    <t>"Price": "257.5",</t>
  </si>
  <si>
    <t>"Item": "Dairy Craft - Mascarpone, 500 gm",</t>
  </si>
  <si>
    <t>"ImageUrl": "img/pics/bb6e66d6ea43346e018de205fd16f44b.png",</t>
  </si>
  <si>
    <t>"Name": "₹256.52/pc for 4 pcs+",</t>
  </si>
  <si>
    <t>"Price": "256.52"</t>
  </si>
  <si>
    <t>"Name": "₹255.54/pc for 8 pcs+",</t>
  </si>
  <si>
    <t>"Price": "255.54"</t>
  </si>
  <si>
    <t>"Price": "155.8",</t>
  </si>
  <si>
    <t>"Item": "Dlecta - Feta Cheese, 250 gm",</t>
  </si>
  <si>
    <t>"ImageUrl": "img/pics/be127cc5a9d2378199734e6cde54c362.png",</t>
  </si>
  <si>
    <t>"Name": "₹155.27/pc for 6 pcs+",</t>
  </si>
  <si>
    <t>"Price": "155.27"</t>
  </si>
  <si>
    <t>"Name": "₹154.82/pc for 12 pcs+",</t>
  </si>
  <si>
    <t>"Price": "154.82"</t>
  </si>
  <si>
    <t>"Price": "335",</t>
  </si>
  <si>
    <t>"Item": "Choudhery - Cheese Singles (Slice), 1 Kg",</t>
  </si>
  <si>
    <t>"Heighlightdescription": "at ₹5.58/slice",</t>
  </si>
  <si>
    <t>"ImageUrl": "img/pics/0472724a45046559adb0bfb3bf2d26e1.jpg",</t>
  </si>
  <si>
    <t>"Name": "₹5.55/slice for 360 slices+",</t>
  </si>
  <si>
    <t>"Price": "5.55"</t>
  </si>
  <si>
    <t>"Name": "₹5.52/slice for 720 slices+",</t>
  </si>
  <si>
    <t>"Price": "5.52"</t>
  </si>
  <si>
    <t>"Price": "690",</t>
  </si>
  <si>
    <t>"Item": "Hi-Life - Pizza Diced Topping, 2 Kg",</t>
  </si>
  <si>
    <t>"Heighlightdescription": "at ₹345/kg",</t>
  </si>
  <si>
    <t>"ImageUrl": "img/pics/f360da6a088eb28b6bcfa73209ca407b.png",</t>
  </si>
  <si>
    <t>"Name": "₹342.01/kg for 6 kgs+",</t>
  </si>
  <si>
    <t>"Price": "342.01"</t>
  </si>
  <si>
    <t>"Name": "₹339.02/kg for 12 kgs+",</t>
  </si>
  <si>
    <t>"Price": "339.02"</t>
  </si>
  <si>
    <t>"Price": "790",</t>
  </si>
  <si>
    <t>"Item": "Prabhat - Mozzarella Cheese (Diced), 2 Kg",</t>
  </si>
  <si>
    <t>"Heighlightdescription": "at ₹395/kg",</t>
  </si>
  <si>
    <t>"ImageUrl": "img/pics/d1be797a7a2b29b2f00905b816a1d4c2.png",</t>
  </si>
  <si>
    <t>"Name": "₹393.04/kg for 8 kgs+",</t>
  </si>
  <si>
    <t>"Price": "393.04"</t>
  </si>
  <si>
    <t>"Name": "₹391.03/kg for 18 kgs+",</t>
  </si>
  <si>
    <t>"Price": "391.03"</t>
  </si>
  <si>
    <t>"Item": "Hi-Life - Mozzarella Blend (Diced), 1 Kg",</t>
  </si>
  <si>
    <t>"ImageUrl": "img/pics/f5745c8040829db46dfd7d2132bb96dc.png",</t>
  </si>
  <si>
    <t>"Name": "₹378.04/kg for 3 kgs+",</t>
  </si>
  <si>
    <t>"Price": "378.04"</t>
  </si>
  <si>
    <t>"Name": "₹376.07/kg for 5 kgs+",</t>
  </si>
  <si>
    <t>"Price": "376.07"</t>
  </si>
  <si>
    <t>"Price": "295",</t>
  </si>
  <si>
    <t>"Item": "Hi-Life - Pizza Cheese Block, 1 Kg",</t>
  </si>
  <si>
    <t>"ImageUrl": "img/pics/918489f2660a8e273fcc934ff75d37a8.png",</t>
  </si>
  <si>
    <t>"Name": "₹292.05/pc for 3 pcs+",</t>
  </si>
  <si>
    <t>"Price": "292.05"</t>
  </si>
  <si>
    <t>"Name": "₹290/pc for 6 pcs+",</t>
  </si>
  <si>
    <t>"Price": "290"</t>
  </si>
  <si>
    <t>"Price": "800",</t>
  </si>
  <si>
    <t>"Item": "Prabhat - Mozzarella Cheese (Shredded), 2 Kg",</t>
  </si>
  <si>
    <t>"Heighlightdescription": "at ₹400/kg",</t>
  </si>
  <si>
    <t>"ImageUrl": "img/pics/d59cf039793cc57d73c617de38dfae34.png",</t>
  </si>
  <si>
    <t>"Name": "₹398.04/kg for 6 kgs+",</t>
  </si>
  <si>
    <t>"Price": "398.04"</t>
  </si>
  <si>
    <t>"Name": "₹396.03/kg for 12 kgs+",</t>
  </si>
  <si>
    <t>"Price": "396.03"</t>
  </si>
  <si>
    <t>"Price": "116.07",</t>
  </si>
  <si>
    <t>"Item": "Dairy Craft - Bocconcini, 200 gm",</t>
  </si>
  <si>
    <t>"ImageUrl": "img/pics/5942dc7166272f7a7cb3b5c8c3e746c2.png",</t>
  </si>
  <si>
    <t>"Name": "₹115.62/pc for 4 pcs+",</t>
  </si>
  <si>
    <t>"Price": "115.62"</t>
  </si>
  <si>
    <t>"Name": "₹115.27/pc for 8 pcs+",</t>
  </si>
  <si>
    <t>"Price": "115.27"</t>
  </si>
  <si>
    <t>"Price": "406.34",</t>
  </si>
  <si>
    <t>"Item": "Milky Mist - Processed Cheese Block, 1 Kg",</t>
  </si>
  <si>
    <t>"ImageUrl": "img/pics/083ec11e6d447cc66a4ada70864df043.jpg",</t>
  </si>
  <si>
    <t>"Name": "₹404.29/kg for 3 kgs+",</t>
  </si>
  <si>
    <t>"Price": "404.29"</t>
  </si>
  <si>
    <t>"Name": "₹402.32/kg for 6 kgs+",</t>
  </si>
  <si>
    <t>"Price": "402.32"</t>
  </si>
  <si>
    <t>"Price": "431.07",</t>
  </si>
  <si>
    <t>"Item": "Amul - Cream Cheese, 1 Kg",</t>
  </si>
  <si>
    <t>"ImageUrl": "img/pics/f64e69064dffcc2abe6ae70df4399157.jpeg",</t>
  </si>
  <si>
    <t>"Name": "₹429.02/kg for 6 kgs+",</t>
  </si>
  <si>
    <t>"Price": "429.02"</t>
  </si>
  <si>
    <t>"Price": "282.5",</t>
  </si>
  <si>
    <t>"Item": "Hi-Life - Singles Cheese Slice, 750 gm",</t>
  </si>
  <si>
    <t>"ImageUrl": "img/pics/dd61366aba88fde79c80fb87ff2e5d90.png",</t>
  </si>
  <si>
    <t>"Name": "₹280.27/pc for 7 pcs+",</t>
  </si>
  <si>
    <t>"Price": "280.27"</t>
  </si>
  <si>
    <t>"Name": "₹278.04/pc for 14 pcs+",</t>
  </si>
  <si>
    <t>"Price": "278.04"</t>
  </si>
  <si>
    <t>"Price": "263.81",</t>
  </si>
  <si>
    <t>"Item": "Dlecta - Mascarpone Tub, 400 gm",</t>
  </si>
  <si>
    <t>"ImageUrl": "img/pics/d9737f06d8f984a77b80fbc444ef56ba.jpg",</t>
  </si>
  <si>
    <t>"Name": "₹263.47/pc for 6 pcs+",</t>
  </si>
  <si>
    <t>"Price": "263.47"</t>
  </si>
  <si>
    <t>"Name": "₹263.05/pc for 12 pcs+",</t>
  </si>
  <si>
    <t>"Price": "263.05"</t>
  </si>
  <si>
    <t>"Price": "460",</t>
  </si>
  <si>
    <t>"Item": "John - Cheese (Mozzarella + Cheddar + Gouda), 1 Kg",</t>
  </si>
  <si>
    <t>"ImageUrl": "img/pics/8c1f6744adf012ad250af28c85e61781.png",</t>
  </si>
  <si>
    <t>"Name": "₹458.04/kg for 8 kgs+",</t>
  </si>
  <si>
    <t>"Price": "458.04"</t>
  </si>
  <si>
    <t>"Name": "₹456.07/kg for 16 kgs+",</t>
  </si>
  <si>
    <t>"Price": "456.07"</t>
  </si>
  <si>
    <t>"Price": "837.05",</t>
  </si>
  <si>
    <t>"Item": "D'lecta - Mozzarella Cheese (Shredded), 2 Kg",</t>
  </si>
  <si>
    <t>"Heighlightdescription": "at ₹418.52/kg",</t>
  </si>
  <si>
    <t>"ImageUrl": "img/pics/5a665359d740bf10c6f2d41eab7553dc.png",</t>
  </si>
  <si>
    <t>"Name": "₹416.52/kg for 6 kgs+",</t>
  </si>
  <si>
    <t>"Price": "416.52"</t>
  </si>
  <si>
    <t>"Name": "₹414.51/kg for 12 kgs+",</t>
  </si>
  <si>
    <t>"Price": "414.51"</t>
  </si>
  <si>
    <t>"Price": "760",</t>
  </si>
  <si>
    <t>"Item": "Dynamix - Mozzarella Diced Cheese, 2 Kg",</t>
  </si>
  <si>
    <t>"Heighlightdescription": "at ₹380/kg",</t>
  </si>
  <si>
    <t>"ImageUrl": "img/pics/5b68a6a1765e6b68bdaa71f64af4ab6b.png",</t>
  </si>
  <si>
    <t>"Name": "₹378.04/kg for 6 kgs+",</t>
  </si>
  <si>
    <t>"Name": "₹377.01/kg for 12 kgs+",</t>
  </si>
  <si>
    <t>"Price": "377.01"</t>
  </si>
  <si>
    <t>"Item": "Dairy Craft - Burrata, 250 gm",</t>
  </si>
  <si>
    <t>"ImageUrl": "img/pics/be4d142daaa329af837e40f8400655ee.png",</t>
  </si>
  <si>
    <t>"Price": "257.86",</t>
  </si>
  <si>
    <t>"Item": "Dairy Craft - Fetta Cheese, 400 gm",</t>
  </si>
  <si>
    <t>"ImageUrl": "img/pics/0e63f15461e726767e0db8d5413e065d.png",</t>
  </si>
  <si>
    <t>"Name": "₹257.05/pc for 6 pcs+",</t>
  </si>
  <si>
    <t>"Price": "257.05"</t>
  </si>
  <si>
    <t>"Name": "₹256.25/pc for 12 pcs+",</t>
  </si>
  <si>
    <t>"Price": "256.25"</t>
  </si>
  <si>
    <t>"Item": "Dynamix - Shredded Mozzarella Cheese, 1 Kg",</t>
  </si>
  <si>
    <t>"ImageUrl": "img/pics/9f15d5c78fae038b7152137c569ee1cd.png",</t>
  </si>
  <si>
    <t>"Name": "₹367.05/kg for 3 kgs+",</t>
  </si>
  <si>
    <t>"Price": "367.05"</t>
  </si>
  <si>
    <t>"Name": "₹364.02/kg for 6 kgs+",</t>
  </si>
  <si>
    <t>"Price": "129.73",</t>
  </si>
  <si>
    <t>"Item": "Dairy Craft - Fetta Cheese, 200 gm",</t>
  </si>
  <si>
    <t>"ImageUrl": "img/pics/29722bf2b37d108a3430a5ea039facb1.png",</t>
  </si>
  <si>
    <t>"Price": "415",</t>
  </si>
  <si>
    <t>"Item": "Dairy Craft - Processed Cheese Block, 1 Kg",</t>
  </si>
  <si>
    <t>"ImageUrl": "img/pics/dbaf5277d4e7dcb0efb89b52b828d96c.png",</t>
  </si>
  <si>
    <t>"Name": "₹413.04/kg for 6 kgs+",</t>
  </si>
  <si>
    <t>"Price": "413.04"</t>
  </si>
  <si>
    <t>"Name": "₹411.07/kg for 12 kgs+",</t>
  </si>
  <si>
    <t>"Price": "411.07"</t>
  </si>
  <si>
    <t>"Price": "315",</t>
  </si>
  <si>
    <t>"Item": "Choudhery - Pizza Cheese, 1 Kg",</t>
  </si>
  <si>
    <t>"ImageUrl": "img/pics/efae15e84c08ae5ac73eb27cb0b8a9a8.png",</t>
  </si>
  <si>
    <t>"Name": "₹313.04/kg for 6 kgs+",</t>
  </si>
  <si>
    <t>"Price": "313.04"</t>
  </si>
  <si>
    <t>"Name": "₹311.07/kg for 12 kgs+",</t>
  </si>
  <si>
    <t>"Price": "311.07"</t>
  </si>
  <si>
    <t>"Price": "812.05",</t>
  </si>
  <si>
    <t>"Item": "Prabhat - Mozzarella Cheese (Blend), 2 Kg",</t>
  </si>
  <si>
    <t>"Heighlightdescription": "at ₹406.02/kg",</t>
  </si>
  <si>
    <t>"ImageUrl": "img/pics/eeeecc27875871b4fbeadc9143f09d62.png",</t>
  </si>
  <si>
    <t>"Name": "₹404.02/kg for 4 kgs+",</t>
  </si>
  <si>
    <t>"Price": "404.02"</t>
  </si>
  <si>
    <t>"Name": "₹402.01/kg for 8 kgs+",</t>
  </si>
  <si>
    <t>"Price": "402.01"</t>
  </si>
  <si>
    <t>"Item": "Dairy Craft - Mozzarella Bufala, 200 gm",</t>
  </si>
  <si>
    <t>"ImageUrl": "img/pics/b4415e0e399df652253ff3f8dc0ed827.png",</t>
  </si>
  <si>
    <t>"Price": "376.07",</t>
  </si>
  <si>
    <t>"Item": "Dlecta - Cheese Sauce, 1 Kg Tub",</t>
  </si>
  <si>
    <t>"ImageUrl": "img/pics/87e3d447290b91a6431313d56c3da7d3.png",</t>
  </si>
  <si>
    <t>"Name": "₹375/kg for 3 kgs+",</t>
  </si>
  <si>
    <t>"Price": "375"</t>
  </si>
  <si>
    <t>"Name": "₹374.02/kg for 6 kgs+",</t>
  </si>
  <si>
    <t>"Price": "374.02"</t>
  </si>
  <si>
    <t>"Price": "155",</t>
  </si>
  <si>
    <t>"Item": "Prabhat - Cheese Sauce, 500 gm",</t>
  </si>
  <si>
    <t>"ImageUrl": "img/pics/15a7da6ca33cd66ef85005f08931cccc.png",</t>
  </si>
  <si>
    <t>"Name": "₹154.02/pc for 3 pcs+",</t>
  </si>
  <si>
    <t>"Price": "154.02"</t>
  </si>
  <si>
    <t>"Name": "₹153.04/pc for 6 pcs+",</t>
  </si>
  <si>
    <t>"Price": "153.04"</t>
  </si>
  <si>
    <t>"Price": "278.04",</t>
  </si>
  <si>
    <t>"Item": "Bocconcini, 500 gm",</t>
  </si>
  <si>
    <t>"ImageUrl": "img/pics/f99fafe1abe3e2f0c994545948a3c83b.png",</t>
  </si>
  <si>
    <t>"Name": "₹276.52/pack for 3 packs+",</t>
  </si>
  <si>
    <t>"Price": "276.52"</t>
  </si>
  <si>
    <t>"Name": "₹275.54/pack for 6 packs+",</t>
  </si>
  <si>
    <t>"Price": "275.54"</t>
  </si>
  <si>
    <t>"Price": "730",</t>
  </si>
  <si>
    <t>"Item": "Dynamix - Mozzarella Shredded Cheese, 2 Kg",</t>
  </si>
  <si>
    <t>"Heighlightdescription": "at ₹365/kg",</t>
  </si>
  <si>
    <t>"ImageUrl": "img/pics/b9f7e9f936172f4bb7334617a33e3f61.png",</t>
  </si>
  <si>
    <t>"Name": "₹363.04/kg for 8 kgs+",</t>
  </si>
  <si>
    <t>"Price": "363.04"</t>
  </si>
  <si>
    <t>"Name": "₹361.03/kg for 16 kgs+",</t>
  </si>
  <si>
    <t>"Price": "361.03"</t>
  </si>
  <si>
    <t>"Price": "387.05",</t>
  </si>
  <si>
    <t>"Item": "Dynamix - Processed Cheese Block (Easy Melt), 1 Kg",</t>
  </si>
  <si>
    <t>"ImageUrl": "img/pics/f6b6bd5b5ed786182b3ef2338736dc3a.png",</t>
  </si>
  <si>
    <t>"Name": "₹385/pc for 3 pcs+",</t>
  </si>
  <si>
    <t>"Price": "385"</t>
  </si>
  <si>
    <t>"Name": "₹384.02/pc for 6 pcs+",</t>
  </si>
  <si>
    <t>"Price": "384.02"</t>
  </si>
  <si>
    <t>"Price": "453.39",</t>
  </si>
  <si>
    <t>"Item": "JK Dairy - TOP Cream Cheese, 1 Kg",</t>
  </si>
  <si>
    <t>"ImageUrl": "img/pics/c6aee85b1ead61db4bd66148bc824d91.png",</t>
  </si>
  <si>
    <t>"Name": "₹451.43/kg for 2 kgs+",</t>
  </si>
  <si>
    <t>"Price": "451.43"</t>
  </si>
  <si>
    <t>"Name": "₹449.46/kg for 4 kgs+",</t>
  </si>
  <si>
    <t>"Price": "449.46"</t>
  </si>
  <si>
    <t>"Price": "298.04",</t>
  </si>
  <si>
    <t>"Item": "Fresh Mozzarella, 500 gm",</t>
  </si>
  <si>
    <t>"ImageUrl": "img/pics/9d4dfb074ea3d15d2c41f62f27875f43.png",</t>
  </si>
  <si>
    <t>"Name": "₹296.52/pack for 3 packs+",</t>
  </si>
  <si>
    <t>"Price": "296.52"</t>
  </si>
  <si>
    <t>"Name": "₹295.54/pack for 6 packs+",</t>
  </si>
  <si>
    <t>"Price": "295.54"</t>
  </si>
  <si>
    <t>"Price": "1929.55",</t>
  </si>
  <si>
    <t>"Item": "Dynamix - Processed Cheese Slice on Slice,  4.54 Kg",</t>
  </si>
  <si>
    <t>"ImageUrl": "img/pics/8d3c9609a2153c53ab4260ea463425ae.png",</t>
  </si>
  <si>
    <t>"Price": "484.02",</t>
  </si>
  <si>
    <t>"Item": "Shudh Garhwal - Cream Cheese, 800 gm",</t>
  </si>
  <si>
    <t>"ImageUrl": "img/pics/ee52450343ea8c559ebc220e8d439547.png",</t>
  </si>
  <si>
    <t>"Name": "₹482.41/pc for 6 pcs+",</t>
  </si>
  <si>
    <t>"Price": "482.41"</t>
  </si>
  <si>
    <t>"Name": "₹480.8/pc for 10 pcs+",</t>
  </si>
  <si>
    <t>"Price": "480.8"</t>
  </si>
  <si>
    <t>"Price": "650",</t>
  </si>
  <si>
    <t>"Item": "Dairy Craft - Cream Cheese, 1 Kg",</t>
  </si>
  <si>
    <t>"ImageUrl": "img/pics/e06ab5c47f13a9694eff89ed9ddea640.png",</t>
  </si>
  <si>
    <t>"Price": "476.07",</t>
  </si>
  <si>
    <t>"Item": "Milky Mist - Cream Cheese, 1 Kg",</t>
  </si>
  <si>
    <t>"ImageUrl": "img/pics/6d8d0b095d0f7daa50afdb15a0a54dc4.jpg",</t>
  </si>
  <si>
    <t>"Name": "₹475/kg for 3 kgs+",</t>
  </si>
  <si>
    <t>"Price": "475"</t>
  </si>
  <si>
    <t>"Name": "₹473.04/kg for 8 kgs+",</t>
  </si>
  <si>
    <t>"Price": "473.04"</t>
  </si>
  <si>
    <t>"Price": "313.84",</t>
  </si>
  <si>
    <t>"Item": "President - Cheddar Processed Cheese Slices, 765 gm",</t>
  </si>
  <si>
    <t>"Heighlightdescription": "at ₹6.15/slice",</t>
  </si>
  <si>
    <t>"ImageUrl": "img/pics/f2ba1e343e5339445129fb19cd6d0b83.jpg",</t>
  </si>
  <si>
    <t>"Name": "₹6.12/slice for 408 slices+",</t>
  </si>
  <si>
    <t>"Price": "6.12"</t>
  </si>
  <si>
    <t>"Name": "₹6.06/slice for 816 slices+",</t>
  </si>
  <si>
    <t>"Price": "6.06"</t>
  </si>
  <si>
    <t>"Price": "2460",</t>
  </si>
  <si>
    <t>"Item": "Milky Mist - Cream Cheese, 400 gm (Pack of 12)",</t>
  </si>
  <si>
    <t>"Heighlightdescription": "at ₹205/pc",</t>
  </si>
  <si>
    <t>"ImageUrl": "img/pics/df5132efc719fd12ddee19dbc5e8b731.jpg",</t>
  </si>
  <si>
    <t>"Price": "798.04",</t>
  </si>
  <si>
    <t>"Item": "Shudh Garhwal - Mozzarella Shredded Cheese, 2 Kg",</t>
  </si>
  <si>
    <t>"Heighlightdescription": "at ₹399.02/kg",</t>
  </si>
  <si>
    <t>"ImageUrl": "img/pics/27997c9e13678a8283837eb23d0a3fa2.webp",</t>
  </si>
  <si>
    <t>"Item": "Dairy Craft - Coloured Cheese Slices, 765 gm",</t>
  </si>
  <si>
    <t>"ImageUrl": "img/pics/db2da75b604d13c7bdf2fe2d2104e3c6.png",</t>
  </si>
  <si>
    <t>"Price": "200",</t>
  </si>
  <si>
    <t>"Item": "Dairy Craft - Scamorza Affumicata (Smoked), 300 gm",</t>
  </si>
  <si>
    <t>"ImageUrl": "img/pics/a0f13b3bf7b8a91a16480522ad69461c.jpeg",</t>
  </si>
  <si>
    <t>"Price": "119.2",</t>
  </si>
  <si>
    <t>"Item": "Buffala Mozzarella, 200 gm",</t>
  </si>
  <si>
    <t>"ImageUrl": "img/pics/fa5707f24b8da62fb531d5beec8a81e6.png",</t>
  </si>
  <si>
    <t>"Item": "Bocconcini, 200 gm",</t>
  </si>
  <si>
    <t>"ImageUrl": "img/pics/0f63f1f70d7f63d42a300b9d7eb6d303.png",</t>
  </si>
  <si>
    <t>"Price": "186.7",</t>
  </si>
  <si>
    <t>"Item": "Plantaway - Plant Based Cheddar, 250 gm",</t>
  </si>
  <si>
    <t>"ImageUrl": "img/pics/1203e4fc91faee31e2a53a1b25966da5.png",</t>
  </si>
  <si>
    <t>"Item": "Plantaway - Plant Based Shredded Mozzarella, 250 gm",</t>
  </si>
  <si>
    <t>"ImageUrl": "img/pics/ca93e76ca03a0d1cd5a2b41e5ac82f08.png",</t>
  </si>
  <si>
    <t>"Price": "204.64",</t>
  </si>
  <si>
    <t>"Item": "Nandini - Processed Cheese Block, 500 gm",</t>
  </si>
  <si>
    <t>"ImageUrl": "img/pics/f031c30a6f83e75cc59a20f6e5827afa.png",</t>
  </si>
  <si>
    <t>"Price": "13195.36",</t>
  </si>
  <si>
    <t>"Item": "Flanders - Mozzarella Block Cheese, 16 Kg Box",</t>
  </si>
  <si>
    <t>"Heighlightdescription": "at ₹824.71/pc",</t>
  </si>
  <si>
    <t>"ImageUrl": "img/pics/841f35d1b520253f32d20398a7aed10c.webp",</t>
  </si>
  <si>
    <t>"Price": "418.04",</t>
  </si>
  <si>
    <t>"Item": "Amezo - Mozzarella Block Cheese, 1 Kg",</t>
  </si>
  <si>
    <t>"ImageUrl": "img/pics/c294a4833f5b324a8883004ec05349cd.jpg",</t>
  </si>
  <si>
    <t>"Price": "475",</t>
  </si>
  <si>
    <t>"Item": "Amezo - White Cheddar Cheese, 1 Kg",</t>
  </si>
  <si>
    <t>"ImageUrl": "img/pics/b5a5742aa8c8cd7b667cec5c15af8d5a.jpg",</t>
  </si>
  <si>
    <t>"Item": "Amezo - Feta Cheese, 200 gm",</t>
  </si>
  <si>
    <t>"ImageUrl": "img/pics/96d2b8718b1d6bda2c0be51dbe4f4d20.jpg",</t>
  </si>
  <si>
    <t>"Price": "195",</t>
  </si>
  <si>
    <t>"Item": "Amezo - Edam Cheese, 200 gm",</t>
  </si>
  <si>
    <t>"ImageUrl": "img/pics/2437928cdbeff12edbba24415544cfbb.jpg",</t>
  </si>
  <si>
    <t>"Item": "Amezo - Gouda Cheese, 200 gm",</t>
  </si>
  <si>
    <t>"ImageUrl": "img/pics/a137740498d58e25a3bec828f6f0a821.jpg",</t>
  </si>
  <si>
    <t>"Price": "645",</t>
  </si>
  <si>
    <t>"Item": "Amezo - Yellow Cheddar Block Cheese, 1 Kg",</t>
  </si>
  <si>
    <t>"ImageUrl": "img/pics/85a54aaa10e0e31ba9a2e3d595341258.png",</t>
  </si>
  <si>
    <t>"Price": "792.05",</t>
  </si>
  <si>
    <t>"Item": "Dynamix - (Blend) Diced Mozzarella Cheddar Cheese, 2 Kg",</t>
  </si>
  <si>
    <t>"Heighlightdescription": "at ₹396.02/kg",</t>
  </si>
  <si>
    <t>"ImageUrl": "img/pics/856d038eb579060afff500a065c22c30.png",</t>
  </si>
  <si>
    <t>"Item": "Dynamix - Processed Cheese Block (High Melt), 1 Kg",</t>
  </si>
  <si>
    <t>"ImageUrl": "img/pics/b2ade61b97fd3d5821c18747928c4812.png",</t>
  </si>
  <si>
    <t>"Name": "₹367.05/pc for 6 pcs+",</t>
  </si>
  <si>
    <t>"Name": "₹364.02/pc for 12 pcs+",</t>
  </si>
  <si>
    <t>"Price": "277.77",</t>
  </si>
  <si>
    <t>"Item": "Dynamix - Cheese Slices (Yellow), 765 gm",</t>
  </si>
  <si>
    <t>"ImageUrl": "img/pics/1dfb3e08921c7b7a387b073dd43f7fd3.png",</t>
  </si>
  <si>
    <t>"Name": "₹276.16/pc for 3 pcs+",</t>
  </si>
  <si>
    <t>"Price": "276.16"</t>
  </si>
  <si>
    <t>"Name": "₹274.64/pc for 6 pcs+",</t>
  </si>
  <si>
    <t>"Price": "274.64"</t>
  </si>
  <si>
    <t>"Price": "399.82",</t>
  </si>
  <si>
    <t>"Item": "Milky Mist - Processed Cheese Hard Block, 1 Kg",</t>
  </si>
  <si>
    <t>"ImageUrl": "img/pics/be5f33b3ce0ca3eade4159ed40d7cd1b.png",</t>
  </si>
  <si>
    <t>"Item": "Dlecta - Bake Stable Cheese, 1 Kg",</t>
  </si>
  <si>
    <t>"ImageUrl": "img/pics/7b2fe7c12f51c59d51edf048a5d6758c.jpeg",</t>
  </si>
  <si>
    <t>"Price": "78.12",</t>
  </si>
  <si>
    <t>"Item": "Amul - Cream Cheese, 180 gm",</t>
  </si>
  <si>
    <t>"ImageUrl": "img/pics/44726315e4746c87d64302b591738e40.jpg",</t>
  </si>
  <si>
    <t>"Item": "Prabhat - Cheddar Cheese (Diced), 2 Kg",</t>
  </si>
  <si>
    <t>"ImageUrl": "img/pics/62ccfa99ce0352ca42377b1869bad887.png",</t>
  </si>
  <si>
    <t>"Price": "111.07",</t>
  </si>
  <si>
    <t>"Item": "Amul - Cheese Easy Open Chiplets, 200 gm",</t>
  </si>
  <si>
    <t>"ImageUrl": "img/pics/f46dae09934774151e17033cd68c0d53.jpg",</t>
  </si>
  <si>
    <t>"Price": "416.96",</t>
  </si>
  <si>
    <t>"Item": "Vimal - Processed Cheese Block, 1 Kg",</t>
  </si>
  <si>
    <t>"ImageUrl": "img/pics/0999194e000de69911de7ffa925e6b96.png",</t>
  </si>
  <si>
    <t>"Name": "₹412.95/kg for 6 kgs+",</t>
  </si>
  <si>
    <t>"Price": "412.95"</t>
  </si>
  <si>
    <t>"Name": "₹410.98/kg for 12 kgs+",</t>
  </si>
  <si>
    <t>"Price": "410.98"</t>
  </si>
  <si>
    <t>"Price": "309.2",</t>
  </si>
  <si>
    <t>"Item": "President - Processed Cheddar Cheese Slice, 765 gm",</t>
  </si>
  <si>
    <t>"Heighlightdescription": "at ₹6.06/slice",</t>
  </si>
  <si>
    <t>"ImageUrl": "img/pics/ab73ccf0d2e39887de7a802b97f4c9c6.jpeg",</t>
  </si>
  <si>
    <t>"Name": "₹6.03/slice for 153 slices+",</t>
  </si>
  <si>
    <t>"Price": "6.03"</t>
  </si>
  <si>
    <t>"Name": "₹6/slice for 255 slices+",</t>
  </si>
  <si>
    <t>"Price": "6"</t>
  </si>
  <si>
    <t>"Price": "132.41",</t>
  </si>
  <si>
    <t>"Item": "Soft Spot - Vegan Truffle Cheese, 150 gm",</t>
  </si>
  <si>
    <t>"ImageUrl": "img/pics/0ec02b40016447993df0bc9cc1ec0c6f.png",</t>
  </si>
  <si>
    <t>"Name": "₹132.23/pc for 2 pcs+",</t>
  </si>
  <si>
    <t>"Price": "132.23"</t>
  </si>
  <si>
    <t>"Name": "₹132.05/pc for 6 pcs+",</t>
  </si>
  <si>
    <t>"Price": "132.05"</t>
  </si>
  <si>
    <t>"Price": "133.66",</t>
  </si>
  <si>
    <t>"Item": "Soft Spot - Vegan Smoked Cheddar Cheese, 200 gm",</t>
  </si>
  <si>
    <t>"ImageUrl": "img/pics/70e8938c2f587db5f037a9f5e76c2728.png",</t>
  </si>
  <si>
    <t>"Name": "₹133.39/pack for 2 packs+",</t>
  </si>
  <si>
    <t>"Price": "133.39"</t>
  </si>
  <si>
    <t>"Name": "₹133.21/pack for 6 packs+",</t>
  </si>
  <si>
    <t>"Price": "133.21"</t>
  </si>
  <si>
    <t>"Price": "135.8",</t>
  </si>
  <si>
    <t>"Item": "Soft Spot - Vegan Parmesan Cheese, 200 gm",</t>
  </si>
  <si>
    <t>"ImageUrl": "img/pics/226e50a1a3b074257b93083404e4aa8b.png",</t>
  </si>
  <si>
    <t>"Name": "₹135.71/pack for 3 packs+",</t>
  </si>
  <si>
    <t>"Price": "135.71"</t>
  </si>
  <si>
    <t>"Name": "₹135.45/pack for 5 packs+",</t>
  </si>
  <si>
    <t>"Price": "135.45"</t>
  </si>
  <si>
    <t>"Item": "Soft Spot - Vegan Mozzarella Cheese (Soft), 200 gm",</t>
  </si>
  <si>
    <t>"ImageUrl": "img/pics/0cfa7adb95317bc3c3bfcde5361c8479.jpg",</t>
  </si>
  <si>
    <t>"Name": "₹135.71/pack for 2 packs+",</t>
  </si>
  <si>
    <t>"Name": "₹135.45/pack for 6 packs+",</t>
  </si>
  <si>
    <t>"Item": "Soft Spot - Vegan Mozzarella Cheese, 200 gm",</t>
  </si>
  <si>
    <t>"ImageUrl": "img/pics/721b14b52b5a0faaabaa86a2be747429.png",</t>
  </si>
  <si>
    <t>"Item": "Soft Spot - Vegan Cheddar Cheese, 200 gm",</t>
  </si>
  <si>
    <t>"ImageUrl": "img/pics/87b1fde630770eaf5257394d863f8ecd.png",</t>
  </si>
  <si>
    <t>"Item": "Amul - Feta Cheese, 250 gm",</t>
  </si>
  <si>
    <t>"ImageUrl": "img/pics/5a51671112856dc09061239c0a2a16de.jpg",</t>
  </si>
  <si>
    <t>"Price": "178.04",</t>
  </si>
  <si>
    <t>"Item": "Amul - Gouda Cheese, 250 gm",</t>
  </si>
  <si>
    <t>"ImageUrl": "img/pics/1de1188d9f4afc46eaa57abf4bf7f501.jpg",</t>
  </si>
  <si>
    <t>"Price": "201.87",</t>
  </si>
  <si>
    <t>"Item": "Heritage - Cheese Slice, 480 gm",</t>
  </si>
  <si>
    <t>"ImageUrl": "img/pics/668b531f3e013b18284d3c742959f519.png",</t>
  </si>
  <si>
    <t>"Item": "Derista - Mozzarella Cheese Shredded, 1 Kg",</t>
  </si>
  <si>
    <t>"ImageUrl": "img/pics/ca5f84f9872996d6ec571ea93453dbae.png",</t>
  </si>
  <si>
    <t>"Price": "137.05",</t>
  </si>
  <si>
    <t>"Item": "Derista - Filler Cheese, 500 gm",</t>
  </si>
  <si>
    <t>"ImageUrl": "img/pics/8fd33777f9ce1889bf21d6724bf19735.png",</t>
  </si>
  <si>
    <t>"Price": "270.09",</t>
  </si>
  <si>
    <t>"Item": "Dynamix - Sandwich Slices, 765 gm",</t>
  </si>
  <si>
    <t>"Heighlightdescription": "at ₹5.3/slice",</t>
  </si>
  <si>
    <t>"ImageUrl": "img/pics/44a30b3f767cd7bae7c017fa57809145.png",</t>
  </si>
  <si>
    <t>"Price": "506.07",</t>
  </si>
  <si>
    <t>"Item": "Amul - Processed Cheese Cubes (40 Unit Pack), 1 Kg",</t>
  </si>
  <si>
    <t>"ImageUrl": "img/pics/f45569b3dd195be3e64a59b0d5b196db.png",</t>
  </si>
  <si>
    <t>"Name": "₹502.05/kg for 3 kgs+",</t>
  </si>
  <si>
    <t>"Price": "502.05"</t>
  </si>
  <si>
    <t>"Price": "362.05",</t>
  </si>
  <si>
    <t>"Item": "Derista - Pizza Topping, 1 Kg",</t>
  </si>
  <si>
    <t>"ImageUrl": "img/pics/fe7a40b961c2fcdb2698d5ff4ec1d566.jpg",</t>
  </si>
  <si>
    <t>"Name": "₹361.07/kg for 4 kgs+",</t>
  </si>
  <si>
    <t>"Price": "361.07"</t>
  </si>
  <si>
    <t>"Name": "₹360/kg for 12 kgs+",</t>
  </si>
  <si>
    <t>"Price": "360"</t>
  </si>
  <si>
    <t>"Price": "385",</t>
  </si>
  <si>
    <t>"Item": "Derista - ETG Processed Cheese Block, 1 Kg",</t>
  </si>
  <si>
    <t>"ImageUrl": "img/pics/15c387c3d28ddc1151b227e0b767e398.jpg",</t>
  </si>
  <si>
    <t>"Name": "₹384.02/kg for 4 kgs+",</t>
  </si>
  <si>
    <t>"Name": "₹383.04/kg for 6 kgs+",</t>
  </si>
  <si>
    <t>"Price": "383.04"</t>
  </si>
  <si>
    <t>"Price": "372.05",</t>
  </si>
  <si>
    <t>"Item": "Derista - Processed Cheese Block, 1 Kg",</t>
  </si>
  <si>
    <t>"ImageUrl": "img/pics/6643de320d9ed1e53daadb0af8947e5b.jpg",</t>
  </si>
  <si>
    <t>"Name": "₹371.07/kg for 3 kgs+",</t>
  </si>
  <si>
    <t>"Name": "₹370/kg for 8 kgs+",</t>
  </si>
  <si>
    <t>"Price": "370"</t>
  </si>
  <si>
    <t>"Price": "349.02",</t>
  </si>
  <si>
    <t>"Item": "Derista - Analogue Processed Cheese Block, 1 Kg Pack",</t>
  </si>
  <si>
    <t>"ImageUrl": "img/pics/8b27189a51c28fc0d99d1d2d591f86b0.jpg",</t>
  </si>
  <si>
    <t>"Name": "₹348.04/kg for 3 kgs+",</t>
  </si>
  <si>
    <t>"Name": "₹347.05/kg for 7 kgs+",</t>
  </si>
  <si>
    <t>"Price": "347.05"</t>
  </si>
  <si>
    <t>"Item": "Derista - Cheese Slice, 780 gm",</t>
  </si>
  <si>
    <t>"Heighlightdescription": "at ₹5.96/slice",</t>
  </si>
  <si>
    <t>"ImageUrl": "img/pics/28bfd0aedc9f44d1bfc728fe0145b5b3.jpg",</t>
  </si>
  <si>
    <t>"Name": "₹5.94/slice for 150 slices+",</t>
  </si>
  <si>
    <t>"Price": "5.94"</t>
  </si>
  <si>
    <t>"Name": "₹5.93/slice for 250 slices+",</t>
  </si>
  <si>
    <t>"Price": "5.93"</t>
  </si>
  <si>
    <t>"Price": "382.05",</t>
  </si>
  <si>
    <t>"Item": "Derista - Mozzarella Cheese Blend, 1 Kg",</t>
  </si>
  <si>
    <t>"ImageUrl": "img/pics/98c2152b0a6a4656f0b222062f25460d.jpg",</t>
  </si>
  <si>
    <t>"Name": "₹381.07/kg for 3 kgs+",</t>
  </si>
  <si>
    <t>"Price": "381.07"</t>
  </si>
  <si>
    <t>"Name": "₹380/kg for 9 kgs+",</t>
  </si>
  <si>
    <t>"Price": "374.02",</t>
  </si>
  <si>
    <t>"Item": "Derista - Mozzarella Cheese Diced, 1 Kg",</t>
  </si>
  <si>
    <t>"ImageUrl": "img/pics/6036df32185604302795fe80ded12494.jpg",</t>
  </si>
  <si>
    <t>"Name": "₹373.04/kg for 4 kgs+",</t>
  </si>
  <si>
    <t>"Name": "₹372.05/kg for 6 kgs+",</t>
  </si>
  <si>
    <t>"Price": "372.05"</t>
  </si>
  <si>
    <t>"Item": "Nandini - Mozzarella Blend Cheese Diced, 1 Kg Pack",</t>
  </si>
  <si>
    <t>"ImageUrl": "img/pics/c81a78413552d39000a56587400a66ae.jpg",</t>
  </si>
  <si>
    <t>"Price": "400.09",</t>
  </si>
  <si>
    <t>"Item": "Nandini - Processed Cheese Block, 1 Kg",</t>
  </si>
  <si>
    <t>"ImageUrl": "img/pics/8a94aa9aed9de7256b00e04fa5b8d937.png",</t>
  </si>
  <si>
    <t>"Price": "301.79",</t>
  </si>
  <si>
    <t>"Item": "Nandini - Cheese Slice, 750 gm",</t>
  </si>
  <si>
    <t>"Heighlightdescription": "at ₹6.04/slice",</t>
  </si>
  <si>
    <t>"ImageUrl": "img/pics/01885602b7b49648bcb8bff22e453842.png",</t>
  </si>
  <si>
    <t>"Price": "310",</t>
  </si>
  <si>
    <t>"Item": "Qualita - Analogue Cheese Special (Soft Cheese), 1 Kg",</t>
  </si>
  <si>
    <t>"ImageUrl": "img/pics/9b8c049ca1088419628c10c3b7934f6e.png",</t>
  </si>
  <si>
    <t>"Price": "794.02",</t>
  </si>
  <si>
    <t>"Item": "Milky Mist - Mozzarella Cheese (Diced Blend), 2 Kg Pack",</t>
  </si>
  <si>
    <t>"Heighlightdescription": "at ₹397.01/kg",</t>
  </si>
  <si>
    <t>"ImageUrl": "img/pics/e80df029685b753b777a0855c640f152.png",</t>
  </si>
  <si>
    <t>"Price": "459.02",</t>
  </si>
  <si>
    <t>"Item": "Jain Dairy - Processed Cheese Block, 1 Kg",</t>
  </si>
  <si>
    <t>"ImageUrl": "img/pics/5d3f40b6db58c61384366a77b842a72a.png",</t>
  </si>
  <si>
    <t>"Price": "361.34",</t>
  </si>
  <si>
    <t>"Item": "Go - Sandwich Cheese Slice, 900 gm",</t>
  </si>
  <si>
    <t>"Heighlightdescription": "at ₹6.02/slice",</t>
  </si>
  <si>
    <t>"ImageUrl": "img/pics/2003c6fa959298c5a52fceb775747dcb.jpg",</t>
  </si>
  <si>
    <t>"Price": "442.14",</t>
  </si>
  <si>
    <t>"Item": "Amul - Cheddar Cheese (Diced), 1 Kg",</t>
  </si>
  <si>
    <t>"ImageUrl": "img/pics/bfd1fa45cca2179befaeec5021bef572.png",</t>
  </si>
  <si>
    <t>"Price": "472.05",</t>
  </si>
  <si>
    <t>"Item": "Amul - Processed Cheese (ETG Block), 1 Kg",</t>
  </si>
  <si>
    <t>"ImageUrl": "img/pics/cf455fb218b501e1472484ada3f8d032.png",</t>
  </si>
  <si>
    <t>"Price": "854.02",</t>
  </si>
  <si>
    <t>"Item": "President - Cheddar Mozzarella Mixed Cheese (Shredded), 2 Kg Pack",</t>
  </si>
  <si>
    <t>"Heighlightdescription": "at ₹427.01/kg",</t>
  </si>
  <si>
    <t>"ImageUrl": "img/pics/7f601006939bedd5177509046525b51e.png",</t>
  </si>
  <si>
    <t>"Price": "810",</t>
  </si>
  <si>
    <t>"Item": "President - Mozzarella Cheese (Shredded), 2 Kg Pack",</t>
  </si>
  <si>
    <t>"Heighlightdescription": "at ₹405/kg",</t>
  </si>
  <si>
    <t>"ImageUrl": "img/pics/d6a061f30c8d23eb5fda07dc9bfc9f00.png",</t>
  </si>
  <si>
    <t>"Item": "President - Mozzarella Cheese (Diced), 2 Kg Pack",</t>
  </si>
  <si>
    <t>"ImageUrl": "img/pics/02e1f7cb42883d5ab3e9fa3d1c8321d0.png",</t>
  </si>
  <si>
    <t>"Item": "Milky Mist - Mozzarella Cheese (Shredded), 2 Kg Pack",</t>
  </si>
  <si>
    <t>"ImageUrl": "img/pics/515ec03e62fe67940edd3ae987f237f3.jpg",</t>
  </si>
  <si>
    <t>"Price": "412.95",</t>
  </si>
  <si>
    <t>"Item": "Nandini - Mozzarella Cheese Diced, 1 Kg",</t>
  </si>
  <si>
    <t>"ImageUrl": "img/pics/a75bc29045dcd4fdd072cdc59e189e5a.png",</t>
  </si>
  <si>
    <t>"Name": "₹410/kg for 12 kgs+",</t>
  </si>
  <si>
    <t>"Price": "410"</t>
  </si>
  <si>
    <t>"Price": "830",</t>
  </si>
  <si>
    <t>"Item": "Go - Mozzarella Cheese Diced, 2 Kg",</t>
  </si>
  <si>
    <t>"Heighlightdescription": "at ₹415/kg",</t>
  </si>
  <si>
    <t>"ImageUrl": "img/pics/406c689a-3e88-4d98-9473-41cebcd08ab3_GoMozzarellaCheeseDiced2Kg.jpg",</t>
  </si>
  <si>
    <t>"Name": "₹413.04/kg for 4 kgs+",</t>
  </si>
  <si>
    <t>"Name": "₹411.03/kg for 12 kgs+",</t>
  </si>
  <si>
    <t>"Price": "411.03"</t>
  </si>
  <si>
    <t>"Price": "1248.75",</t>
  </si>
  <si>
    <t>"Item": "D'lecta - Melto Cheese Loaf, 2.27 Kg",</t>
  </si>
  <si>
    <t>"Heighlightdescription": "at ₹6.24/slice",</t>
  </si>
  <si>
    <t>"ImageUrl": "img/pics/81e435d45be9b709c4e56ac400e1b6ed.png",</t>
  </si>
  <si>
    <t>"SectionName": "Cream ",</t>
  </si>
  <si>
    <t>"SectionOrder": "9",</t>
  </si>
  <si>
    <t>"Price": "205",</t>
  </si>
  <si>
    <t>"Item": "Amul - Fresh Cream, 1 L",</t>
  </si>
  <si>
    <t>"ImageUrl": "img/pics/57a57fde2acb4833599aeec75a0ea5aa.png",</t>
  </si>
  <si>
    <t>"Price": "183",</t>
  </si>
  <si>
    <t>"Item": "Madhusudan - Fresh Cream, 1 L Tetra Pak",</t>
  </si>
  <si>
    <t>"ImageUrl": "img/pics/841c017d0a56048f0e5c707ad2c90534.png",</t>
  </si>
  <si>
    <t>"Price": "73.05",</t>
  </si>
  <si>
    <t>"Item": "Goodrich - Creamy Delite, 500 ml",</t>
  </si>
  <si>
    <t>"ImageUrl": "img/pics/c275b6997047d68dd7ea76c1247ed7f3.png",</t>
  </si>
  <si>
    <t>"Name": "₹72/pc for 7 pcs+",</t>
  </si>
  <si>
    <t>"Price": "72"</t>
  </si>
  <si>
    <t>"Name": "₹71.05/pc for 21 pcs+",</t>
  </si>
  <si>
    <t>"Price": "71.05"</t>
  </si>
  <si>
    <t>"Price": "175",</t>
  </si>
  <si>
    <t>"Item": "Rich's - Cooking Cream, 1 Kg",</t>
  </si>
  <si>
    <t>"ImageUrl": "img/pics/51c1320518891a305df7e4e45ecb970d.png",</t>
  </si>
  <si>
    <t>"Name": "₹173.56/kg for 6 kgs+",</t>
  </si>
  <si>
    <t>"Price": "173.56"</t>
  </si>
  <si>
    <t>"Name": "₹173.05/kg for 12 kgs+",</t>
  </si>
  <si>
    <t>"Price": "173.05"</t>
  </si>
  <si>
    <t>"Price": "205.05",</t>
  </si>
  <si>
    <t>"Item": "Shudh Garhwal - Cooking Cream, 1 L",</t>
  </si>
  <si>
    <t>"ImageUrl": "img/pics/1e6a456e6c65a30604a46cf49aebec2f.png",</t>
  </si>
  <si>
    <t>"Name": "₹203.05/ltr for 6 ltrs+",</t>
  </si>
  <si>
    <t>"Price": "203.05"</t>
  </si>
  <si>
    <t>"Name": "₹201.05/ltr for 8 ltrs+",</t>
  </si>
  <si>
    <t>"Price": "201.05"</t>
  </si>
  <si>
    <t>"Price": "191",</t>
  </si>
  <si>
    <t>"Item": "Ananda - Cream UHT Pack, 1 L",</t>
  </si>
  <si>
    <t>"ImageUrl": "img/pics/076854289d0beffb7e67899bef6f0a29.jpg",</t>
  </si>
  <si>
    <t>"Name": "₹189/pc for 6 pcs+",</t>
  </si>
  <si>
    <t>"Price": "189"</t>
  </si>
  <si>
    <t>"Name": "₹187/pc for 12 pcs+",</t>
  </si>
  <si>
    <t>"Price": "187"</t>
  </si>
  <si>
    <t>"Price": "64",</t>
  </si>
  <si>
    <t>"Item": "Amul - Fresh Cream, 25O ml",</t>
  </si>
  <si>
    <t>"ImageUrl": "img/pics/b5deab5ec63de1070f6fd5da432807ec.png",</t>
  </si>
  <si>
    <t>"Item": "Dairy Craft - Frozen Cream, 1 Kg",</t>
  </si>
  <si>
    <t>"ImageUrl": "img/pics/ddc18ad01feff749d0f92a5676488478.png",</t>
  </si>
  <si>
    <t>"Price": "187",</t>
  </si>
  <si>
    <t>"Item": "Dynamix - UHT Fresh Cream, 1 L",</t>
  </si>
  <si>
    <t>"ImageUrl": "img/pics/9ce56df7c5158a4581ddcc2dcca24259.png",</t>
  </si>
  <si>
    <t>"Name": "₹185/ltr for 3 ltrs+",</t>
  </si>
  <si>
    <t>"Price": "185"</t>
  </si>
  <si>
    <t>"Name": "₹183/ltr for 9 ltrs+",</t>
  </si>
  <si>
    <t>"Price": "183"</t>
  </si>
  <si>
    <t>"Price": "65",</t>
  </si>
  <si>
    <t>"Item": "Milky Mist - Fresh Cream, 250 ml",</t>
  </si>
  <si>
    <t>"ImageUrl": "img/pics/9c1ee5c4cad3625d9b6295f33c490526.jpg",</t>
  </si>
  <si>
    <t>"Price": "174.8",</t>
  </si>
  <si>
    <t>"Item": "Nandini - UHT Fresh Cream, 1 L",</t>
  </si>
  <si>
    <t>"ImageUrl": "img/pics/a15827416165e989d66c9eefafff4ce5.jpg",</t>
  </si>
  <si>
    <t>"Name": "₹172.8/ltr for 3 ltrs+",</t>
  </si>
  <si>
    <t>"Price": "172.8"</t>
  </si>
  <si>
    <t>"Name": "₹170.8/ltr for 8 ltrs+",</t>
  </si>
  <si>
    <t>"Price": "170.8"</t>
  </si>
  <si>
    <t>"Price": "208",</t>
  </si>
  <si>
    <t>"Item": "Paras - Dairy Cream, 1 L Pack",</t>
  </si>
  <si>
    <t>"ImageUrl": "img/pics/03d4df4b53f0e53d37891af66d4a1cde.png",</t>
  </si>
  <si>
    <t>"Price": "203",</t>
  </si>
  <si>
    <t>"Item": "Paras - Fresh Cream, 1 L",</t>
  </si>
  <si>
    <t>"ImageUrl": "img/pics/81db8521d6571ec182f06fb6681ae30a.png",</t>
  </si>
  <si>
    <t>"Price": "204",</t>
  </si>
  <si>
    <t>"Item": "Milky Mist - UHT Fresh Cream, 1 L",</t>
  </si>
  <si>
    <t>"ImageUrl": "img/pics/f1170898668a5c9e3418a71dd8d42cf4.jpg",</t>
  </si>
  <si>
    <t>"Price": "149.07",</t>
  </si>
  <si>
    <t>"Item": "Rich's - Double Dream, 1 L",</t>
  </si>
  <si>
    <t>"ImageUrl": "img/pics/9415e8107b8e9914f8864a60b0a1b1f5.png",</t>
  </si>
  <si>
    <t>"Price": "224",</t>
  </si>
  <si>
    <t>"Item": "Dlecta - Fresh Cream, 1 L",</t>
  </si>
  <si>
    <t>"ImageUrl": "img/pics/3da1f26b-de5b-46b5-8f35-e01237c8d962_DlectaFreshCream1Ltrs.jpg",</t>
  </si>
  <si>
    <t>"SectionName": "Curd ",</t>
  </si>
  <si>
    <t>"SectionOrder": "10",</t>
  </si>
  <si>
    <t>"Price": "311.43",</t>
  </si>
  <si>
    <t>"Item": "Ananda - Dahi Matka (Skim), Blue Matka, 5 Kg",</t>
  </si>
  <si>
    <t>"Heighlightdescription": "at ₹62.29/kg",</t>
  </si>
  <si>
    <t>"ImageUrl": "img/pics/3ec44cf63ed3ef7554c2287df0e5f1a6.png",</t>
  </si>
  <si>
    <t>"Name": "₹60.8/kg for 15 kgs+",</t>
  </si>
  <si>
    <t>"Price": "60.8"</t>
  </si>
  <si>
    <t>"Name": "₹60.29/kg for 25 kgs+",</t>
  </si>
  <si>
    <t>"Price": "60.29"</t>
  </si>
  <si>
    <t>"Price": "52.38",</t>
  </si>
  <si>
    <t>"Item": "Madhusudan - Dahi Lite, 1 Kg Pouch",</t>
  </si>
  <si>
    <t>"ImageUrl": "img/pics/adc8beb56ccfa0b8975d58f67a082630.png",</t>
  </si>
  <si>
    <t>"Name": "₹50.86/kg for 8 kgs+",</t>
  </si>
  <si>
    <t>"Price": "50.86"</t>
  </si>
  <si>
    <t>"Name": "₹49.33/kg for 24 kgs+",</t>
  </si>
  <si>
    <t>"Price": "49.33"</t>
  </si>
  <si>
    <t>"Price": "66.19",</t>
  </si>
  <si>
    <t>"Item": "Madhusudan - Dahi Magic, 1 Kg Pouch",</t>
  </si>
  <si>
    <t>"ImageUrl": "img/pics/78767514b73d0c2e9b9f63284035f441.jpg",</t>
  </si>
  <si>
    <t>"Name": "₹64.67/pc for 5 pcs+",</t>
  </si>
  <si>
    <t>"Price": "64.67"</t>
  </si>
  <si>
    <t>"Name": "₹63.14/pc for 15 pcs+",</t>
  </si>
  <si>
    <t>"Price": "63.14"</t>
  </si>
  <si>
    <t>"Price": "359.05",</t>
  </si>
  <si>
    <t>"Item": "Ananda - Dahi Matka (TM), Red Matka, 5 Kg",</t>
  </si>
  <si>
    <t>"Heighlightdescription": "at ₹71.81/kg",</t>
  </si>
  <si>
    <t>"ImageUrl": "img/pics/ba150e4459ce60650bb02e758713cf99.png",</t>
  </si>
  <si>
    <t>"Name": "₹70.84/kg for 15 kgs+",</t>
  </si>
  <si>
    <t>"Price": "70.84"</t>
  </si>
  <si>
    <t>"Name": "₹69.81/kg for 25 kgs+",</t>
  </si>
  <si>
    <t>"Price": "69.81"</t>
  </si>
  <si>
    <t>"Price": "70",</t>
  </si>
  <si>
    <t>"Item": "Ananda - Dahi Pouch (TM), 1 Kg",</t>
  </si>
  <si>
    <t>"ImageUrl": "img/pics/8753ccf8e87b0881271ada33bd7663db.png",</t>
  </si>
  <si>
    <t>"Name": "₹68/kg for 4 kgs+",</t>
  </si>
  <si>
    <t>"Price": "68"</t>
  </si>
  <si>
    <t>"Name": "₹67.43/kg for 8 kgs+",</t>
  </si>
  <si>
    <t>"Price": "67.43"</t>
  </si>
  <si>
    <t>"Price": "297.43",</t>
  </si>
  <si>
    <t>"Item": "Madhusudan - Dahi Lite, 5 Kg Jar",</t>
  </si>
  <si>
    <t>"Heighlightdescription": "at ₹59.49/kg",</t>
  </si>
  <si>
    <t>"ImageUrl": "img/pics/c43139f6be76cf7fba8dab0c4706c6e5.png",</t>
  </si>
  <si>
    <t>"Name": "₹57.98/kg for 15 kgs+",</t>
  </si>
  <si>
    <t>"Price": "57.98"</t>
  </si>
  <si>
    <t>"Name": "₹56.48/kg for 25 kgs+",</t>
  </si>
  <si>
    <t>"Price": "56.48"</t>
  </si>
  <si>
    <t>"Price": "910.48",</t>
  </si>
  <si>
    <t>"Item": "Ananda - Dahi Matka (Skim), Blue Matka, 15 Kg",</t>
  </si>
  <si>
    <t>"Heighlightdescription": "at ₹60.7/kg",</t>
  </si>
  <si>
    <t>"ImageUrl": "img/pics/889cef80-9df8-4f40-a50b-80e13a277b5e_AnandaDahiMatkaSkimBlueMatka15Kg.jpg",</t>
  </si>
  <si>
    <t>"Name": "₹59.2/kg for 30 kgs+",</t>
  </si>
  <si>
    <t>"Price": "59.2"</t>
  </si>
  <si>
    <t>"Name": "₹58.7/kg for 60 kgs+",</t>
  </si>
  <si>
    <t>"Price": "58.7"</t>
  </si>
  <si>
    <t>"Price": "53.52",</t>
  </si>
  <si>
    <t>"Item": "Heritage - Curd Lite Pouch, 1 Kg",</t>
  </si>
  <si>
    <t>"ImageUrl": "img/pics/e540f5432bcc116aeff9876cb7ddd325.png",</t>
  </si>
  <si>
    <t>"Name": "₹52/kg for 7 kgs+",</t>
  </si>
  <si>
    <t>"Price": "52"</t>
  </si>
  <si>
    <t>"Name": "₹50.57/kg for 20 kgs+",</t>
  </si>
  <si>
    <t>"Price": "50.57"</t>
  </si>
  <si>
    <t>"Price": "305.52",</t>
  </si>
  <si>
    <t>"Item": "Madhusudan - Dahi Magic, 5 Kg Jar",</t>
  </si>
  <si>
    <t>"Heighlightdescription": "at ₹61.1/kg",</t>
  </si>
  <si>
    <t>"ImageUrl": "img/pics/6a61b9f2-cb8f-4dfe-8d32-6c9d6ff78f8f_MadhusudanDahiMagic5KgJar.jpg",</t>
  </si>
  <si>
    <t>"Name": "₹59.6/kg for 15 kgs+",</t>
  </si>
  <si>
    <t>"Price": "59.6"</t>
  </si>
  <si>
    <t>"Name": "₹58.1/kg for 25 kgs+",</t>
  </si>
  <si>
    <t>"Price": "58.1"</t>
  </si>
  <si>
    <t>"Price": "134",</t>
  </si>
  <si>
    <t>"Item": "Ayufarm - Hung Curd (TM), 1 Kg",</t>
  </si>
  <si>
    <t>"ImageUrl": "img/pics/fb2ca0b034001603b807627b040354e4.png",</t>
  </si>
  <si>
    <t>"Name": "₹131.05/kg for 4 kgs+",</t>
  </si>
  <si>
    <t>"Price": "131.05"</t>
  </si>
  <si>
    <t>"Name": "₹129.05/kg for 6 kgs+",</t>
  </si>
  <si>
    <t>"Price": "129.05"</t>
  </si>
  <si>
    <t>"Price": "664.29",</t>
  </si>
  <si>
    <t>"Item": "Ayufarm - Dahi Matka (Toned), Blue Matka, 15 Kg",</t>
  </si>
  <si>
    <t>"Heighlightdescription": "at ₹44.29/kg",</t>
  </si>
  <si>
    <t>"ImageUrl": "img/pics/829f8537b56c2dcf7499beb47c987098.png",</t>
  </si>
  <si>
    <t>"Price": "9.52",</t>
  </si>
  <si>
    <t>"Item": "Amul - Masti Buttermilk, 200 ml",</t>
  </si>
  <si>
    <t>"ImageUrl": "img/pics/edb94bfefc4162e67effce9056dc4267.jpg",</t>
  </si>
  <si>
    <t>"Name": "₹7.62/pc for 50 pcs+",</t>
  </si>
  <si>
    <t>"Price": "7.62"</t>
  </si>
  <si>
    <t>"Price": "428.57",</t>
  </si>
  <si>
    <t>"Item": "Amul - Masti Buttermilk, 200 ml (Pack of 30)",</t>
  </si>
  <si>
    <t>"Heighlightdescription": "at ₹14.29/pc",</t>
  </si>
  <si>
    <t>"ImageUrl": "img/pics/d3cf707ad9af41cd6291e022e222873a.jpg",</t>
  </si>
  <si>
    <t>"Price": "58.1",</t>
  </si>
  <si>
    <t>"Item": "Heritage - Curd (TM), 1 Kg Pouch",</t>
  </si>
  <si>
    <t>"ImageUrl": "img/pics/cb0e267b41825f47e4fd56db0bbcf018.png",</t>
  </si>
  <si>
    <t>"Name": "₹57.05/pc for 10 pcs+",</t>
  </si>
  <si>
    <t>"Price": "57.05"</t>
  </si>
  <si>
    <t>"Name": "₹56.1/pc for 19 pcs+",</t>
  </si>
  <si>
    <t>"Price": "56.1"</t>
  </si>
  <si>
    <t>"Price": "64.38",</t>
  </si>
  <si>
    <t>"Item": "Amul - Masti Buttermilk, 1 L Tetra Pak",</t>
  </si>
  <si>
    <t>"ImageUrl": "img/pics/fa31bc51c24d40afc1123884bb02f40c.png",</t>
  </si>
  <si>
    <t>"Name": "₹63.9/pc for 3 pcs+",</t>
  </si>
  <si>
    <t>"Price": "63.9"</t>
  </si>
  <si>
    <t>"Name": "₹63.43/pc for 5 pcs+",</t>
  </si>
  <si>
    <t>"Price": "63.43"</t>
  </si>
  <si>
    <t>"Price": "83.33",</t>
  </si>
  <si>
    <t>"Item": "Amul - Lassi, 1 L Tetra Pak",</t>
  </si>
  <si>
    <t>"ImageUrl": "img/pics/80216d2903b0f1aed5241332ea70ce33.png",</t>
  </si>
  <si>
    <t>"Name": "₹82.29/pc for 6 pcs+",</t>
  </si>
  <si>
    <t>"Price": "82.29"</t>
  </si>
  <si>
    <t>"Name": "₹81.33/pc for 12 pcs+",</t>
  </si>
  <si>
    <t>"Price": "81.33"</t>
  </si>
  <si>
    <t>"Price": "351.9",</t>
  </si>
  <si>
    <t>"Item": "Amul - Masti Curd, 5 Kg",</t>
  </si>
  <si>
    <t>"Heighlightdescription": "at ₹70.38/kg",</t>
  </si>
  <si>
    <t>"ImageUrl": "img/pics/60edc9e050375289cb220c5a94cb35e7.png",</t>
  </si>
  <si>
    <t>"Name": "₹69.39/kg for 15 kgs+",</t>
  </si>
  <si>
    <t>"Price": "69.39"</t>
  </si>
  <si>
    <t>"Name": "₹68.38/kg for 25 kgs+",</t>
  </si>
  <si>
    <t>"Price": "68.38"</t>
  </si>
  <si>
    <t>"Price": "66",</t>
  </si>
  <si>
    <t>"Item": "Darshan Dairy - Curd, 1 Kg",</t>
  </si>
  <si>
    <t>"ImageUrl": "img/pics/6d78275856a0988886ac6a8997b68e52.png",</t>
  </si>
  <si>
    <t>"Price": "55.14",</t>
  </si>
  <si>
    <t>"Item": "Dodla - Double Toned Curd, 900 gm",</t>
  </si>
  <si>
    <t>"ImageUrl": "img/pics/03590a9483cce89e23e1a4f4e6dfbdcb.jpg",</t>
  </si>
  <si>
    <t>"Price": "672.38",</t>
  </si>
  <si>
    <t>"Item": "Vallhabha - Bucket Curd, 10 Kg",</t>
  </si>
  <si>
    <t>"Heighlightdescription": "at ₹67.24/kg",</t>
  </si>
  <si>
    <t>"ImageUrl": "img/pics/b52b92c6c68bcba14afd563ce3198fd2.jpeg",</t>
  </si>
  <si>
    <t>"Name": "₹66.74/kg for 20 kgs+",</t>
  </si>
  <si>
    <t>"Price": "66.74"</t>
  </si>
  <si>
    <t>"Name": "₹65.64/kg for 40 kgs+",</t>
  </si>
  <si>
    <t>"Price": "65.64"</t>
  </si>
  <si>
    <t>"Price": "63.05",</t>
  </si>
  <si>
    <t>"Item": "Prabhat - Dahi (Low Fat), 1 Kg",</t>
  </si>
  <si>
    <t>"ImageUrl": "img/pics/95d798acb2cf3f810f154d72651c7955.png",</t>
  </si>
  <si>
    <t>"Name": "₹60.57/pc for 6 pcs+",</t>
  </si>
  <si>
    <t>"Price": "60.57"</t>
  </si>
  <si>
    <t>"Price": "55.05",</t>
  </si>
  <si>
    <t>"Item": "Aahhaa - Double Toned Curd, 1 Kg Pouch",</t>
  </si>
  <si>
    <t>"ImageUrl": "img/pics/d204d9399101e3a858e9efefdbc17ba4.jpg",</t>
  </si>
  <si>
    <t>"Name": "₹54/kg for 12 kgs+",</t>
  </si>
  <si>
    <t>"Price": "54"</t>
  </si>
  <si>
    <t>"Name": "₹53.05/kg for 24 kgs+",</t>
  </si>
  <si>
    <t>"Price": "53.05"</t>
  </si>
  <si>
    <t>"Price": "54.76",</t>
  </si>
  <si>
    <t>"Item": "Vallhabha - Double Toned Curd, 950 gm",</t>
  </si>
  <si>
    <t>"ImageUrl": "img/pics/72f481c6f7e277c49dc7b4a906469ee6.png",</t>
  </si>
  <si>
    <t>"Name": "₹54.29/pc for 10 pcs+",</t>
  </si>
  <si>
    <t>"Price": "54.29"</t>
  </si>
  <si>
    <t>"Name": "₹53.81/pc for 19 pcs+",</t>
  </si>
  <si>
    <t>"Price": "53.81"</t>
  </si>
  <si>
    <t>"Price": "57.52",</t>
  </si>
  <si>
    <t>"Item": "Vallhabha - Double Toned Curd, 940 gm",</t>
  </si>
  <si>
    <t>"ImageUrl": "img/pics/af62110924af6646fe6931eef56b7cc3.png",</t>
  </si>
  <si>
    <t>"Name": "₹56.57/pc for 11 pcs+",</t>
  </si>
  <si>
    <t>"Price": "56.57"</t>
  </si>
  <si>
    <t>"Name": "₹55.62/pc for 30 pcs+",</t>
  </si>
  <si>
    <t>"Price": "55.62"</t>
  </si>
  <si>
    <t>"Price": "68",</t>
  </si>
  <si>
    <t>"Item": "SDP - Toned Curd, 1 Kg Pouch",</t>
  </si>
  <si>
    <t>"ImageUrl": "img/pics/9e72d431094727b7f1f040f383d7f51b.png",</t>
  </si>
  <si>
    <t>"Name": "₹65.52/pc for 7 pcs+",</t>
  </si>
  <si>
    <t>"Price": "65.52"</t>
  </si>
  <si>
    <t>"Price": "63",</t>
  </si>
  <si>
    <t>"Item": "Vangal - Curd  (Toned), 1 Kg",</t>
  </si>
  <si>
    <t>"ImageUrl": "img/pics/680fa5d767a921d73b9b262339fa43fe.png",</t>
  </si>
  <si>
    <t>"Name": "₹61/kg for 10 kgs+",</t>
  </si>
  <si>
    <t>"Price": "61"</t>
  </si>
  <si>
    <t>"Name": "₹60/kg for 16 kgs+",</t>
  </si>
  <si>
    <t>"Price": "60"</t>
  </si>
  <si>
    <t>"Price": "700",</t>
  </si>
  <si>
    <t>"Item": "Govind - Curd, 10 Kg Tub",</t>
  </si>
  <si>
    <t>"Heighlightdescription": "at ₹70/kg",</t>
  </si>
  <si>
    <t>"ImageUrl": "img/pics/e85b21112480672a959c6101b7b030b1.jpg",</t>
  </si>
  <si>
    <t>"Name": "₹68.51/kg for 20 kgs+",</t>
  </si>
  <si>
    <t>"Price": "68.51"</t>
  </si>
  <si>
    <t>"Name": "₹67/kg for 40 kgs+",</t>
  </si>
  <si>
    <t>"Price": "67"</t>
  </si>
  <si>
    <t>"Item": "Vallhabha - Toned Curd, 940 gm",</t>
  </si>
  <si>
    <t>"ImageUrl": "img/pics/159822f4209e1b2a097c7b46807698fb.png",</t>
  </si>
  <si>
    <t>"Name": "₹55.62/pc for 11 pcs+",</t>
  </si>
  <si>
    <t>"Name": "₹54.67/pc for 23 pcs+",</t>
  </si>
  <si>
    <t>"Price": "54.67"</t>
  </si>
  <si>
    <t>"Item": "Ayufarm - Frozen Hung Curd (TM), 1 Kg",</t>
  </si>
  <si>
    <t>"ImageUrl": "img/pics/8977df06d139997746fefe500c8e50fd.png",</t>
  </si>
  <si>
    <t>"Price": "67.24",</t>
  </si>
  <si>
    <t>"Item": "Adya - Curd, 1 Kg",</t>
  </si>
  <si>
    <t>"ImageUrl": "img/pics/de6bcf273ee4a74ded65c94b707ededa.jpeg",</t>
  </si>
  <si>
    <t>"Name": "₹66.76/kg for 8 kgs+",</t>
  </si>
  <si>
    <t>"Price": "66.76"</t>
  </si>
  <si>
    <t>"Name": "₹66.29/kg for 24 kgs+",</t>
  </si>
  <si>
    <t>"Price": "66.29"</t>
  </si>
  <si>
    <t>"Price": "70.67",</t>
  </si>
  <si>
    <t>"Item": "Red Cow - Amrit Doi, 1 Kg",</t>
  </si>
  <si>
    <t>"ImageUrl": "img/pics/14eb1562bc9c1240e212212618a9687f.png",</t>
  </si>
  <si>
    <t>"Name": "₹70.19/kg for 10 kgs+",</t>
  </si>
  <si>
    <t>"Price": "70.19"</t>
  </si>
  <si>
    <t>"Name": "₹69.71/kg for 25 kgs+",</t>
  </si>
  <si>
    <t>"Price": "69.71"</t>
  </si>
  <si>
    <t>"Price": "51.33",</t>
  </si>
  <si>
    <t>"Item": "Vimal - Fresh Curd Pouch, 1 Kg",</t>
  </si>
  <si>
    <t>"ImageUrl": "img/pics/3fc4c0d1269a767e3478eb254e95cbe4.jpg",</t>
  </si>
  <si>
    <t>"Price": "67.05",</t>
  </si>
  <si>
    <t>"Item": "Akshara - Dahi Pouch (TM), 1 Kg",</t>
  </si>
  <si>
    <t>"ImageUrl": "img/pics/464ec30eaf2c04618fd4f961e971dfef.jpg",</t>
  </si>
  <si>
    <t>"Price": "59.52",</t>
  </si>
  <si>
    <t>"Item": "Dodla - (Double Toned) Curd, 1 Kg Pouch",</t>
  </si>
  <si>
    <t>"ImageUrl": "img/pics/77646a8aee2b60b8100c7d037191a60c.png",</t>
  </si>
  <si>
    <t>"Price": "60.57",</t>
  </si>
  <si>
    <t>"Item": "Sri Chakra - (DTM) Curd, 1 Kg",</t>
  </si>
  <si>
    <t>"ImageUrl": "img/pics/49bf8313b5647afc34c761be4f96d025.png",</t>
  </si>
  <si>
    <t>"Price": "394.67",</t>
  </si>
  <si>
    <t>"Item": "Milky Mist - Set Curd, 5 Kg Pack",</t>
  </si>
  <si>
    <t>"Heighlightdescription": "at ₹78.93/kg",</t>
  </si>
  <si>
    <t>"ImageUrl": "img/pics/c7d877d2fc74df345a968eb64cf32936.png",</t>
  </si>
  <si>
    <t>"Price": "70.19",</t>
  </si>
  <si>
    <t>"Item": "Govind - Dahi, 1 Kg Pouch",</t>
  </si>
  <si>
    <t>"ImageUrl": "img/pics/24747049628de3fb5be7028b20a29579.png",</t>
  </si>
  <si>
    <t>"Name": "₹67.14/kg for 6 kgs+",</t>
  </si>
  <si>
    <t>"Price": "67.14"</t>
  </si>
  <si>
    <t>"Name": "₹64.19/kg for 12 kgs+",</t>
  </si>
  <si>
    <t>"Price": "64.19"</t>
  </si>
  <si>
    <t>"Price": "55.52",</t>
  </si>
  <si>
    <t>"Item": "Dodla - Curd (Toned), 1 Kg",</t>
  </si>
  <si>
    <t>"ImageUrl": "img/pics/5c1aa56a7da4b1f5147f7c223d80896a.webp",</t>
  </si>
  <si>
    <t>"Name": "₹54.57/kg for 11 kgs+",</t>
  </si>
  <si>
    <t>"Price": "54.57"</t>
  </si>
  <si>
    <t>"Name": "₹53.52/kg for 18 kgs+",</t>
  </si>
  <si>
    <t>"Price": "53.52"</t>
  </si>
  <si>
    <t>"Price": "447.14",</t>
  </si>
  <si>
    <t>"Item": "Milky Mist - Bucket Curd, 5 Kg",</t>
  </si>
  <si>
    <t>"Heighlightdescription": "at ₹89.43/kg",</t>
  </si>
  <si>
    <t>"ImageUrl": "img/pics/d2c17f38acce101244d267b73167a80d.jpg",</t>
  </si>
  <si>
    <t>"Name": "₹88.93/kg for 15 kgs+",</t>
  </si>
  <si>
    <t>"Price": "88.93"</t>
  </si>
  <si>
    <t>"Name": "₹88.63/kg for 30 kgs+",</t>
  </si>
  <si>
    <t>"Price": "88.63"</t>
  </si>
  <si>
    <t>"Price": "64.67",</t>
  </si>
  <si>
    <t>"Item": "Amul - Masti Curd, 1 Kg",</t>
  </si>
  <si>
    <t>"ImageUrl": "img/pics/b64b2a8d9166a39a4c97aa709a22f9c7.png",</t>
  </si>
  <si>
    <t>"Name": "₹63.71/kg for 9 kgs+",</t>
  </si>
  <si>
    <t>"Price": "63.71"</t>
  </si>
  <si>
    <t>"Name": "₹62.67/kg for 13 kgs+",</t>
  </si>
  <si>
    <t>"Price": "62.67"</t>
  </si>
  <si>
    <t>"SectionName": "Ghee ",</t>
  </si>
  <si>
    <t>"SectionOrder": "11",</t>
  </si>
  <si>
    <t>"Price": "433.39",</t>
  </si>
  <si>
    <t>"Item": "Milkfood - Pure Ghee, 900 ml",</t>
  </si>
  <si>
    <t>"ImageUrl": "img/pics/ff7380decf6d9f247daceafdbe48515f.png",</t>
  </si>
  <si>
    <t>"Name": "₹431.52/pc for 3 pcs+",</t>
  </si>
  <si>
    <t>"Price": "431.52"</t>
  </si>
  <si>
    <t>"Name": "₹429.73/pc for 6 pcs+",</t>
  </si>
  <si>
    <t>"Price": "429.73"</t>
  </si>
  <si>
    <t>"Price": "446.7",</t>
  </si>
  <si>
    <t>"Item": "Ananda - Ghee, 900 ml",</t>
  </si>
  <si>
    <t>"ImageUrl": "img/pics/17b0389001b391b9c1a17bca14a3e0d6.png",</t>
  </si>
  <si>
    <t>"Name": "₹444.91/pc for 3 pcs+",</t>
  </si>
  <si>
    <t>"Price": "444.91"</t>
  </si>
  <si>
    <t>"Name": "₹443.04/pc for 5 pcs+",</t>
  </si>
  <si>
    <t>"Price": "443.04"</t>
  </si>
  <si>
    <t>"Price": "495.36",</t>
  </si>
  <si>
    <t>"Item": "Madhusudan - Ghee, 1 L",</t>
  </si>
  <si>
    <t>"ImageUrl": "img/pics/8932da9ade3ead3cf46831c3109775f7.png",</t>
  </si>
  <si>
    <t>"Name": "₹493.39/ltr for 3 ltrs+",</t>
  </si>
  <si>
    <t>"Price": "493.39"</t>
  </si>
  <si>
    <t>"Name": "₹490.36/ltr for 5 ltrs+",</t>
  </si>
  <si>
    <t>"Price": "490.36"</t>
  </si>
  <si>
    <t>"Item": "ProVedic - Pure Desi Ghee, 1 L Ceka Pack",</t>
  </si>
  <si>
    <t>"ImageUrl": "img/pics/c5e02787eb30cf36fd87d099b2431992.png",</t>
  </si>
  <si>
    <t>"Name": "₹407.95/ltr for 3 ltrs+",</t>
  </si>
  <si>
    <t>"Price": "407.95"</t>
  </si>
  <si>
    <t>"Name": "₹405.98/ltr for 5 ltrs+",</t>
  </si>
  <si>
    <t>"Price": "405.98"</t>
  </si>
  <si>
    <t>"Price": "505.36",</t>
  </si>
  <si>
    <t>"Item": "Amul - Ghee, 1 L",</t>
  </si>
  <si>
    <t>"ImageUrl": "img/pics/98d60d46422383bd2110ac02dd543dd8.png",</t>
  </si>
  <si>
    <t>"Price": "520.54",</t>
  </si>
  <si>
    <t>"Item": "Nandini - Ghee, 1 L",</t>
  </si>
  <si>
    <t>"ImageUrl": "img/pics/c5988b9496e68a143ee078f7adfc0376.jpg",</t>
  </si>
  <si>
    <t>"Name": "₹518.48/ltr for 4 ltrs+",</t>
  </si>
  <si>
    <t>"Price": "518.48"</t>
  </si>
  <si>
    <t>"Name": "₹517.5/ltr for 12 ltrs+",</t>
  </si>
  <si>
    <t>"Price": "517.5"</t>
  </si>
  <si>
    <t>"Price": "463.04",</t>
  </si>
  <si>
    <t>"Item": "Dairy Craft - Desi Ghee Jar, 1 L",</t>
  </si>
  <si>
    <t>"ImageUrl": "img/pics/f4fca6b0d076913e70807830e712cb0a.png",</t>
  </si>
  <si>
    <t>"Name": "₹462.05/kg for 2 kgs+",</t>
  </si>
  <si>
    <t>"Price": "462.05"</t>
  </si>
  <si>
    <t>"Name": "₹461.07/kg for 4 kgs+",</t>
  </si>
  <si>
    <t>"Price": "461.07"</t>
  </si>
  <si>
    <t>"Price": "529.46",</t>
  </si>
  <si>
    <t>"Item": "Amul - Cow Ghee, 1 L",</t>
  </si>
  <si>
    <t>"ImageUrl": "img/pics/62213fbebc7e0b4eda78b711d130a6f8.jpg",</t>
  </si>
  <si>
    <t>"Name": "₹525.45/pc for 5 pcs+",</t>
  </si>
  <si>
    <t>"Price": "525.45"</t>
  </si>
  <si>
    <t>"Price": "7678.57",</t>
  </si>
  <si>
    <t>"Item": "Madhusudan - Desi Ghee, 15 Kg Tin",</t>
  </si>
  <si>
    <t>"ImageUrl": "img/pics/5aa5c22ed52c53c6e385fc016262ad0f.webp",</t>
  </si>
  <si>
    <t>"Price": "464.55",</t>
  </si>
  <si>
    <t>"Item": "Ananda - Cow Ghee, 900 ml",</t>
  </si>
  <si>
    <t>"ImageUrl": "img/pics/a55134cec6bf45f96abec6ca3d9bd11e.png",</t>
  </si>
  <si>
    <t>"Name": "₹462.77/pc for 4 pcs+",</t>
  </si>
  <si>
    <t>"Price": "462.77"</t>
  </si>
  <si>
    <t>"Name": "₹460.98/pc for 12 pcs+",</t>
  </si>
  <si>
    <t>"Price": "460.98"</t>
  </si>
  <si>
    <t>"Price": "411.52",</t>
  </si>
  <si>
    <t>"Item": "Milk Joy - Premium Grade Ghee, 1 L",</t>
  </si>
  <si>
    <t>"ImageUrl": "img/pics/8a410dcace601804582c2f984a0e443e.png",</t>
  </si>
  <si>
    <t>"Name": "₹407.5/pc for 6 pcs+",</t>
  </si>
  <si>
    <t>"Price": "407.5"</t>
  </si>
  <si>
    <t>"Name": "₹404.46/pc for 12 pcs+",</t>
  </si>
  <si>
    <t>"Price": "404.46"</t>
  </si>
  <si>
    <t>"Price": "6132.86",</t>
  </si>
  <si>
    <t>"Item": "Provedic - Pure Desi Ghee, 15 Kg Tin",</t>
  </si>
  <si>
    <t>"Heighlightdescription": "at ₹408.86/kg",</t>
  </si>
  <si>
    <t>"ImageUrl": "img/pics/21dbe310982d35cb9e618c604abcf17a.png",</t>
  </si>
  <si>
    <t>"Name": "₹406.86/kg for 45 kgs+",</t>
  </si>
  <si>
    <t>"Price": "406.86"</t>
  </si>
  <si>
    <t>"Price": "7235.71",</t>
  </si>
  <si>
    <t>"Item": "Milkfood - Pure Ghee, 15 Kg",</t>
  </si>
  <si>
    <t>"Heighlightdescription": "at ₹482.38/kg",</t>
  </si>
  <si>
    <t>"ImageUrl": "img/pics/79e339b3-ab4c-4508-95e4-4da5aeef6504_MilkfoodPureGhee15kg.jpg",</t>
  </si>
  <si>
    <t>"Name": "₹479.38/kg for 45 kgs+",</t>
  </si>
  <si>
    <t>"Price": "479.38"</t>
  </si>
  <si>
    <t>"Price": "7734.82",</t>
  </si>
  <si>
    <t>"Item": "Dairy Craft - Desi Ghee Tub, 15 Kg",</t>
  </si>
  <si>
    <t>"Heighlightdescription": "at ₹515.65/kg",</t>
  </si>
  <si>
    <t>"ImageUrl": "img/pics/53ef76b431d7f00c7a519d09836d8c96.png",</t>
  </si>
  <si>
    <t>"Name": "₹513.65/kg for 30 kgs+",</t>
  </si>
  <si>
    <t>"Price": "513.65"</t>
  </si>
  <si>
    <t>"Name": "₹510.65/kg for 75 kgs+",</t>
  </si>
  <si>
    <t>"Price": "510.65"</t>
  </si>
  <si>
    <t>"Price": "491.87",</t>
  </si>
  <si>
    <t>"Item": "Heritage - Cow Ghee (Tetra Pack), 1 L",</t>
  </si>
  <si>
    <t>"ImageUrl": "img/pics/ca799165e073db2d5ad55d65128da048.jpg",</t>
  </si>
  <si>
    <t>"Name": "₹487.86/pc for 3 pcs+",</t>
  </si>
  <si>
    <t>"Price": "487.86"</t>
  </si>
  <si>
    <t>"Name": "₹483.84/pc for 6 pcs+",</t>
  </si>
  <si>
    <t>"Price": "483.84"</t>
  </si>
  <si>
    <t>"Price": "7162.5",</t>
  </si>
  <si>
    <t>"Item": "Milk Joy - Premium Grade Ghee, 15 Kg",</t>
  </si>
  <si>
    <t>"Heighlightdescription": "at ₹477.5/kg",</t>
  </si>
  <si>
    <t>"ImageUrl": "img/pics/1306957dbfe9b1441912526c658f4dcb.png",</t>
  </si>
  <si>
    <t>"Name": "₹471.17/kg for 60 kgs+",</t>
  </si>
  <si>
    <t>"Price": "471.17"</t>
  </si>
  <si>
    <t>"Price": "7000",</t>
  </si>
  <si>
    <t>"Item": "Milk Joy - Premium Grade Ghee, 15 Kg (DD)",</t>
  </si>
  <si>
    <t>"Heighlightdescription": "at ₹466.67/kg",</t>
  </si>
  <si>
    <t>"ImageUrl": "img/pics/bac44af486402f7675c81064dd12c3ff.png",</t>
  </si>
  <si>
    <t>"Item": "Milk Joy - Cow Ghee, 900 ml",</t>
  </si>
  <si>
    <t>"ImageUrl": "img/pics/0feae000f3e5ef9ea5f1d481e95d56b5.png",</t>
  </si>
  <si>
    <t>"Price": "8055.36",</t>
  </si>
  <si>
    <t>"Item": "Paras - Desi Ghee, 15 Kg ",</t>
  </si>
  <si>
    <t>"Heighlightdescription": "at ₹537.02/kg",</t>
  </si>
  <si>
    <t>"ImageUrl": "img/pics/bf0f2076f3a68068fd10c2260bed91bb.jpg",</t>
  </si>
  <si>
    <t>"Price": "2602.77",</t>
  </si>
  <si>
    <t>"Item": "Gokul - Ghee, 5 L Jar",</t>
  </si>
  <si>
    <t>"Heighlightdescription": "at ₹520.55/ltr",</t>
  </si>
  <si>
    <t>"ImageUrl": "img/pics/e0ca574036b252f125dc852f4106549c.png",</t>
  </si>
  <si>
    <t>"Price": "513.57",</t>
  </si>
  <si>
    <t>"Item": "Nand Gokul - Ghee, 1 L",</t>
  </si>
  <si>
    <t>"ImageUrl": "img/pics/8d65e841232f4a6c6eeea762c3d3030a.jpeg",</t>
  </si>
  <si>
    <t>"Name": "₹511.61/ltr for 2 ltrs+",</t>
  </si>
  <si>
    <t>"Price": "511.61"</t>
  </si>
  <si>
    <t>"Name": "₹510.54/ltr for 5 ltrs+",</t>
  </si>
  <si>
    <t>"Price": "510.54"</t>
  </si>
  <si>
    <t>"Item": "Sri Murugan - Cow Ghee, 1 L",</t>
  </si>
  <si>
    <t>"ImageUrl": "img/pics/6ebe63ff26da8c8b98c67489367c692c.png",</t>
  </si>
  <si>
    <t>"Price": "467.5",</t>
  </si>
  <si>
    <t>"Item": "Swastika - Cow Ghee, 1 L",</t>
  </si>
  <si>
    <t>"ImageUrl": "img/pics/bfb4d70ad0f4c8d65e882ce3d58e4ed2.png",</t>
  </si>
  <si>
    <t>"Name": "₹465/ltr for 6 ltrs+",</t>
  </si>
  <si>
    <t>"Name": "₹462.5/ltr for 12 ltrs+",</t>
  </si>
  <si>
    <t>"Price": "462.5"</t>
  </si>
  <si>
    <t>"Price": "8865",</t>
  </si>
  <si>
    <t>"Item": "Sri Murugan - Ghee, 15 Kg Tin (White Ghee)",</t>
  </si>
  <si>
    <t>"Heighlightdescription": "at ₹591/kg",</t>
  </si>
  <si>
    <t>"ImageUrl": "img/pics/c92edbbc0ac37d41423f01755ebfda31.png",</t>
  </si>
  <si>
    <t>"Name": "₹590/kg for 30 kgs+",</t>
  </si>
  <si>
    <t>"Price": "590"</t>
  </si>
  <si>
    <t>"Name": "₹589/kg for 60 kgs+",</t>
  </si>
  <si>
    <t>"Price": "589"</t>
  </si>
  <si>
    <t>"Price": "575.8",</t>
  </si>
  <si>
    <t>"Item": "Jharna - Ghee, 1 L",</t>
  </si>
  <si>
    <t>"ImageUrl": "img/pics/b8a4eb588bd6ab89da87653e43d398f4.png",</t>
  </si>
  <si>
    <t>"Name": "₹574.82/ltr for 5 ltrs+",</t>
  </si>
  <si>
    <t>"Price": "574.82"</t>
  </si>
  <si>
    <t>"Name": "₹572.86/ltr for 10 ltrs+",</t>
  </si>
  <si>
    <t>"Price": "572.86"</t>
  </si>
  <si>
    <t>"Item": "Aahhaa - Pure Ghee, 1 L",</t>
  </si>
  <si>
    <t>"ImageUrl": "img/pics/1eac9b4c2a55dbdcfb8ee74d14a0b956.png",</t>
  </si>
  <si>
    <t>"Name": "₹459.02/ltr for 5 ltrs+",</t>
  </si>
  <si>
    <t>"Price": "459.02"</t>
  </si>
  <si>
    <t>"Name": "₹458.04/ltr for 10 ltrs+",</t>
  </si>
  <si>
    <t>"Price": "8240",</t>
  </si>
  <si>
    <t>"Item": "Dilicia - Ghee, 15 Kg Tin",</t>
  </si>
  <si>
    <t>"ImageUrl": "img/pics/4325044b7baa7abd65e073288b86c15a.png",</t>
  </si>
  <si>
    <t>"Price": "9347.14",</t>
  </si>
  <si>
    <t>"Item": "Sri Murugan - Ghee, 15 Kg Tin",</t>
  </si>
  <si>
    <t>"Heighlightdescription": "at ₹623.14/kg",</t>
  </si>
  <si>
    <t>"ImageUrl": "img/pics/045c0714f0b35ea66787e8493da573ae.png",</t>
  </si>
  <si>
    <t>"Price": "575.18",</t>
  </si>
  <si>
    <t>"Item": "Vijaya - Ghee, 1 L",</t>
  </si>
  <si>
    <t>"ImageUrl": "img/pics/7c28476f316bb8decce7e13a7a6f08c1.jpg",</t>
  </si>
  <si>
    <t>"Price": "7324.64",</t>
  </si>
  <si>
    <t>"Item": "Nova - Shudh Ghee, 15 Kg Tin",</t>
  </si>
  <si>
    <t>"Heighlightdescription": "at ₹488.31/kg",</t>
  </si>
  <si>
    <t>"ImageUrl": "img/pics/abd9209148512739c052ba77ffb9cdc0.png",</t>
  </si>
  <si>
    <t>"Price": "8664.29",</t>
  </si>
  <si>
    <t>"Item": "RKG - Ghee, 15 L Tin",</t>
  </si>
  <si>
    <t>"ImageUrl": "img/pics/0c3ded5d964b602599a79131d54f0a61.png",</t>
  </si>
  <si>
    <t>"Price": "616.34",</t>
  </si>
  <si>
    <t>"Item": "RKG - Ghee, 1 L",</t>
  </si>
  <si>
    <t>"ImageUrl": "img/pics/e5c0b12958bb297a564206d9ef00ed1c.png",</t>
  </si>
  <si>
    <t>"Item": "Vallhabha - Cow Ghee, 1 L",</t>
  </si>
  <si>
    <t>"ImageUrl": "img/pics/e4b4a4ab9b897d402b7f1da61204f118.jpg",</t>
  </si>
  <si>
    <t>"Name": "₹442.05/ltr for 6 ltrs+",</t>
  </si>
  <si>
    <t>"Price": "442.05"</t>
  </si>
  <si>
    <t>"Name": "₹440/ltr for 10 ltrs+",</t>
  </si>
  <si>
    <t>"Price": "440"</t>
  </si>
  <si>
    <t>"Price": "510.71",</t>
  </si>
  <si>
    <t>"Item": "Heritage - Buffalo Ghee, 1 L",</t>
  </si>
  <si>
    <t>"ImageUrl": "img/pics/b2025b7b0c434a077053f091dd341ac6.jpg",</t>
  </si>
  <si>
    <t>"Name": "₹509.73/pc for 5 pcs+",</t>
  </si>
  <si>
    <t>"Price": "509.73"</t>
  </si>
  <si>
    <t>"Name": "₹508.75/pc for 12 pcs+",</t>
  </si>
  <si>
    <t>"Price": "508.75"</t>
  </si>
  <si>
    <t>"Price": "503.21",</t>
  </si>
  <si>
    <t>"Item": "Gokul - Ghee, 1 L",</t>
  </si>
  <si>
    <t>"ImageUrl": "img/pics/3b506f3cb27b85dd58e2190d4f824117.jpg",</t>
  </si>
  <si>
    <t>"Name": "₹502.23/ltr for 3 ltrs+",</t>
  </si>
  <si>
    <t>"Price": "502.23"</t>
  </si>
  <si>
    <t>"Name": "₹500.27/ltr for 5 ltrs+",</t>
  </si>
  <si>
    <t>"Price": "500.27"</t>
  </si>
  <si>
    <t>"Price": "555.71",</t>
  </si>
  <si>
    <t>"Item": "Red Cow - Ghee, 1 L",</t>
  </si>
  <si>
    <t>"ImageUrl": "img/pics/496e4c43d89cf082093e56a56fec138a.jpg",</t>
  </si>
  <si>
    <t>"Name": "₹553.75/ltr for 3 ltrs+",</t>
  </si>
  <si>
    <t>"Price": "553.75"</t>
  </si>
  <si>
    <t>"Name": "₹552.77/ltr for 5 ltrs+",</t>
  </si>
  <si>
    <t>"Price": "552.77"</t>
  </si>
  <si>
    <t>"Price": "621.87",</t>
  </si>
  <si>
    <t>"Item": "Sri Murugan - Ghee,  1 L",</t>
  </si>
  <si>
    <t>"ImageUrl": "img/pics/b5e2afd596075ff450360c5a650f961a.jpg",</t>
  </si>
  <si>
    <t>"Name": "₹620.36/ltr for 3 ltrs+",</t>
  </si>
  <si>
    <t>"Price": "620.36"</t>
  </si>
  <si>
    <t>"Name": "₹618.93/ltr for 5 ltrs+",</t>
  </si>
  <si>
    <t>"Price": "618.93"</t>
  </si>
  <si>
    <t>"Price": "483.04",</t>
  </si>
  <si>
    <t>"Item": "Milky Mist - Cow Ghee, 1 L (Pouch)",</t>
  </si>
  <si>
    <t>"ImageUrl": "img/pics/1c97986c352d8ea1a078197a0e861d13.jpeg",</t>
  </si>
  <si>
    <t>"Name": "₹481.07/ltr for 3 ltrs+",</t>
  </si>
  <si>
    <t>"Price": "481.07"</t>
  </si>
  <si>
    <t>"Name": "₹479.02/ltr for 5 ltrs+",</t>
  </si>
  <si>
    <t>"Price": "479.02"</t>
  </si>
  <si>
    <t>"Price": "8122.32",</t>
  </si>
  <si>
    <t>"Item": "Vangal - Ghee, 15 Kg Tin",</t>
  </si>
  <si>
    <t>"ImageUrl": "img/pics/61591e6197aeee2443a872fcb7b21d0e.png",</t>
  </si>
  <si>
    <t>"Name": "₹8,107.32/pc for 2 pcs+",</t>
  </si>
  <si>
    <t>"Price": "8107.32"</t>
  </si>
  <si>
    <t>"Name": "₹8,077.32/pc for 5 pcs+",</t>
  </si>
  <si>
    <t>"Price": "8077.32"</t>
  </si>
  <si>
    <t>"Price": "7367.05",</t>
  </si>
  <si>
    <t>"Item": "Krishna - Ghee, 15 Kg Tin",</t>
  </si>
  <si>
    <t>"ImageUrl": "img/pics/48e1f6af0958505ef0b1fcc359457f26.png",</t>
  </si>
  <si>
    <t>"Price": "504.73",</t>
  </si>
  <si>
    <t>"Item": "Heritage - Ghee, 1 L",</t>
  </si>
  <si>
    <t>"ImageUrl": "img/pics/7651dccd1abbaf813a19abb310375e8a.png",</t>
  </si>
  <si>
    <t>"Price": "501.7",</t>
  </si>
  <si>
    <t>"Item": "Heritage - Cow Ghee, 1 L",</t>
  </si>
  <si>
    <t>"ImageUrl": "img/pics/6c30b87b0509e6bd38e9cabac9d91b14.png",</t>
  </si>
  <si>
    <t>"Price": "544.2",</t>
  </si>
  <si>
    <t>"Item": "Amul - Ghee, 1 L Tin",</t>
  </si>
  <si>
    <t>"ImageUrl": "img/pics/ba2601795f2ea64682f111757b15837c.jpeg",</t>
  </si>
  <si>
    <t>"Price": "463.57",</t>
  </si>
  <si>
    <t>"Item": "Adya - Pure Cow Ghee, 1 L",</t>
  </si>
  <si>
    <t>"ImageUrl": "img/pics/b29690b781a88a8d04a64303f107bfb6.jpg",</t>
  </si>
  <si>
    <t>"Name": "₹461.52/ltr for 5 ltrs+",</t>
  </si>
  <si>
    <t>"Price": "461.52"</t>
  </si>
  <si>
    <t>"Name": "₹460.54/ltr for 9 ltrs+",</t>
  </si>
  <si>
    <t>"Price": "460.54"</t>
  </si>
  <si>
    <t>"Price": "526.79",</t>
  </si>
  <si>
    <t>"Item": "Amul - Ghee, 1 L Pouch",</t>
  </si>
  <si>
    <t>"ImageUrl": "img/pics/809e7fd4b300a273926f922dd8cbc2b0.png",</t>
  </si>
  <si>
    <t>"Name": "₹522.86/ltr for 6 ltrs+",</t>
  </si>
  <si>
    <t>"Price": "522.86"</t>
  </si>
  <si>
    <t>"Price": "472.32",</t>
  </si>
  <si>
    <t>"Item": "Nova - Shudh Ghee, 1 L Pack",</t>
  </si>
  <si>
    <t>"ImageUrl": "img/pics/7472beaa2c1965e9e12c0bfe2e2ca181.png",</t>
  </si>
  <si>
    <t>"Name": "₹470.36/ltr for 3 ltrs+",</t>
  </si>
  <si>
    <t>"Price": "470.36"</t>
  </si>
  <si>
    <t>"Name": "₹468.39/ltr for 9 ltrs+",</t>
  </si>
  <si>
    <t>"Price": "468.39"</t>
  </si>
  <si>
    <t>"Price": "499.02",</t>
  </si>
  <si>
    <t>"Item": "Jain Dairy - Desi Ghee, 1 L",</t>
  </si>
  <si>
    <t>"ImageUrl": "img/pics/afa058587d394e6ed67112bb4964ef96.jpg",</t>
  </si>
  <si>
    <t>"Price": "451.61",</t>
  </si>
  <si>
    <t>"Item": "Dodla - Pure Cow Ghee Poly, 1 L",</t>
  </si>
  <si>
    <t>"ImageUrl": "img/pics/ee8615b759e0d7e990c076afdd3a2ce9.jpg",</t>
  </si>
  <si>
    <t>"Price": "27.81",</t>
  </si>
  <si>
    <t>"Item": "Dodla - Toned Milk (UHT) Fino Pack, 500 ml",</t>
  </si>
  <si>
    <t>"ImageUrl": "img/pics/37ad40128931badbf3e55c62e2aa2f10.png",</t>
  </si>
  <si>
    <t>"Price": "258.3",</t>
  </si>
  <si>
    <t>"Item": "Nandini - Ghee, 500 ml",</t>
  </si>
  <si>
    <t>"ImageUrl": "img/pics/c5faa3dbf1d525089a9414fd13beca77.jpg",</t>
  </si>
  <si>
    <t>"Item": "GRB - Ghee, 1 L",</t>
  </si>
  <si>
    <t>"ImageUrl": "img/pics/20616e6e8f38eb3875ed8c038eb134cb.jpg",</t>
  </si>
  <si>
    <t>"Price": "515.71",</t>
  </si>
  <si>
    <t>"Item": "Govind - Ghee, 1 L (Pouch)",</t>
  </si>
  <si>
    <t>"ImageUrl": "img/pics/3567d8cf992c6c0bf31dc38d74133b77.png",</t>
  </si>
  <si>
    <t>"Name": "₹513.66/ltr for 4 ltrs+",</t>
  </si>
  <si>
    <t>"Price": "513.66"</t>
  </si>
  <si>
    <t>"Name": "₹511.61/ltr for 7 ltrs+",</t>
  </si>
  <si>
    <t>"Item": "Thirumala - Cow Ghee, 1 L",</t>
  </si>
  <si>
    <t>"ImageUrl": "img/pics/6a2ea18f42be150522eed538d4f7838a.jpg",</t>
  </si>
  <si>
    <t>"Name": "₹486.52/ltr for 3 ltrs+",</t>
  </si>
  <si>
    <t>"Price": "486.52"</t>
  </si>
  <si>
    <t>"Name": "₹485/ltr for 8 ltrs+",</t>
  </si>
  <si>
    <t>"Price": "2698.75",</t>
  </si>
  <si>
    <t>"Item": "Amul - Ghee, 5 L",</t>
  </si>
  <si>
    <t>"Heighlightdescription": "at ₹539.75/ltr",</t>
  </si>
  <si>
    <t>"ImageUrl": "img/pics/55033bf8-18f6-499c-b216-b73999d24654_AmulGhee5L.jpg",</t>
  </si>
  <si>
    <t>"Name": "₹536.75/ltr for 10 ltrs+",</t>
  </si>
  <si>
    <t>"Price": "536.75"</t>
  </si>
  <si>
    <t>"Name": "₹533.75/ltr for 20 ltrs+",</t>
  </si>
  <si>
    <t>"Price": "533.75"</t>
  </si>
  <si>
    <t>"SectionName": "Ice Cream ",</t>
  </si>
  <si>
    <t>"SectionOrder": "12",</t>
  </si>
  <si>
    <t>"Price": "317.2",</t>
  </si>
  <si>
    <t>"Item": "Delicious Desserts - Vanilla Ice Cream, 4 L",</t>
  </si>
  <si>
    <t>"Heighlightdescription": "at ₹79.3/ltr",</t>
  </si>
  <si>
    <t>"ImageUrl": "img/pics/568d5bc785913cc4ace787eefa345cc9.jpg",</t>
  </si>
  <si>
    <t>"Name": "₹78.22/ltr for 12 ltrs+",</t>
  </si>
  <si>
    <t>"Price": "78.22"</t>
  </si>
  <si>
    <t>"Name": "₹76.06/ltr for 20 ltrs+",</t>
  </si>
  <si>
    <t>"Price": "76.06"</t>
  </si>
  <si>
    <t>"Price": "343.14",</t>
  </si>
  <si>
    <t>"Item": "Cream Pot - Vanilla Ice Cream, 4 L",</t>
  </si>
  <si>
    <t>"Heighlightdescription": "at ₹85.78/ltr",</t>
  </si>
  <si>
    <t>"ImageUrl": "img/pics/a2029601ab6bc24e7d3b4bc959d2477c.png",</t>
  </si>
  <si>
    <t>"Name": "₹84.68/ltr for 12 ltrs+",</t>
  </si>
  <si>
    <t>"Price": "84.68"</t>
  </si>
  <si>
    <t>"Name": "₹82.5/ltr for 20 ltrs+",</t>
  </si>
  <si>
    <t>"Price": "82.5"</t>
  </si>
  <si>
    <t>"Price": "385.17",</t>
  </si>
  <si>
    <t>"Item": "Delicious Desserts - Chocolate Ice Cream, 4 L",</t>
  </si>
  <si>
    <t>"Heighlightdescription": "at ₹96.29/ltr",</t>
  </si>
  <si>
    <t>"ImageUrl": "img/pics/398288d526a0158d3f4fb27788d99f85.jpg",</t>
  </si>
  <si>
    <t>"Name": "₹95.76/ltr for 8 ltrs+",</t>
  </si>
  <si>
    <t>"Price": "95.76"</t>
  </si>
  <si>
    <t>"Name": "₹95.21/ltr for 16 ltrs+",</t>
  </si>
  <si>
    <t>"Price": "95.21"</t>
  </si>
  <si>
    <t>"Price": "412.37",</t>
  </si>
  <si>
    <t>"Item": "Cream Pot - Chocolate Ice Cream, 4 L",</t>
  </si>
  <si>
    <t>"Heighlightdescription": "at ₹103.09/ltr",</t>
  </si>
  <si>
    <t>"ImageUrl": "img/pics/815287ca49091259c6f3e942d98a0afa.png",</t>
  </si>
  <si>
    <t>"Name": "₹102.01/ltr for 8 ltrs+",</t>
  </si>
  <si>
    <t>"Price": "102.01"</t>
  </si>
  <si>
    <t>"Name": "₹99.85/ltr for 16 ltrs+",</t>
  </si>
  <si>
    <t>"Price": "99.85"</t>
  </si>
  <si>
    <t>"Price": "341.61",</t>
  </si>
  <si>
    <t>"Item": "Delicious Desserts - Butterscotch Ice Cream, 4 L",</t>
  </si>
  <si>
    <t>"Heighlightdescription": "at ₹85.4/ltr",</t>
  </si>
  <si>
    <t>"ImageUrl": "img/pics/b23f46ded39995ddccd552b7280a845e.jpg",</t>
  </si>
  <si>
    <t>"Name": "₹84.32/ltr for 8 ltrs+",</t>
  </si>
  <si>
    <t>"Price": "84.32"</t>
  </si>
  <si>
    <t>"Name": "₹82.16/ltr for 16 ltrs+",</t>
  </si>
  <si>
    <t>"Price": "82.16"</t>
  </si>
  <si>
    <t>"Price": "321.19",</t>
  </si>
  <si>
    <t>"Item": "Delicious Desserts - Strawberry Ice Cream, 4 L",</t>
  </si>
  <si>
    <t>"Heighlightdescription": "at ₹80.3/ltr",</t>
  </si>
  <si>
    <t>"ImageUrl": "img/pics/d5164dd6354922fb6dccdc481003094c.jpg",</t>
  </si>
  <si>
    <t>"Name": "₹79.77/ltr for 8 ltrs+",</t>
  </si>
  <si>
    <t>"Price": "79.77"</t>
  </si>
  <si>
    <t>"Name": "₹79.22/ltr for 16 ltrs+",</t>
  </si>
  <si>
    <t>"Price": "79.22"</t>
  </si>
  <si>
    <t>"Price": "342.46",</t>
  </si>
  <si>
    <t>"Item": "Cream Pot - Strawberry Ice Cream, 4 L",</t>
  </si>
  <si>
    <t>"Heighlightdescription": "at ₹85.61/ltr",</t>
  </si>
  <si>
    <t>"ImageUrl": "img/pics/a2a2317ecd12cda920d92dcfc6f5cc73.png",</t>
  </si>
  <si>
    <t>"Name": "₹84.56/ltr for 8 ltrs+",</t>
  </si>
  <si>
    <t>"Price": "84.56"</t>
  </si>
  <si>
    <t>"Name": "₹82.37/ltr for 16 ltrs+",</t>
  </si>
  <si>
    <t>"Price": "82.37"</t>
  </si>
  <si>
    <t>"Price": "466.19",</t>
  </si>
  <si>
    <t>"Item": "Delicious Desserts - Mango Ice Cream, 4 L",</t>
  </si>
  <si>
    <t>"Heighlightdescription": "at ₹116.55/ltr",</t>
  </si>
  <si>
    <t>"ImageUrl": "img/pics/af730d167d7f4bab1345e022193682b4.jpg",</t>
  </si>
  <si>
    <t>"Name": "₹115.47/ltr for 8 ltrs+",</t>
  </si>
  <si>
    <t>"Price": "115.47"</t>
  </si>
  <si>
    <t>"Name": "₹114.39/ltr for 16 ltrs+",</t>
  </si>
  <si>
    <t>"Price": "114.39"</t>
  </si>
  <si>
    <t>"SectionName": "Khoya ",</t>
  </si>
  <si>
    <t>"SectionOrder": "13",</t>
  </si>
  <si>
    <t>"Price": "360",</t>
  </si>
  <si>
    <t>"Item": "Shudh Garhwal - Khoya Pindi, 1 Kg",</t>
  </si>
  <si>
    <t>"ImageUrl": "img/pics/a1fe8be0b1bf41d055967253bc72c1a7.png",</t>
  </si>
  <si>
    <t>"Name": "₹355.05/kg for 3 kgs+",</t>
  </si>
  <si>
    <t>"Price": "355.05"</t>
  </si>
  <si>
    <t>"Name": "₹352/kg for 5 kgs+",</t>
  </si>
  <si>
    <t>"Price": "352"</t>
  </si>
  <si>
    <t>"Price": "4000",</t>
  </si>
  <si>
    <t>"Item": "Amul - Khoa Bucket (Frozen), 12 Kg",</t>
  </si>
  <si>
    <t>"Heighlightdescription": "at ₹333.33/kg",</t>
  </si>
  <si>
    <t>"ImageUrl": "img/pics/cdb5ecbfa6bd5369d9a25ee9d66044a8.png",</t>
  </si>
  <si>
    <t>"Price": "1390.48",</t>
  </si>
  <si>
    <t>"Item": "Gyan - Khoya Plain, 5 Kg",</t>
  </si>
  <si>
    <t>"Heighlightdescription": "at ₹278.1/kg",</t>
  </si>
  <si>
    <t>"ImageUrl": "img/pics/9bfb40bc959ad494676d0772f2ec9a49.png",</t>
  </si>
  <si>
    <t>"Price": "282",</t>
  </si>
  <si>
    <t>"Item": "Hariyali Mawa, 1 Kg",</t>
  </si>
  <si>
    <t>"ImageUrl": "img/pics/5f71ba007374dbaa0460f266ac202934.png",</t>
  </si>
  <si>
    <t>"Price": "292",</t>
  </si>
  <si>
    <t>"Item": "Sada Mawa, 1 Kg",</t>
  </si>
  <si>
    <t>"ImageUrl": "img/pics/f0fb4358bd061730a2564dd5994f2b3b.png",</t>
  </si>
  <si>
    <t>"Price": "255.05",</t>
  </si>
  <si>
    <t>"Item": "Aahhaa - Khova, 1 Kg",</t>
  </si>
  <si>
    <t>"ImageUrl": "img/pics/89166e585e12a92ca5a9d9c1310ba9e4.jpg",</t>
  </si>
  <si>
    <t>"Name": "₹253.05/kg for 5 kgs+",</t>
  </si>
  <si>
    <t>"Price": "253.05"</t>
  </si>
  <si>
    <t>"Name": "₹251.05/kg for 8 kgs+",</t>
  </si>
  <si>
    <t>"Price": "251.05"</t>
  </si>
  <si>
    <t>"Price": "317.05",</t>
  </si>
  <si>
    <t>"Item": "Modern Dairy - Fresh Mawa, 1 Kg",</t>
  </si>
  <si>
    <t>"ImageUrl": "img/pics/1baa8a21838c063dca398bd9a7f9fac4.png",</t>
  </si>
  <si>
    <t>"Name": "₹315.05/kg for 3 kgs+",</t>
  </si>
  <si>
    <t>"Price": "315.05"</t>
  </si>
  <si>
    <t>"Name": "₹313.43/kg for 7 kgs+",</t>
  </si>
  <si>
    <t>"Price": "313.43"</t>
  </si>
  <si>
    <t>"Price": "226.57",</t>
  </si>
  <si>
    <t>"Item": "Khoya, 1 Kg",</t>
  </si>
  <si>
    <t>"ImageUrl": "img/pics/7171376f7439e612f964f0ab5f9a74fd.png",</t>
  </si>
  <si>
    <t>"Price": "244.29",</t>
  </si>
  <si>
    <t>"Item": "Kaizen - Dhaap Khoya, 1 Kg",</t>
  </si>
  <si>
    <t>"ImageUrl": "img/pics/fccc8a4fd04dde6e774bf9cd86e85bab.jpg",</t>
  </si>
  <si>
    <t>"Price": "254",</t>
  </si>
  <si>
    <t>"Item": "Vintage - Khova, 1 Kg",</t>
  </si>
  <si>
    <t>"ImageUrl": "img/pics/25973867a77445bf86aa2ff5bc7d8805.png",</t>
  </si>
  <si>
    <t>"Price": "284",</t>
  </si>
  <si>
    <t>"Item": "Milky Mist - Khova, 1 Kg",</t>
  </si>
  <si>
    <t>"ImageUrl": "img/pics/33312ac233e7c7c379c7bac4e873821e.jpg",</t>
  </si>
  <si>
    <t>"SectionName": "Margarine ",</t>
  </si>
  <si>
    <t>"SectionOrder": "14",</t>
  </si>
  <si>
    <t>"Price": "70.76",</t>
  </si>
  <si>
    <t>"Item": "Nutralite - Professional Fat Spread, 500 gm",</t>
  </si>
  <si>
    <t>"ImageUrl": "img/pics/dd8ecb7fe88650eead72003f36f07a66.png",</t>
  </si>
  <si>
    <t>"Name": "₹69.71/pc for 6 pcs+",</t>
  </si>
  <si>
    <t>"Name": "₹69.24/pc for 14 pcs+",</t>
  </si>
  <si>
    <t>"Price": "69.24"</t>
  </si>
  <si>
    <t>"Item": "Amul - Delicious Margarine, 500 gm",</t>
  </si>
  <si>
    <t>"ImageUrl": "img/pics/ad8a8552370fd45f02421a1790a7e479.png",</t>
  </si>
  <si>
    <t>"Name": "₹68/pc for 11 pcs+",</t>
  </si>
  <si>
    <t>"Name": "₹65.81/pc for 30 pcs+",</t>
  </si>
  <si>
    <t>"Price": "65.81"</t>
  </si>
  <si>
    <t>"Item": "Nutdelight - Fat Spread, 500 gm",</t>
  </si>
  <si>
    <t>"ImageUrl": "img/pics/30f2b4f0091cdeba962942e09eecc34d.png",</t>
  </si>
  <si>
    <t>"Name": "₹65.05/pc for 7 pcs+",</t>
  </si>
  <si>
    <t>"Price": "65.05"</t>
  </si>
  <si>
    <t>"Name": "₹64/pc for 21 pcs+",</t>
  </si>
  <si>
    <t>"Price": "64"</t>
  </si>
  <si>
    <t>"Price": "69.05",</t>
  </si>
  <si>
    <t>"Item": "Nutdelight - Margarine (IP), 500 gm",</t>
  </si>
  <si>
    <t>"ImageUrl": "img/pics/73ec48e84ee0df8664ddd8f75af12108.jpg",</t>
  </si>
  <si>
    <t>"Name": "₹68/pc for 6 pcs+",</t>
  </si>
  <si>
    <t>"Name": "₹67.05/pc for 18 pcs+",</t>
  </si>
  <si>
    <t>"Price": "67.05"</t>
  </si>
  <si>
    <t>"SectionName": "Milk &amp; Milk Powder ",</t>
  </si>
  <si>
    <t>"SectionOrder": "15",</t>
  </si>
  <si>
    <t>"Price": "68.19",</t>
  </si>
  <si>
    <t>"Item": "Amul - Taaza Milk, 1 L",</t>
  </si>
  <si>
    <t>"ImageUrl": "img/pics/da142dbf95aa95e7dc71c66fa23d8efb.png",</t>
  </si>
  <si>
    <t>"Name": "₹67.52/ltr for 12 ltrs+",</t>
  </si>
  <si>
    <t>"Price": "67.52"</t>
  </si>
  <si>
    <t>"Name": "₹67.05/ltr for 18 ltrs+",</t>
  </si>
  <si>
    <t>"Price": "73.81",</t>
  </si>
  <si>
    <t>"Item": "Amul - Gold Milk, 1 L",</t>
  </si>
  <si>
    <t>"ImageUrl": "img/pics/849c6ae947ab11ae9402a06ce6d691b0.png",</t>
  </si>
  <si>
    <t>"Name": "₹73.24/ltr for 21 ltrs+",</t>
  </si>
  <si>
    <t>"Price": "73.24"</t>
  </si>
  <si>
    <t>"Name": "₹71.43/ltr for 46 ltrs+",</t>
  </si>
  <si>
    <t>"Price": "71.43"</t>
  </si>
  <si>
    <t>"Price": "61.71",</t>
  </si>
  <si>
    <t>"Item": "Nandini - Good Life Milk, 1 L",</t>
  </si>
  <si>
    <t>"ImageUrl": "img/pics/dfa409f2424d66cb1f23efcc8de97bc0.png",</t>
  </si>
  <si>
    <t>"Name": "₹61.24/pc for 13 pcs+",</t>
  </si>
  <si>
    <t>"Price": "61.24"</t>
  </si>
  <si>
    <t>"Name": "₹60.76/pc for 38 pcs+",</t>
  </si>
  <si>
    <t>"Price": "60.76"</t>
  </si>
  <si>
    <t>"Price": "103.57",</t>
  </si>
  <si>
    <t>"Item": "Amul - Mithai Mate EOE, 400 gm",</t>
  </si>
  <si>
    <t>"ImageUrl": "img/pics/2a77aed9117101c9bc28664bdcc19778.png",</t>
  </si>
  <si>
    <t>"Name": "₹102.5/pc for 5 pcs+",</t>
  </si>
  <si>
    <t>"Name": "₹102.05/pc for 11 pcs+",</t>
  </si>
  <si>
    <t>"Price": "102.05"</t>
  </si>
  <si>
    <t>"Price": "58",</t>
  </si>
  <si>
    <t>"Item": "Sonai - UHT Toned Milk, 1 L",</t>
  </si>
  <si>
    <t>"ImageUrl": "img/pics/8258d4990c5a13a28ac29ca8c53da60a.png",</t>
  </si>
  <si>
    <t>"Item": "Ananda - Cow Milk UHT, 1 L",</t>
  </si>
  <si>
    <t>"ImageUrl": "img/pics/b052175b6869e3c67021605df9a7896a.jpeg",</t>
  </si>
  <si>
    <t>"Name": "₹64.1/pc for 6 pcs+",</t>
  </si>
  <si>
    <t>"Price": "64.1"</t>
  </si>
  <si>
    <t>"Name": "₹63.05/pc for 12 pcs+",</t>
  </si>
  <si>
    <t>"Price": "63.05"</t>
  </si>
  <si>
    <t>"Price": "1640",</t>
  </si>
  <si>
    <t>"Item": "Amul - Mithai Mate EOE, 7.5 Kg",</t>
  </si>
  <si>
    <t>"ImageUrl": "img/pics/4021eb96f29efa5777e67cccc6855e1d.jpeg",</t>
  </si>
  <si>
    <t>"Price": "69.81",</t>
  </si>
  <si>
    <t>"Item": "Ananda - Gold T20 Milk, 1 L",</t>
  </si>
  <si>
    <t>"ImageUrl": "img/pics/63255a9778e7e612a4b2e5598eae46bb.jpg",</t>
  </si>
  <si>
    <t>"Name": "₹67.81/ltr for 12 ltrs+",</t>
  </si>
  <si>
    <t>"Price": "67.81"</t>
  </si>
  <si>
    <t>"Price": "3675",</t>
  </si>
  <si>
    <t>"Item": "GoodNutra - Sweetened Condensed Milk, 21 Kg",</t>
  </si>
  <si>
    <t>"ImageUrl": "img/pics/0fd3f864c81a4f4c1df5b7db564c8e0f.png",</t>
  </si>
  <si>
    <t>"Item": "Nandini - Good Life Gold, 1 L",</t>
  </si>
  <si>
    <t>"ImageUrl": "img/pics/eb31588a10590035ba5d01e170cdc0e3.jpeg",</t>
  </si>
  <si>
    <t>"Price": "98.48",</t>
  </si>
  <si>
    <t>"Item": "Milky Mist - Sweetened Condensed Milk, 400 gm",</t>
  </si>
  <si>
    <t>"ImageUrl": "img/pics/0b9806381f146f0b5e9024625d015452.png",</t>
  </si>
  <si>
    <t>"Name": "₹97.68/pc for 24 pcs+",</t>
  </si>
  <si>
    <t>"Price": "97.68"</t>
  </si>
  <si>
    <t>"Price": "7297.62",</t>
  </si>
  <si>
    <t>"Item": "Krishna - Premium Skimmed Milk Powder, 25 Kg",</t>
  </si>
  <si>
    <t>"ImageUrl": "img/pics/64feb7ce047374a273f05d14d61e8e1c.png",</t>
  </si>
  <si>
    <t>"Price": "67.52",</t>
  </si>
  <si>
    <t>"Item": "Milky Mist - UHT Toned Milk, 1 L",</t>
  </si>
  <si>
    <t>"ImageUrl": "img/pics/45fabfddacf92dd33821e25b7f6e1be2.png",</t>
  </si>
  <si>
    <t>"Price": "554.64",</t>
  </si>
  <si>
    <t>"Item": "Amul - Mithai Mate EOE, 2.5 Kg",</t>
  </si>
  <si>
    <t>"ImageUrl": "img/pics/544d9614b9785233d7a413ed1766ed65.jpg",</t>
  </si>
  <si>
    <t>"Price": "418.48",</t>
  </si>
  <si>
    <t>"Item": "Amulspray - Infant Milk Food, 1 Kg",</t>
  </si>
  <si>
    <t>"ImageUrl": "img/pics/df1f80a57ceef82c0cf4065f290645fe.jpg",</t>
  </si>
  <si>
    <t>"Name": "₹416.48/pc for 6 pcs+",</t>
  </si>
  <si>
    <t>"Price": "416.48"</t>
  </si>
  <si>
    <t>"Name": "₹415.43/pc for 10 pcs+",</t>
  </si>
  <si>
    <t>"Price": "415.43"</t>
  </si>
  <si>
    <t>"Item": "Amulya - Dairy Whitener, 25 Kg Bag",</t>
  </si>
  <si>
    <t>"Heighlightdescription": "at ₹280/kg",</t>
  </si>
  <si>
    <t>"ImageUrl": "img/pics/0cc353e63903c9a376fc29a40772bf18.png",</t>
  </si>
  <si>
    <t>"Price": "23.81",</t>
  </si>
  <si>
    <t>"Item": "Amul - Lactose Free Milk, 250 ml",</t>
  </si>
  <si>
    <t>"ImageUrl": "img/pics/39c664fee7ecc73fddaed102239ec648.webp",</t>
  </si>
  <si>
    <t>"Price": "31.52",</t>
  </si>
  <si>
    <t>"Item": "Nandini - Good Life Milk Brick Pack, 500 ml",</t>
  </si>
  <si>
    <t>"ImageUrl": "img/pics/ecd944928213da551ba7c621c0bf5e74.png",</t>
  </si>
  <si>
    <t>"Price": "28.57",</t>
  </si>
  <si>
    <t>"Item": "Nandini - Good Life Milk (Fine Pack), 500 ml",</t>
  </si>
  <si>
    <t>"ImageUrl": "img/pics/1471402f-caf7-40bc-991a-baed1970e578_Nandini%20Good%20Life%20Milk%20500m.jpg",</t>
  </si>
  <si>
    <t>"Price": "409.81",</t>
  </si>
  <si>
    <t>"Item": "Amulya - Dairy Whitener, 1 Kg",</t>
  </si>
  <si>
    <t>"ImageUrl": "img/pics/ccdfd30cdfeb3c4ed8068034afa1c14f.png",</t>
  </si>
  <si>
    <t>"SectionName": "Paneer ",</t>
  </si>
  <si>
    <t>"SectionOrder": "16",</t>
  </si>
  <si>
    <t>"Price": "295.05",</t>
  </si>
  <si>
    <t>"Item": "Shudh Garhwal - Fresh Paneer, 1 Kg",</t>
  </si>
  <si>
    <t>"ImageUrl": "img/pics/8fc60720d3f2790243eaceea4b246508.png",</t>
  </si>
  <si>
    <t>"Name": "₹292/kg for 5 kgs+",</t>
  </si>
  <si>
    <t>"Price": "292"</t>
  </si>
  <si>
    <t>"Name": "₹290/kg for 8 kgs+",</t>
  </si>
  <si>
    <t>"Item": "Soft &amp; Fresh Paneer (Analogue), 1 Kg",</t>
  </si>
  <si>
    <t>"ImageUrl": "img/pics/4bb7eba698cc6c08be35383db649613e.png",</t>
  </si>
  <si>
    <t>"Name": "₹207.05/kg for 3 kgs+",</t>
  </si>
  <si>
    <t>"Price": "207.05"</t>
  </si>
  <si>
    <t>"Name": "₹205.52/kg for 5 kgs+",</t>
  </si>
  <si>
    <t>"Price": "205.52"</t>
  </si>
  <si>
    <t>"Price": "252.38",</t>
  </si>
  <si>
    <t>"Item": "Active Paneer, 1 Kg",</t>
  </si>
  <si>
    <t>"ImageUrl": "img/pics/dd3659f1a1b17ccc8800d12f8f532c33.png",</t>
  </si>
  <si>
    <t>"Name": "₹250.38/kg for 3 kgs+",</t>
  </si>
  <si>
    <t>"Price": "250.38"</t>
  </si>
  <si>
    <t>"Name": "₹249.33/kg for 5 kgs+",</t>
  </si>
  <si>
    <t>"Price": "249.33"</t>
  </si>
  <si>
    <t>"Price": "293.33",</t>
  </si>
  <si>
    <t>"Item": "Fresh Paneer (Malai), 1 Kg",</t>
  </si>
  <si>
    <t>"ImageUrl": "img/pics/209fb50a406cd27de1ea9a32263436f9.png",</t>
  </si>
  <si>
    <t>"Name": "₹291.33/kg for 3 kgs+",</t>
  </si>
  <si>
    <t>"Price": "291.33"</t>
  </si>
  <si>
    <t>"Name": "₹290.38/kg for 5 kgs+",</t>
  </si>
  <si>
    <t>"Price": "290.38"</t>
  </si>
  <si>
    <t>"Item": "Tikka Paneer, 1 Kg",</t>
  </si>
  <si>
    <t>"ImageUrl": "img/pics/93cdec9f77e7af239c0f60d73fdeb39a.png",</t>
  </si>
  <si>
    <t>"Name": "₹213/pc for 3 pcs+",</t>
  </si>
  <si>
    <t>"Price": "213"</t>
  </si>
  <si>
    <t>"Name": "₹211/pc for 5 pcs+",</t>
  </si>
  <si>
    <t>"Price": "211"</t>
  </si>
  <si>
    <t>"Price": "574",</t>
  </si>
  <si>
    <t>"Item": "Fresh Malai Paneer (High Fat), 2 Kg",</t>
  </si>
  <si>
    <t>"Heighlightdescription": "at ₹287/kg",</t>
  </si>
  <si>
    <t>"ImageUrl": "img/pics/aed0dfc99a532245e8114598774a99ca.png",</t>
  </si>
  <si>
    <t>"Price": "325.05",</t>
  </si>
  <si>
    <t>"Item": "Shudh Garhwal - Fresh Malai Paneer (Vacuum Pack), 1 Kg",</t>
  </si>
  <si>
    <t>"ImageUrl": "img/pics/223694611b753a5937756e00c41c459f.png",</t>
  </si>
  <si>
    <t>"Name": "₹320/pc for 2 pcs+",</t>
  </si>
  <si>
    <t>"Price": "320"</t>
  </si>
  <si>
    <t>"Price": "318.57",</t>
  </si>
  <si>
    <t>"Item": "Ananda - Paneer Professional, 1 Kg",</t>
  </si>
  <si>
    <t>"ImageUrl": "img/pics/26467f54077234fefa60a15382640f23.png",</t>
  </si>
  <si>
    <t>"Name": "₹316.19/kg for 2 kgs+",</t>
  </si>
  <si>
    <t>"Price": "316.19"</t>
  </si>
  <si>
    <t>"Name": "₹310.57/kg for 4 kgs+",</t>
  </si>
  <si>
    <t>"Price": "310.57"</t>
  </si>
  <si>
    <t>"Price": "290",</t>
  </si>
  <si>
    <t>"Item": "KRJ - Fresh Paneer, 1 Kg",</t>
  </si>
  <si>
    <t>"ImageUrl": "img/pics/23fee931e6099ee95da552a00a18fb9e.webp",</t>
  </si>
  <si>
    <t>"Item": "Paneer Slices, 525 gm (Pack of 5)",</t>
  </si>
  <si>
    <t>"ImageUrl": "img/pics/8ab94d3862d881ba298c2fd3425b2c74.png",</t>
  </si>
  <si>
    <t>"Item": "KRJ - Paneer Slices, 1 Kg",</t>
  </si>
  <si>
    <t>"ImageUrl": "img/pics/db8ccd23a31afa5a4f152f71419acd5f.png",</t>
  </si>
  <si>
    <t>"Price": "272",</t>
  </si>
  <si>
    <t>"Item": "Geet Foods - Fresh Paneer, 1 Kg (Medium Fat)",</t>
  </si>
  <si>
    <t>"ImageUrl": "img/pics/56edf1b5a7baae094fa0ec386a59229a.png",</t>
  </si>
  <si>
    <t>"Name": "₹270/kg for 3 kgs+",</t>
  </si>
  <si>
    <t>"Name": "₹267/kg for 5 kgs+",</t>
  </si>
  <si>
    <t>"Price": "267"</t>
  </si>
  <si>
    <t>"Price": "234",</t>
  </si>
  <si>
    <t>"Item": "Atheya - Non Fat Paneer (0.5%), 1 Kg",</t>
  </si>
  <si>
    <t>"ImageUrl": "img/pics/8b68987e40ad4b58be55da1d62ddd1db.png",</t>
  </si>
  <si>
    <t>"Name": "₹232/kg for 4 kgs+",</t>
  </si>
  <si>
    <t>"Price": "232"</t>
  </si>
  <si>
    <t>"Name": "₹230/kg for 7 kgs+",</t>
  </si>
  <si>
    <t>"Price": "230"</t>
  </si>
  <si>
    <t>"Price": "695",</t>
  </si>
  <si>
    <t>"Item": "Fresh Paneer, (3.2 - 3.5 Kg/Block)",</t>
  </si>
  <si>
    <t>"Heighlightdescription": "at ₹210.61/kg",</t>
  </si>
  <si>
    <t>"ImageUrl": "img/pics/8eade4f38bd3a66260111948a9442a2e.png",</t>
  </si>
  <si>
    <t>"Name": "₹210/kg for 9.9 kgs+",</t>
  </si>
  <si>
    <t>"Price": "210"</t>
  </si>
  <si>
    <t>"Name": "₹209.39/kg for 16.5 kgs+",</t>
  </si>
  <si>
    <t>"Price": "209.39"</t>
  </si>
  <si>
    <t>"Price": "220",</t>
  </si>
  <si>
    <t>"Item": "Ruchi - Low Fat Paneer, 1 Kg",</t>
  </si>
  <si>
    <t>"ImageUrl": "img/pics/8b0b28591d7a8a7d5eb60517ca722103.png",</t>
  </si>
  <si>
    <t>"Name": "₹218/kg for 4 kgs+",</t>
  </si>
  <si>
    <t>"Price": "218"</t>
  </si>
  <si>
    <t>"Name": "₹216/kg for 8 kgs+",</t>
  </si>
  <si>
    <t>"Price": "216"</t>
  </si>
  <si>
    <t>"Price": "278",</t>
  </si>
  <si>
    <t>"Item": "Tabela Paneer, 1 Kg",</t>
  </si>
  <si>
    <t>"ImageUrl": "img/pics/fcf9e854c92fcb59caeaddcee5f66e87.png",</t>
  </si>
  <si>
    <t>"Price": "249.05",</t>
  </si>
  <si>
    <t>"Item": "Nattu's - Fresh Paneer, 1 Kg",</t>
  </si>
  <si>
    <t>"ImageUrl": "img/pics/ea4e3b04b3c11e5f39010d3325bd0152.jpeg",</t>
  </si>
  <si>
    <t>"Price": "322",</t>
  </si>
  <si>
    <t>"Item": "Vallhabha - Paneer, 1 Kg",</t>
  </si>
  <si>
    <t>"ImageUrl": "img/pics/ef6f0cb18b333778cf9d6c80e61f7281.jpg",</t>
  </si>
  <si>
    <t>"Name": "₹320.57/kg for 6 kgs+",</t>
  </si>
  <si>
    <t>"Price": "320.57"</t>
  </si>
  <si>
    <t>"Name": "₹319.05/kg for 13 kgs+",</t>
  </si>
  <si>
    <t>"Price": "319.05"</t>
  </si>
  <si>
    <t>"Price": "233.05",</t>
  </si>
  <si>
    <t>"Item": "Tikka Fresh, 1 Kg",</t>
  </si>
  <si>
    <t>"ImageUrl": "img/pics/740ba7ef25ce3c1e55adfd12c684e4d7.png",</t>
  </si>
  <si>
    <t>"Name": "₹230/kg for 3 kgs+",</t>
  </si>
  <si>
    <t>"Price": "258",</t>
  </si>
  <si>
    <t>"Item": "Aahhaa - Paneer, 1 Kg (Non-Fat)",</t>
  </si>
  <si>
    <t>"ImageUrl": "img/pics/13eaeb75974f0647c3488c35cc447066.png",</t>
  </si>
  <si>
    <t>"Name": "₹256/kg for 3 kgs+",</t>
  </si>
  <si>
    <t>"Price": "256"</t>
  </si>
  <si>
    <t>"Name": "₹254/kg for 6 kgs+",</t>
  </si>
  <si>
    <t>"Price": "254"</t>
  </si>
  <si>
    <t>"Price": "314",</t>
  </si>
  <si>
    <t>"Item": "Malai Paneer,1 Kg",</t>
  </si>
  <si>
    <t>"ImageUrl": "img/pics/6ce5097731578ecafa905c6d4246c504.jpg",</t>
  </si>
  <si>
    <t>"Name": "₹312/kg for 4 kgs+",</t>
  </si>
  <si>
    <t>"Price": "312"</t>
  </si>
  <si>
    <t>"Name": "₹310/kg for 7 kgs+",</t>
  </si>
  <si>
    <t>"Price": "310"</t>
  </si>
  <si>
    <t>"Price": "305",</t>
  </si>
  <si>
    <t>"Item": "Fresh  Paneer, 1 Kg",</t>
  </si>
  <si>
    <t>"ImageUrl": "img/pics/af237aa7cafb23b602b695e883c877f6.png",</t>
  </si>
  <si>
    <t>"Name": "₹303/kg for 5 kgs+",</t>
  </si>
  <si>
    <t>"Price": "303"</t>
  </si>
  <si>
    <t>"Name": "₹301/kg for 13 kgs+",</t>
  </si>
  <si>
    <t>"Price": "301"</t>
  </si>
  <si>
    <t>"Price": "343",</t>
  </si>
  <si>
    <t>"Item": "Vangal - Paneer  (Malai), 1 Kg",</t>
  </si>
  <si>
    <t>"ImageUrl": "img/pics/e840bdd6a0030d231b5e1d89bfa2068b.png",</t>
  </si>
  <si>
    <t>"Name": "₹341/kg for 5 kgs+",</t>
  </si>
  <si>
    <t>"Price": "341"</t>
  </si>
  <si>
    <t>"Name": "₹339/kg for 10 kgs+",</t>
  </si>
  <si>
    <t>"Price": "339"</t>
  </si>
  <si>
    <t>"Item": "Amezo - Paneer, 1 Kg",</t>
  </si>
  <si>
    <t>"ImageUrl": "img/pics/1d540b45d180520a9cb259b3c444687d.png",</t>
  </si>
  <si>
    <t>"Name": "₹252/kg for 3 kgs+",</t>
  </si>
  <si>
    <t>"Price": "252"</t>
  </si>
  <si>
    <t>"Name": "₹251.05/kg for 5 kgs+",</t>
  </si>
  <si>
    <t>"Price": "234.29",</t>
  </si>
  <si>
    <t>"Item": "Fresh Paneer,  1 Kg",</t>
  </si>
  <si>
    <t>"ImageUrl": "img/pics/7c087c7690ba846d9c1905569397dc0a.png",</t>
  </si>
  <si>
    <t>"Price": "1425",</t>
  </si>
  <si>
    <t>"Item": "Malai Paneer, 5 Kg Block",</t>
  </si>
  <si>
    <t>"Heighlightdescription": "at ₹285/kg",</t>
  </si>
  <si>
    <t>"ImageUrl": "img/pics/b1e4eed9580c6e632437b5bba973ace6.png",</t>
  </si>
  <si>
    <t>"Price": "248",</t>
  </si>
  <si>
    <t>"Item": "Brahmaraj - Paneer, 1 Kg",</t>
  </si>
  <si>
    <t>"ImageUrl": "img/pics/14ed4bc2ac41b3c620eb1b92b6b87de5.jpg",</t>
  </si>
  <si>
    <t>"Price": "277.05",</t>
  </si>
  <si>
    <t>"Item": "SDP - Fresh Premium Paneer, 1 Kg",</t>
  </si>
  <si>
    <t>"ImageUrl": "img/pics/60c579b794853499bc1cec773fdc00b1.jpeg",</t>
  </si>
  <si>
    <t>"Price": "298",</t>
  </si>
  <si>
    <t>"Item": "SDP - Rich N Soft Paneer, 1 Kg",</t>
  </si>
  <si>
    <t>"ImageUrl": "img/pics/0a2bb8cb29ee201dfea9ff1159a2a46f.png",</t>
  </si>
  <si>
    <t>"Price": "322.57",</t>
  </si>
  <si>
    <t>"Item": "Adya - Paneer, 1 Kg",</t>
  </si>
  <si>
    <t>"ImageUrl": "img/pics/23f639e9ad67107eb8e5ec98f6f40fb2.png",</t>
  </si>
  <si>
    <t>"Name": "₹321.52/kg for 3 kgs+",</t>
  </si>
  <si>
    <t>"Price": "321.52"</t>
  </si>
  <si>
    <t>"Name": "₹320.57/kg for 5 kgs+",</t>
  </si>
  <si>
    <t>"Price": "339.71",</t>
  </si>
  <si>
    <t>"Item": "Red Cow - Paneer, 1 Kg",</t>
  </si>
  <si>
    <t>"ImageUrl": "img/pics/3381d0551d15e0b679e89c4e5a155b5d.png",</t>
  </si>
  <si>
    <t>"Name": "₹338.67/kg for 3 kgs+",</t>
  </si>
  <si>
    <t>"Price": "338.67"</t>
  </si>
  <si>
    <t>"Name": "₹337.71/kg for 5 kgs+",</t>
  </si>
  <si>
    <t>"Price": "337.71"</t>
  </si>
  <si>
    <t>"Price": "331.05",</t>
  </si>
  <si>
    <t>"Item": "Milken - Malai Paneer, 1 Kg",</t>
  </si>
  <si>
    <t>"ImageUrl": "img/pics/eaac5263d9cdca3d639d0972b1e265fe.png",</t>
  </si>
  <si>
    <t>"Name": "₹328/kg for 4 kgs+",</t>
  </si>
  <si>
    <t>"Price": "328"</t>
  </si>
  <si>
    <t>"Name": "₹326.38/kg for 8 kgs+",</t>
  </si>
  <si>
    <t>"Price": "326.38"</t>
  </si>
  <si>
    <t>"Price": "338.1",</t>
  </si>
  <si>
    <t>"Item": "Nandini - Paneer, 1 Kg",</t>
  </si>
  <si>
    <t>"ImageUrl": "img/pics/380d27bd53fa63c328e5484807766752.jpg",</t>
  </si>
  <si>
    <t>"Price": "258.1",</t>
  </si>
  <si>
    <t>"Item": "Geet Foods - Fresh Paneer, 1 Kg (Low Fat)",</t>
  </si>
  <si>
    <t>"ImageUrl": "img/pics/80b52003d6f215ffbd56ca3c60076c23.png",</t>
  </si>
  <si>
    <t>"Item": "Jain Dairy - Malai Paneer, 1 Kg",</t>
  </si>
  <si>
    <t>"ImageUrl": "img/pics/cac891827354efe7c5a3442d64fa880b.jpg",</t>
  </si>
  <si>
    <t>"Item": "Modern Dairy - Malai Paneer, 1 Kg",</t>
  </si>
  <si>
    <t>"ImageUrl": "img/pics/f33a511fbed07eae72777ac3359b8fe5.jpg",</t>
  </si>
  <si>
    <t>"Price": "259.05",</t>
  </si>
  <si>
    <t>"Item": "Fresh Paneer (Medium Fat), 1 Kg",</t>
  </si>
  <si>
    <t>"ImageUrl": "img/pics/f42fad7ee4a8f7e04826a51e4f33e8ea.png",</t>
  </si>
  <si>
    <t>"Price": "333.33",</t>
  </si>
  <si>
    <t>"Item": "Govind - Fresh Paneer, 1 Kg",</t>
  </si>
  <si>
    <t>"ImageUrl": "img/pics/3e78a35881c666180b015f49cdfdfad4.jpg",</t>
  </si>
  <si>
    <t>"Name": "₹330.29/kg for 3 kgs+",</t>
  </si>
  <si>
    <t>"Price": "330.29"</t>
  </si>
  <si>
    <t>"Price": "306.95",</t>
  </si>
  <si>
    <t>"Item": "Dairy Agro - Fresh Paneer, 1 Kg",</t>
  </si>
  <si>
    <t>"ImageUrl": "img/pics/58e981f8-455b-4a92-b01d-a6932ae46ffb_Dairy%20Agro%20Fresh%20Paneer%201k.jpeg",</t>
  </si>
  <si>
    <t>"Name": "₹304.95/kg for 4 kgs+",</t>
  </si>
  <si>
    <t>"Price": "304.95"</t>
  </si>
  <si>
    <t>"Name": "₹302.95/kg for 6 kgs+",</t>
  </si>
  <si>
    <t>"Price": "302.95"</t>
  </si>
  <si>
    <t>"Price": "351.05",</t>
  </si>
  <si>
    <t>"Item": "Milky Mist - Paneer, 1 Kg",</t>
  </si>
  <si>
    <t>"ImageUrl": "img/pics/6ad41726dcc40b3aabcde607aeaa4546.jpeg",</t>
  </si>
  <si>
    <t>"SectionName": "Soya Chaap ",</t>
  </si>
  <si>
    <t>"SectionOrder": "17",</t>
  </si>
  <si>
    <t>"Price": "103.05",</t>
  </si>
  <si>
    <t>"Item": "Badshah - Frozen Chaap, 1 Kg",</t>
  </si>
  <si>
    <t>"ImageUrl": "img/pics/821da1729f38317c54c69076655f05d4.png",</t>
  </si>
  <si>
    <t>"Name": "₹100/kg for 3 kgs+",</t>
  </si>
  <si>
    <t>"Price": "100"</t>
  </si>
  <si>
    <t>"Name": "₹97.05/kg for 6 kgs+",</t>
  </si>
  <si>
    <t>"Price": "97.05"</t>
  </si>
  <si>
    <t>"Item": "Eat Happy - Frozen Soya Chaap, 1 Kg",</t>
  </si>
  <si>
    <t>"ImageUrl": "img/pics/099221eb5c232fb0798f2f3bd7ac1deb.png",</t>
  </si>
  <si>
    <t>"Name": "₹87.05/kg for 4 kgs+",</t>
  </si>
  <si>
    <t>"Price": "87.05"</t>
  </si>
  <si>
    <t>"Name": "₹85.05/kg for 10 kgs+",</t>
  </si>
  <si>
    <t>"Price": "85.05"</t>
  </si>
  <si>
    <t>"Item": "Modern Dairy - Veg. Chaap, 1 Kg",</t>
  </si>
  <si>
    <t>"ImageUrl": "img/pics/ff778412f896cfc8623b649ef835e740.jpg",</t>
  </si>
  <si>
    <t>"Name": "₹136/kg for 5 kgs+",</t>
  </si>
  <si>
    <t>"Price": "136"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</si>
</sst>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rgb="FFD4D4D4"/>
      <name val="Consolas"/>
      <family val="3"/>
    </font>
    <font>
      <sz val="11"/>
      <color rgb="FFCE9178"/>
      <name val="Consolas"/>
      <family val="3"/>
    </font>
    <font>
      <b/>
      <sz val="11"/>
      <color theme="1"/>
      <name val="Calibri"/>
      <family val="2"/>
      <scheme val="minor"/>
    </font>
    <font>
      <b/>
      <sz val="11"/>
      <name val="Consolas"/>
      <family val="3"/>
    </font>
    <font>
      <sz val="11"/>
      <color rgb="FF9CDCFE"/>
      <name val="Consolas"/>
      <family val="3"/>
    </font>
    <font>
      <sz val="11"/>
      <color theme="1"/>
      <name val="Consolas"/>
      <family val="3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FF0000"/>
      <name val="Consolas"/>
      <family val="3"/>
    </font>
    <font>
      <sz val="11"/>
      <name val="Calibri"/>
      <family val="2"/>
      <scheme val="minor"/>
    </font>
    <font>
      <sz val="11"/>
      <name val="Consolas"/>
      <family val="3"/>
    </font>
    <font>
      <b/>
      <sz val="1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/>
    <xf numFmtId="0" fontId="3" fillId="2" borderId="0" xfId="0" applyFont="1" applyFill="1"/>
    <xf numFmtId="0" fontId="4" fillId="2" borderId="1" xfId="0" applyFont="1" applyFill="1" applyBorder="1"/>
    <xf numFmtId="0" fontId="3" fillId="2" borderId="1" xfId="0" applyFont="1" applyFill="1" applyBorder="1"/>
    <xf numFmtId="49" fontId="0" fillId="0" borderId="0" xfId="0" applyNumberFormat="1"/>
    <xf numFmtId="0" fontId="6" fillId="0" borderId="0" xfId="0" applyFont="1"/>
    <xf numFmtId="0" fontId="0" fillId="0" borderId="0" xfId="0" applyAlignment="1">
      <alignment horizontal="right" vertical="center"/>
    </xf>
    <xf numFmtId="0" fontId="3" fillId="3" borderId="1" xfId="0" applyFont="1" applyFill="1" applyBorder="1"/>
    <xf numFmtId="0" fontId="9" fillId="0" borderId="0" xfId="0" applyFont="1"/>
    <xf numFmtId="0" fontId="9" fillId="0" borderId="0" xfId="0" applyFont="1" applyAlignment="1">
      <alignment vertical="center"/>
    </xf>
    <xf numFmtId="0" fontId="8" fillId="0" borderId="0" xfId="0" applyFont="1"/>
    <xf numFmtId="0" fontId="11" fillId="0" borderId="0" xfId="0" applyFont="1" applyAlignment="1">
      <alignment horizontal="left" vertical="center"/>
    </xf>
    <xf numFmtId="0" fontId="10" fillId="0" borderId="0" xfId="0" applyFont="1" applyAlignment="1">
      <alignment horizontal="left"/>
    </xf>
    <xf numFmtId="0" fontId="12" fillId="0" borderId="0" xfId="0" applyFont="1"/>
    <xf numFmtId="0" fontId="12" fillId="0" borderId="0" xfId="0" applyFont="1" applyAlignment="1">
      <alignment vertical="center"/>
    </xf>
    <xf numFmtId="0" fontId="0" fillId="2" borderId="0" xfId="0" applyFill="1"/>
    <xf numFmtId="0" fontId="0" fillId="4" borderId="0" xfId="0" applyFill="1"/>
    <xf numFmtId="0" fontId="3" fillId="5" borderId="0" xfId="0" applyFont="1" applyFill="1"/>
    <xf numFmtId="0" fontId="0" fillId="2" borderId="0" xfId="0" applyFill="1" applyAlignment="1">
      <alignment wrapText="1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662940</xdr:colOff>
          <xdr:row>0</xdr:row>
          <xdr:rowOff>53340</xdr:rowOff>
        </xdr:from>
        <xdr:to>
          <xdr:col>4</xdr:col>
          <xdr:colOff>358140</xdr:colOff>
          <xdr:row>0</xdr:row>
          <xdr:rowOff>228600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menu js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60960</xdr:rowOff>
        </xdr:from>
        <xdr:to>
          <xdr:col>7</xdr:col>
          <xdr:colOff>137160</xdr:colOff>
          <xdr:row>0</xdr:row>
          <xdr:rowOff>266700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Session ID and Menu 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688"/>
  <sheetViews>
    <sheetView tabSelected="1" workbookViewId="0">
      <pane ySplit="1" topLeftCell="A489" activePane="bottomLeft" state="frozen"/>
      <selection activeCell="B1" sqref="B1"/>
      <selection pane="bottomLeft" activeCell="K328" sqref="K328"/>
    </sheetView>
  </sheetViews>
  <sheetFormatPr defaultRowHeight="14.4" x14ac:dyDescent="0.3"/>
  <cols>
    <col min="1" max="1" width="20.5546875" bestFit="1" customWidth="1"/>
    <col min="2" max="2" width="14.88671875" bestFit="1" customWidth="1"/>
    <col min="3" max="3" width="7.88671875" bestFit="1" customWidth="1"/>
    <col min="4" max="4" width="6.6640625" style="7" bestFit="1" customWidth="1"/>
    <col min="5" max="5" width="56.33203125" customWidth="1"/>
    <col min="6" max="6" width="17.77734375" customWidth="1"/>
    <col min="7" max="7" width="8.5546875" bestFit="1" customWidth="1"/>
    <col min="8" max="8" width="20.5546875" customWidth="1"/>
    <col min="9" max="9" width="65.44140625" bestFit="1" customWidth="1"/>
    <col min="10" max="10" width="19.5546875" bestFit="1" customWidth="1"/>
    <col min="11" max="11" width="10.109375" bestFit="1" customWidth="1"/>
    <col min="12" max="12" width="20.5546875" bestFit="1" customWidth="1"/>
    <col min="13" max="14" width="12.109375" bestFit="1" customWidth="1"/>
    <col min="15" max="15" width="17.33203125" bestFit="1" customWidth="1"/>
    <col min="16" max="16" width="19.5546875" bestFit="1" customWidth="1"/>
  </cols>
  <sheetData>
    <row r="1" spans="1:17" s="2" customFormat="1" ht="44.25" customHeight="1" x14ac:dyDescent="0.3">
      <c r="A1" s="3" t="s">
        <v>1</v>
      </c>
      <c r="B1" s="3" t="s">
        <v>16</v>
      </c>
      <c r="C1" s="3" t="s">
        <v>2</v>
      </c>
      <c r="D1" s="3" t="s">
        <v>0</v>
      </c>
      <c r="E1" s="3" t="s">
        <v>3</v>
      </c>
      <c r="F1" s="3" t="s">
        <v>15</v>
      </c>
      <c r="G1" s="3" t="s">
        <v>4</v>
      </c>
      <c r="H1" s="3" t="s">
        <v>5</v>
      </c>
      <c r="I1" s="3" t="s">
        <v>6</v>
      </c>
      <c r="J1" s="3" t="s">
        <v>17</v>
      </c>
      <c r="K1" s="4" t="s">
        <v>19</v>
      </c>
      <c r="L1" s="8" t="s">
        <v>29</v>
      </c>
      <c r="M1" s="8" t="s">
        <v>30</v>
      </c>
      <c r="N1" s="8" t="s">
        <v>31</v>
      </c>
      <c r="O1" s="3" t="s">
        <v>43</v>
      </c>
      <c r="P1" s="3" t="s">
        <v>44</v>
      </c>
      <c r="Q1" s="2" t="s">
        <v>78</v>
      </c>
    </row>
    <row r="2" spans="1:17" x14ac:dyDescent="0.3">
      <c r="A2" t="s">
        <v>571</v>
      </c>
      <c r="B2">
        <v>1</v>
      </c>
      <c r="C2">
        <v>1</v>
      </c>
      <c r="D2" s="7">
        <v>680</v>
      </c>
      <c r="E2" t="s">
        <v>273</v>
      </c>
      <c r="F2" t="s">
        <v>567</v>
      </c>
      <c r="H2" t="s">
        <v>2771</v>
      </c>
      <c r="I2" t="s">
        <v>837</v>
      </c>
      <c r="J2">
        <v>1108</v>
      </c>
    </row>
    <row r="3" spans="1:17" x14ac:dyDescent="0.3">
      <c r="A3" t="s">
        <v>571</v>
      </c>
      <c r="B3">
        <v>1</v>
      </c>
      <c r="C3">
        <v>2</v>
      </c>
      <c r="D3" s="7">
        <v>561</v>
      </c>
      <c r="E3" t="s">
        <v>277</v>
      </c>
      <c r="F3" t="s">
        <v>567</v>
      </c>
      <c r="H3" t="s">
        <v>2773</v>
      </c>
      <c r="I3" t="s">
        <v>843</v>
      </c>
      <c r="J3">
        <v>1114</v>
      </c>
    </row>
    <row r="4" spans="1:17" x14ac:dyDescent="0.3">
      <c r="A4" t="s">
        <v>571</v>
      </c>
      <c r="B4">
        <v>1</v>
      </c>
      <c r="C4">
        <v>3</v>
      </c>
      <c r="D4" s="7">
        <v>561</v>
      </c>
      <c r="E4" t="s">
        <v>280</v>
      </c>
      <c r="F4" t="s">
        <v>567</v>
      </c>
      <c r="H4" t="s">
        <v>2773</v>
      </c>
      <c r="I4" t="s">
        <v>847</v>
      </c>
      <c r="J4">
        <v>1118</v>
      </c>
    </row>
    <row r="5" spans="1:17" x14ac:dyDescent="0.3">
      <c r="A5" t="s">
        <v>571</v>
      </c>
      <c r="B5">
        <v>1</v>
      </c>
      <c r="C5">
        <v>4</v>
      </c>
      <c r="D5" s="7">
        <v>618.86</v>
      </c>
      <c r="E5" t="s">
        <v>282</v>
      </c>
      <c r="F5" t="s">
        <v>567</v>
      </c>
      <c r="H5" t="s">
        <v>2774</v>
      </c>
      <c r="I5" t="s">
        <v>850</v>
      </c>
      <c r="J5">
        <v>1121</v>
      </c>
    </row>
    <row r="6" spans="1:17" x14ac:dyDescent="0.3">
      <c r="A6" t="s">
        <v>571</v>
      </c>
      <c r="B6">
        <v>1</v>
      </c>
      <c r="C6">
        <v>5</v>
      </c>
      <c r="D6" s="7">
        <v>407.14</v>
      </c>
      <c r="E6" t="s">
        <v>283</v>
      </c>
      <c r="F6" t="s">
        <v>567</v>
      </c>
      <c r="H6" t="s">
        <v>2775</v>
      </c>
      <c r="I6" t="s">
        <v>851</v>
      </c>
      <c r="J6">
        <v>1122</v>
      </c>
    </row>
    <row r="7" spans="1:17" x14ac:dyDescent="0.3">
      <c r="A7" t="s">
        <v>571</v>
      </c>
      <c r="B7">
        <v>1</v>
      </c>
      <c r="C7">
        <v>6</v>
      </c>
      <c r="D7" s="7">
        <v>618.86</v>
      </c>
      <c r="E7" t="s">
        <v>284</v>
      </c>
      <c r="F7" t="s">
        <v>567</v>
      </c>
      <c r="H7" t="s">
        <v>2774</v>
      </c>
      <c r="I7" t="s">
        <v>852</v>
      </c>
      <c r="J7">
        <v>1123</v>
      </c>
    </row>
    <row r="8" spans="1:17" x14ac:dyDescent="0.3">
      <c r="A8" t="s">
        <v>571</v>
      </c>
      <c r="B8">
        <v>1</v>
      </c>
      <c r="C8">
        <v>7</v>
      </c>
      <c r="D8" s="7">
        <v>407.14</v>
      </c>
      <c r="E8" t="s">
        <v>287</v>
      </c>
      <c r="F8" t="s">
        <v>567</v>
      </c>
      <c r="H8" t="s">
        <v>2775</v>
      </c>
      <c r="I8" t="s">
        <v>855</v>
      </c>
      <c r="J8">
        <v>1126</v>
      </c>
    </row>
    <row r="9" spans="1:17" x14ac:dyDescent="0.3">
      <c r="A9" t="s">
        <v>571</v>
      </c>
      <c r="B9">
        <v>1</v>
      </c>
      <c r="C9">
        <v>8</v>
      </c>
      <c r="D9" s="7">
        <v>680</v>
      </c>
      <c r="E9" t="s">
        <v>288</v>
      </c>
      <c r="F9" t="s">
        <v>567</v>
      </c>
      <c r="H9" t="s">
        <v>2771</v>
      </c>
      <c r="I9" t="s">
        <v>856</v>
      </c>
      <c r="J9">
        <v>1127</v>
      </c>
    </row>
    <row r="10" spans="1:17" x14ac:dyDescent="0.3">
      <c r="A10" t="s">
        <v>571</v>
      </c>
      <c r="B10">
        <v>1</v>
      </c>
      <c r="C10">
        <v>9</v>
      </c>
      <c r="D10" s="7">
        <v>586.64</v>
      </c>
      <c r="E10" t="s">
        <v>291</v>
      </c>
      <c r="F10" t="s">
        <v>567</v>
      </c>
      <c r="H10" t="s">
        <v>2776</v>
      </c>
      <c r="I10" t="s">
        <v>861</v>
      </c>
      <c r="J10">
        <v>1132</v>
      </c>
    </row>
    <row r="11" spans="1:17" x14ac:dyDescent="0.3">
      <c r="A11" t="s">
        <v>571</v>
      </c>
      <c r="B11">
        <v>1</v>
      </c>
      <c r="C11">
        <v>10</v>
      </c>
      <c r="D11" s="7">
        <v>680</v>
      </c>
      <c r="E11" t="s">
        <v>297</v>
      </c>
      <c r="F11" t="s">
        <v>567</v>
      </c>
      <c r="H11" t="s">
        <v>2771</v>
      </c>
      <c r="I11" t="s">
        <v>868</v>
      </c>
      <c r="J11">
        <v>1139</v>
      </c>
    </row>
    <row r="12" spans="1:17" x14ac:dyDescent="0.3">
      <c r="A12" t="s">
        <v>571</v>
      </c>
      <c r="B12">
        <v>1</v>
      </c>
      <c r="C12">
        <v>11</v>
      </c>
      <c r="D12" s="7">
        <v>569.57000000000005</v>
      </c>
      <c r="E12" t="s">
        <v>298</v>
      </c>
      <c r="F12" t="s">
        <v>567</v>
      </c>
      <c r="H12" t="s">
        <v>2777</v>
      </c>
      <c r="I12" t="s">
        <v>870</v>
      </c>
      <c r="J12">
        <v>1141</v>
      </c>
    </row>
    <row r="13" spans="1:17" x14ac:dyDescent="0.3">
      <c r="A13" t="s">
        <v>571</v>
      </c>
      <c r="B13">
        <v>1</v>
      </c>
      <c r="C13">
        <v>12</v>
      </c>
      <c r="D13" s="7">
        <v>568.57000000000005</v>
      </c>
      <c r="E13" t="s">
        <v>303</v>
      </c>
      <c r="F13" t="s">
        <v>567</v>
      </c>
      <c r="H13" t="s">
        <v>2779</v>
      </c>
      <c r="I13" t="s">
        <v>877</v>
      </c>
      <c r="J13">
        <v>1148</v>
      </c>
    </row>
    <row r="14" spans="1:17" x14ac:dyDescent="0.3">
      <c r="A14" t="s">
        <v>571</v>
      </c>
      <c r="B14">
        <v>1</v>
      </c>
      <c r="C14">
        <v>13</v>
      </c>
      <c r="D14" s="7">
        <v>414.36</v>
      </c>
      <c r="E14" t="s">
        <v>309</v>
      </c>
      <c r="F14" t="s">
        <v>567</v>
      </c>
      <c r="H14" t="s">
        <v>2780</v>
      </c>
      <c r="I14" t="s">
        <v>888</v>
      </c>
      <c r="J14">
        <v>1160</v>
      </c>
    </row>
    <row r="15" spans="1:17" x14ac:dyDescent="0.3">
      <c r="A15" t="s">
        <v>571</v>
      </c>
      <c r="B15">
        <v>1</v>
      </c>
      <c r="C15">
        <v>14</v>
      </c>
      <c r="D15" s="7">
        <v>605</v>
      </c>
      <c r="E15" t="s">
        <v>313</v>
      </c>
      <c r="F15" t="s">
        <v>567</v>
      </c>
      <c r="H15" t="s">
        <v>2781</v>
      </c>
      <c r="I15" t="s">
        <v>893</v>
      </c>
      <c r="J15">
        <v>1165</v>
      </c>
    </row>
    <row r="16" spans="1:17" x14ac:dyDescent="0.3">
      <c r="A16" t="s">
        <v>571</v>
      </c>
      <c r="B16">
        <v>1</v>
      </c>
      <c r="C16">
        <v>15</v>
      </c>
      <c r="D16" s="7">
        <v>632</v>
      </c>
      <c r="E16" t="s">
        <v>378</v>
      </c>
      <c r="F16" t="s">
        <v>567</v>
      </c>
      <c r="H16" t="s">
        <v>2788</v>
      </c>
      <c r="I16" t="s">
        <v>961</v>
      </c>
      <c r="J16">
        <v>1234</v>
      </c>
    </row>
    <row r="17" spans="1:10" x14ac:dyDescent="0.3">
      <c r="A17" t="s">
        <v>571</v>
      </c>
      <c r="B17">
        <v>1</v>
      </c>
      <c r="C17">
        <v>16</v>
      </c>
      <c r="D17" s="7">
        <v>285</v>
      </c>
      <c r="E17" t="s">
        <v>381</v>
      </c>
      <c r="F17" t="s">
        <v>567</v>
      </c>
      <c r="H17" t="s">
        <v>2790</v>
      </c>
      <c r="I17" t="s">
        <v>964</v>
      </c>
      <c r="J17">
        <v>1237</v>
      </c>
    </row>
    <row r="18" spans="1:10" x14ac:dyDescent="0.3">
      <c r="A18" t="s">
        <v>571</v>
      </c>
      <c r="B18">
        <v>1</v>
      </c>
      <c r="C18">
        <v>17</v>
      </c>
      <c r="D18" s="7">
        <v>596.57000000000005</v>
      </c>
      <c r="E18" t="s">
        <v>395</v>
      </c>
      <c r="F18" t="s">
        <v>567</v>
      </c>
      <c r="H18" t="s">
        <v>2793</v>
      </c>
      <c r="I18" t="s">
        <v>978</v>
      </c>
    </row>
    <row r="19" spans="1:10" x14ac:dyDescent="0.3">
      <c r="A19" t="s">
        <v>571</v>
      </c>
      <c r="B19">
        <v>1</v>
      </c>
      <c r="C19">
        <v>18</v>
      </c>
      <c r="D19" s="7">
        <v>466.43</v>
      </c>
      <c r="E19" t="s">
        <v>402</v>
      </c>
      <c r="F19" t="s">
        <v>567</v>
      </c>
      <c r="H19" t="s">
        <v>2794</v>
      </c>
      <c r="I19" t="s">
        <v>985</v>
      </c>
    </row>
    <row r="20" spans="1:10" x14ac:dyDescent="0.3">
      <c r="A20" t="s">
        <v>571</v>
      </c>
      <c r="B20">
        <v>1</v>
      </c>
      <c r="C20">
        <v>19</v>
      </c>
      <c r="D20" s="7">
        <v>291.43</v>
      </c>
      <c r="E20" t="s">
        <v>403</v>
      </c>
      <c r="F20" t="s">
        <v>567</v>
      </c>
      <c r="H20" t="s">
        <v>2795</v>
      </c>
      <c r="I20" t="s">
        <v>986</v>
      </c>
    </row>
    <row r="21" spans="1:10" x14ac:dyDescent="0.3">
      <c r="A21" t="s">
        <v>571</v>
      </c>
      <c r="B21">
        <v>1</v>
      </c>
      <c r="C21">
        <v>20</v>
      </c>
      <c r="D21" s="7">
        <v>385.71</v>
      </c>
      <c r="E21" t="s">
        <v>404</v>
      </c>
      <c r="F21" t="s">
        <v>567</v>
      </c>
      <c r="H21" t="s">
        <v>2796</v>
      </c>
      <c r="I21" t="s">
        <v>987</v>
      </c>
    </row>
    <row r="22" spans="1:10" x14ac:dyDescent="0.3">
      <c r="A22" t="s">
        <v>571</v>
      </c>
      <c r="B22">
        <v>1</v>
      </c>
      <c r="C22">
        <v>21</v>
      </c>
      <c r="D22" s="7">
        <v>378.57</v>
      </c>
      <c r="E22" t="s">
        <v>405</v>
      </c>
      <c r="F22" t="s">
        <v>567</v>
      </c>
      <c r="H22" t="s">
        <v>2797</v>
      </c>
      <c r="I22" t="s">
        <v>988</v>
      </c>
      <c r="J22">
        <v>1261</v>
      </c>
    </row>
    <row r="23" spans="1:10" x14ac:dyDescent="0.3">
      <c r="A23" t="s">
        <v>571</v>
      </c>
      <c r="B23">
        <v>1</v>
      </c>
      <c r="C23">
        <v>22</v>
      </c>
      <c r="D23" s="7">
        <v>378.57</v>
      </c>
      <c r="E23" t="s">
        <v>406</v>
      </c>
      <c r="F23" t="s">
        <v>567</v>
      </c>
      <c r="H23" t="s">
        <v>2797</v>
      </c>
      <c r="I23" t="s">
        <v>989</v>
      </c>
      <c r="J23">
        <v>1262</v>
      </c>
    </row>
    <row r="24" spans="1:10" x14ac:dyDescent="0.3">
      <c r="A24" t="s">
        <v>571</v>
      </c>
      <c r="B24">
        <v>1</v>
      </c>
      <c r="C24">
        <v>23</v>
      </c>
      <c r="D24" s="7">
        <v>679</v>
      </c>
      <c r="E24" t="s">
        <v>408</v>
      </c>
      <c r="F24" t="s">
        <v>567</v>
      </c>
      <c r="H24" t="s">
        <v>2798</v>
      </c>
      <c r="I24" t="s">
        <v>991</v>
      </c>
      <c r="J24">
        <v>1264</v>
      </c>
    </row>
    <row r="25" spans="1:10" x14ac:dyDescent="0.3">
      <c r="A25" t="s">
        <v>571</v>
      </c>
      <c r="B25">
        <v>1</v>
      </c>
      <c r="C25">
        <v>24</v>
      </c>
      <c r="D25" s="7">
        <v>633.64</v>
      </c>
      <c r="E25" t="s">
        <v>413</v>
      </c>
      <c r="F25" t="s">
        <v>567</v>
      </c>
      <c r="H25" t="s">
        <v>2799</v>
      </c>
      <c r="I25" t="s">
        <v>996</v>
      </c>
      <c r="J25">
        <v>1269</v>
      </c>
    </row>
    <row r="26" spans="1:10" x14ac:dyDescent="0.3">
      <c r="A26" t="s">
        <v>571</v>
      </c>
      <c r="B26">
        <v>1</v>
      </c>
      <c r="C26">
        <v>25</v>
      </c>
      <c r="D26" s="7">
        <v>633.64</v>
      </c>
      <c r="E26" t="s">
        <v>414</v>
      </c>
      <c r="F26" t="s">
        <v>567</v>
      </c>
      <c r="H26" t="s">
        <v>2799</v>
      </c>
      <c r="I26" t="s">
        <v>997</v>
      </c>
      <c r="J26">
        <v>1270</v>
      </c>
    </row>
    <row r="27" spans="1:10" x14ac:dyDescent="0.3">
      <c r="A27" t="s">
        <v>571</v>
      </c>
      <c r="B27">
        <v>1</v>
      </c>
      <c r="C27">
        <v>26</v>
      </c>
      <c r="D27" s="7">
        <v>625.42999999999995</v>
      </c>
      <c r="E27" t="s">
        <v>415</v>
      </c>
      <c r="F27" t="s">
        <v>567</v>
      </c>
      <c r="H27" t="s">
        <v>2800</v>
      </c>
      <c r="I27" t="s">
        <v>998</v>
      </c>
      <c r="J27">
        <v>1271</v>
      </c>
    </row>
    <row r="28" spans="1:10" x14ac:dyDescent="0.3">
      <c r="A28" t="s">
        <v>571</v>
      </c>
      <c r="B28">
        <v>1</v>
      </c>
      <c r="C28">
        <v>27</v>
      </c>
      <c r="D28" s="7">
        <v>714</v>
      </c>
      <c r="E28" t="s">
        <v>419</v>
      </c>
      <c r="F28" t="s">
        <v>567</v>
      </c>
      <c r="H28" t="s">
        <v>2801</v>
      </c>
      <c r="I28" t="s">
        <v>1002</v>
      </c>
      <c r="J28">
        <v>1275</v>
      </c>
    </row>
    <row r="29" spans="1:10" x14ac:dyDescent="0.3">
      <c r="A29" t="s">
        <v>571</v>
      </c>
      <c r="B29">
        <v>1</v>
      </c>
      <c r="C29">
        <v>28</v>
      </c>
      <c r="D29" s="7">
        <v>656.36</v>
      </c>
      <c r="E29" t="s">
        <v>424</v>
      </c>
      <c r="F29" t="s">
        <v>567</v>
      </c>
      <c r="I29" t="s">
        <v>1007</v>
      </c>
      <c r="J29">
        <v>1280</v>
      </c>
    </row>
    <row r="30" spans="1:10" x14ac:dyDescent="0.3">
      <c r="A30" t="s">
        <v>571</v>
      </c>
      <c r="B30">
        <v>1</v>
      </c>
      <c r="C30">
        <v>29</v>
      </c>
      <c r="D30" s="7">
        <v>654.64</v>
      </c>
      <c r="E30" t="s">
        <v>481</v>
      </c>
      <c r="F30" t="s">
        <v>567</v>
      </c>
      <c r="H30" t="s">
        <v>2803</v>
      </c>
      <c r="I30" t="s">
        <v>1064</v>
      </c>
      <c r="J30">
        <v>1337</v>
      </c>
    </row>
    <row r="31" spans="1:10" x14ac:dyDescent="0.3">
      <c r="A31" t="s">
        <v>571</v>
      </c>
      <c r="B31">
        <v>1</v>
      </c>
      <c r="C31">
        <v>30</v>
      </c>
      <c r="D31" s="7">
        <v>617.14</v>
      </c>
      <c r="E31" t="s">
        <v>490</v>
      </c>
      <c r="F31" t="s">
        <v>567</v>
      </c>
      <c r="H31" t="s">
        <v>2805</v>
      </c>
      <c r="I31" t="s">
        <v>1073</v>
      </c>
    </row>
    <row r="32" spans="1:10" x14ac:dyDescent="0.3">
      <c r="A32" t="s">
        <v>571</v>
      </c>
      <c r="B32">
        <v>1</v>
      </c>
      <c r="C32">
        <v>31</v>
      </c>
      <c r="D32" s="7">
        <v>694.71</v>
      </c>
      <c r="E32" t="s">
        <v>502</v>
      </c>
      <c r="F32" t="s">
        <v>567</v>
      </c>
      <c r="H32" t="s">
        <v>2806</v>
      </c>
      <c r="I32" t="s">
        <v>1085</v>
      </c>
    </row>
    <row r="33" spans="1:10" x14ac:dyDescent="0.3">
      <c r="A33" t="s">
        <v>571</v>
      </c>
      <c r="B33">
        <v>1</v>
      </c>
      <c r="C33">
        <v>32</v>
      </c>
      <c r="D33" s="7">
        <v>423.5</v>
      </c>
      <c r="E33" t="s">
        <v>503</v>
      </c>
      <c r="F33" t="s">
        <v>567</v>
      </c>
      <c r="H33" t="s">
        <v>2807</v>
      </c>
      <c r="I33" t="s">
        <v>1086</v>
      </c>
    </row>
    <row r="34" spans="1:10" x14ac:dyDescent="0.3">
      <c r="A34" t="s">
        <v>571</v>
      </c>
      <c r="B34">
        <v>1</v>
      </c>
      <c r="C34">
        <v>33</v>
      </c>
      <c r="D34" s="7">
        <v>617.14</v>
      </c>
      <c r="E34" t="s">
        <v>504</v>
      </c>
      <c r="F34" t="s">
        <v>567</v>
      </c>
      <c r="H34" t="s">
        <v>2805</v>
      </c>
      <c r="I34" t="s">
        <v>1087</v>
      </c>
    </row>
    <row r="35" spans="1:10" x14ac:dyDescent="0.3">
      <c r="A35" t="s">
        <v>571</v>
      </c>
      <c r="B35">
        <v>1</v>
      </c>
      <c r="C35">
        <v>34</v>
      </c>
      <c r="D35" s="7">
        <v>520</v>
      </c>
      <c r="E35" t="s">
        <v>505</v>
      </c>
      <c r="F35" t="s">
        <v>567</v>
      </c>
      <c r="H35" t="s">
        <v>2808</v>
      </c>
      <c r="I35" t="s">
        <v>1088</v>
      </c>
      <c r="J35">
        <v>1361</v>
      </c>
    </row>
    <row r="36" spans="1:10" x14ac:dyDescent="0.3">
      <c r="A36" t="s">
        <v>571</v>
      </c>
      <c r="B36">
        <v>1</v>
      </c>
      <c r="C36">
        <v>35</v>
      </c>
      <c r="D36" s="7">
        <v>371.86</v>
      </c>
      <c r="E36" t="s">
        <v>511</v>
      </c>
      <c r="F36" t="s">
        <v>567</v>
      </c>
      <c r="H36" t="s">
        <v>2810</v>
      </c>
      <c r="I36" t="s">
        <v>1094</v>
      </c>
      <c r="J36">
        <v>1367</v>
      </c>
    </row>
    <row r="37" spans="1:10" x14ac:dyDescent="0.3">
      <c r="A37" t="s">
        <v>571</v>
      </c>
      <c r="B37">
        <v>1</v>
      </c>
      <c r="C37">
        <v>36</v>
      </c>
      <c r="D37" s="7">
        <v>380</v>
      </c>
      <c r="E37" t="s">
        <v>512</v>
      </c>
      <c r="F37" t="s">
        <v>567</v>
      </c>
      <c r="H37" t="s">
        <v>2775</v>
      </c>
      <c r="I37" t="s">
        <v>1095</v>
      </c>
      <c r="J37">
        <v>1368</v>
      </c>
    </row>
    <row r="38" spans="1:10" x14ac:dyDescent="0.3">
      <c r="A38" t="s">
        <v>571</v>
      </c>
      <c r="B38">
        <v>1</v>
      </c>
      <c r="C38">
        <v>37</v>
      </c>
      <c r="D38" s="7">
        <v>380</v>
      </c>
      <c r="E38" t="s">
        <v>513</v>
      </c>
      <c r="F38" t="s">
        <v>567</v>
      </c>
      <c r="H38" t="s">
        <v>2775</v>
      </c>
      <c r="I38" t="s">
        <v>1096</v>
      </c>
      <c r="J38">
        <v>1369</v>
      </c>
    </row>
    <row r="39" spans="1:10" x14ac:dyDescent="0.3">
      <c r="A39" t="s">
        <v>571</v>
      </c>
      <c r="B39">
        <v>1</v>
      </c>
      <c r="C39">
        <v>38</v>
      </c>
      <c r="D39" s="7">
        <v>603.57000000000005</v>
      </c>
      <c r="E39" t="s">
        <v>535</v>
      </c>
      <c r="F39" t="s">
        <v>567</v>
      </c>
      <c r="H39" t="s">
        <v>2814</v>
      </c>
      <c r="I39" t="s">
        <v>1118</v>
      </c>
    </row>
    <row r="40" spans="1:10" x14ac:dyDescent="0.3">
      <c r="A40" t="s">
        <v>572</v>
      </c>
      <c r="B40">
        <v>2</v>
      </c>
      <c r="C40">
        <v>1</v>
      </c>
      <c r="D40" s="7">
        <v>1695</v>
      </c>
      <c r="E40" t="s">
        <v>301</v>
      </c>
      <c r="F40" t="s">
        <v>567</v>
      </c>
      <c r="H40" t="s">
        <v>2778</v>
      </c>
      <c r="I40" t="s">
        <v>874</v>
      </c>
      <c r="J40">
        <v>1145</v>
      </c>
    </row>
    <row r="41" spans="1:10" x14ac:dyDescent="0.3">
      <c r="A41" t="s">
        <v>572</v>
      </c>
      <c r="B41">
        <v>2</v>
      </c>
      <c r="C41">
        <v>2</v>
      </c>
      <c r="D41" s="7">
        <v>1555.36</v>
      </c>
      <c r="E41" t="s">
        <v>368</v>
      </c>
      <c r="F41" t="s">
        <v>567</v>
      </c>
      <c r="H41" t="s">
        <v>2787</v>
      </c>
      <c r="I41" t="s">
        <v>951</v>
      </c>
      <c r="J41">
        <v>1224</v>
      </c>
    </row>
    <row r="42" spans="1:10" x14ac:dyDescent="0.3">
      <c r="A42" t="s">
        <v>572</v>
      </c>
      <c r="B42">
        <v>2</v>
      </c>
      <c r="C42">
        <v>3</v>
      </c>
      <c r="D42" s="7">
        <v>1630</v>
      </c>
      <c r="E42" t="s">
        <v>379</v>
      </c>
      <c r="F42" t="s">
        <v>567</v>
      </c>
      <c r="H42" t="s">
        <v>2789</v>
      </c>
      <c r="I42" t="s">
        <v>962</v>
      </c>
    </row>
    <row r="43" spans="1:10" x14ac:dyDescent="0.3">
      <c r="A43" t="s">
        <v>572</v>
      </c>
      <c r="B43">
        <v>2</v>
      </c>
      <c r="C43">
        <v>4</v>
      </c>
      <c r="D43" s="7">
        <v>203.39</v>
      </c>
      <c r="E43" t="s">
        <v>386</v>
      </c>
      <c r="F43" t="s">
        <v>567</v>
      </c>
      <c r="I43" t="s">
        <v>969</v>
      </c>
    </row>
    <row r="44" spans="1:10" x14ac:dyDescent="0.3">
      <c r="A44" t="s">
        <v>572</v>
      </c>
      <c r="B44">
        <v>2</v>
      </c>
      <c r="C44">
        <v>5</v>
      </c>
      <c r="D44" s="7">
        <v>174.15</v>
      </c>
      <c r="E44" t="s">
        <v>387</v>
      </c>
      <c r="F44" t="s">
        <v>567</v>
      </c>
      <c r="I44" t="s">
        <v>970</v>
      </c>
    </row>
    <row r="45" spans="1:10" x14ac:dyDescent="0.3">
      <c r="A45" t="s">
        <v>572</v>
      </c>
      <c r="B45">
        <v>2</v>
      </c>
      <c r="C45">
        <v>6</v>
      </c>
      <c r="D45" s="7">
        <v>189.41</v>
      </c>
      <c r="E45" t="s">
        <v>396</v>
      </c>
      <c r="F45" t="s">
        <v>567</v>
      </c>
      <c r="I45" t="s">
        <v>979</v>
      </c>
    </row>
    <row r="46" spans="1:10" x14ac:dyDescent="0.3">
      <c r="A46" t="s">
        <v>572</v>
      </c>
      <c r="B46">
        <v>2</v>
      </c>
      <c r="C46">
        <v>7</v>
      </c>
      <c r="D46" s="7">
        <v>393.73</v>
      </c>
      <c r="E46" t="s">
        <v>412</v>
      </c>
      <c r="F46" t="s">
        <v>567</v>
      </c>
      <c r="I46" t="s">
        <v>995</v>
      </c>
    </row>
    <row r="47" spans="1:10" x14ac:dyDescent="0.3">
      <c r="A47" t="s">
        <v>572</v>
      </c>
      <c r="B47">
        <v>2</v>
      </c>
      <c r="C47">
        <v>8</v>
      </c>
      <c r="D47" s="7">
        <v>315.51</v>
      </c>
      <c r="E47" t="s">
        <v>416</v>
      </c>
      <c r="F47" t="s">
        <v>567</v>
      </c>
      <c r="I47" t="s">
        <v>999</v>
      </c>
    </row>
    <row r="48" spans="1:10" x14ac:dyDescent="0.3">
      <c r="A48" t="s">
        <v>572</v>
      </c>
      <c r="B48">
        <v>2</v>
      </c>
      <c r="C48">
        <v>9</v>
      </c>
      <c r="D48" s="7">
        <v>52.03</v>
      </c>
      <c r="E48" t="s">
        <v>482</v>
      </c>
      <c r="F48" t="s">
        <v>567</v>
      </c>
      <c r="I48" t="s">
        <v>1065</v>
      </c>
    </row>
    <row r="49" spans="1:10" x14ac:dyDescent="0.3">
      <c r="A49" t="s">
        <v>572</v>
      </c>
      <c r="B49">
        <v>2</v>
      </c>
      <c r="C49">
        <v>10</v>
      </c>
      <c r="D49" s="7">
        <v>244.15</v>
      </c>
      <c r="E49" t="s">
        <v>483</v>
      </c>
      <c r="F49" t="s">
        <v>567</v>
      </c>
      <c r="H49" t="s">
        <v>2804</v>
      </c>
      <c r="I49" t="s">
        <v>1066</v>
      </c>
      <c r="J49">
        <v>1339</v>
      </c>
    </row>
    <row r="50" spans="1:10" x14ac:dyDescent="0.3">
      <c r="A50" t="s">
        <v>572</v>
      </c>
      <c r="B50">
        <v>2</v>
      </c>
      <c r="C50">
        <v>11</v>
      </c>
      <c r="D50" s="7">
        <v>20</v>
      </c>
      <c r="E50" t="s">
        <v>486</v>
      </c>
      <c r="F50" t="s">
        <v>567</v>
      </c>
      <c r="I50" t="s">
        <v>1069</v>
      </c>
    </row>
    <row r="51" spans="1:10" x14ac:dyDescent="0.3">
      <c r="A51" t="s">
        <v>573</v>
      </c>
      <c r="B51">
        <v>3</v>
      </c>
      <c r="C51">
        <v>1</v>
      </c>
      <c r="D51" s="7">
        <v>95.24</v>
      </c>
      <c r="E51" t="s">
        <v>389</v>
      </c>
      <c r="F51" t="s">
        <v>567</v>
      </c>
      <c r="I51" t="s">
        <v>972</v>
      </c>
    </row>
    <row r="52" spans="1:10" x14ac:dyDescent="0.3">
      <c r="A52" t="s">
        <v>569</v>
      </c>
      <c r="B52">
        <v>4</v>
      </c>
      <c r="C52">
        <v>1</v>
      </c>
      <c r="D52" s="7">
        <v>95.8</v>
      </c>
      <c r="E52" t="s">
        <v>213</v>
      </c>
      <c r="F52" t="s">
        <v>567</v>
      </c>
      <c r="I52" t="s">
        <v>834</v>
      </c>
      <c r="J52">
        <v>1105</v>
      </c>
    </row>
    <row r="53" spans="1:10" x14ac:dyDescent="0.3">
      <c r="A53" t="s">
        <v>569</v>
      </c>
      <c r="B53">
        <v>4</v>
      </c>
      <c r="C53">
        <v>2</v>
      </c>
      <c r="D53" s="7">
        <v>96.25</v>
      </c>
      <c r="E53" t="s">
        <v>215</v>
      </c>
      <c r="F53" t="s">
        <v>567</v>
      </c>
      <c r="I53" t="s">
        <v>836</v>
      </c>
      <c r="J53">
        <v>1107</v>
      </c>
    </row>
    <row r="54" spans="1:10" x14ac:dyDescent="0.3">
      <c r="A54" t="s">
        <v>569</v>
      </c>
      <c r="B54">
        <v>4</v>
      </c>
      <c r="C54">
        <v>3</v>
      </c>
      <c r="D54" s="7">
        <v>94.11</v>
      </c>
      <c r="E54" t="s">
        <v>218</v>
      </c>
      <c r="F54" t="s">
        <v>567</v>
      </c>
      <c r="I54" t="s">
        <v>839</v>
      </c>
      <c r="J54">
        <v>1110</v>
      </c>
    </row>
    <row r="55" spans="1:10" x14ac:dyDescent="0.3">
      <c r="A55" t="s">
        <v>569</v>
      </c>
      <c r="B55">
        <v>4</v>
      </c>
      <c r="C55">
        <v>4</v>
      </c>
      <c r="D55" s="7">
        <v>390.42</v>
      </c>
      <c r="E55" t="s">
        <v>220</v>
      </c>
      <c r="F55" t="s">
        <v>567</v>
      </c>
      <c r="H55" t="s">
        <v>2772</v>
      </c>
      <c r="I55" t="s">
        <v>840</v>
      </c>
      <c r="J55">
        <v>1111</v>
      </c>
    </row>
    <row r="56" spans="1:10" x14ac:dyDescent="0.3">
      <c r="A56" t="s">
        <v>569</v>
      </c>
      <c r="B56">
        <v>4</v>
      </c>
      <c r="C56">
        <v>5</v>
      </c>
      <c r="D56" s="7">
        <v>83.04</v>
      </c>
      <c r="E56" t="s">
        <v>221</v>
      </c>
      <c r="F56" t="s">
        <v>567</v>
      </c>
      <c r="I56" t="s">
        <v>846</v>
      </c>
      <c r="J56">
        <v>1117</v>
      </c>
    </row>
    <row r="57" spans="1:10" x14ac:dyDescent="0.3">
      <c r="A57" t="s">
        <v>569</v>
      </c>
      <c r="B57">
        <v>4</v>
      </c>
      <c r="C57">
        <v>6</v>
      </c>
      <c r="D57" s="7">
        <v>99.2</v>
      </c>
      <c r="E57" t="s">
        <v>224</v>
      </c>
      <c r="F57" t="s">
        <v>567</v>
      </c>
      <c r="I57" t="s">
        <v>848</v>
      </c>
      <c r="J57">
        <v>1119</v>
      </c>
    </row>
    <row r="58" spans="1:10" x14ac:dyDescent="0.3">
      <c r="A58" t="s">
        <v>569</v>
      </c>
      <c r="B58">
        <v>4</v>
      </c>
      <c r="C58">
        <v>7</v>
      </c>
      <c r="D58" s="7">
        <v>94.73</v>
      </c>
      <c r="E58" t="s">
        <v>228</v>
      </c>
      <c r="F58" t="s">
        <v>567</v>
      </c>
      <c r="I58" t="s">
        <v>857</v>
      </c>
      <c r="J58">
        <v>1128</v>
      </c>
    </row>
    <row r="59" spans="1:10" x14ac:dyDescent="0.3">
      <c r="A59" t="s">
        <v>569</v>
      </c>
      <c r="B59">
        <v>4</v>
      </c>
      <c r="C59">
        <v>8</v>
      </c>
      <c r="D59" s="7">
        <v>84.82</v>
      </c>
      <c r="E59" t="s">
        <v>225</v>
      </c>
      <c r="F59" t="s">
        <v>567</v>
      </c>
      <c r="I59" t="s">
        <v>858</v>
      </c>
      <c r="J59">
        <v>1129</v>
      </c>
    </row>
    <row r="60" spans="1:10" x14ac:dyDescent="0.3">
      <c r="A60" t="s">
        <v>569</v>
      </c>
      <c r="B60">
        <v>4</v>
      </c>
      <c r="C60">
        <v>9</v>
      </c>
      <c r="D60" s="7">
        <v>213.73</v>
      </c>
      <c r="E60" t="s">
        <v>231</v>
      </c>
      <c r="F60" t="s">
        <v>567</v>
      </c>
      <c r="H60" t="s">
        <v>232</v>
      </c>
      <c r="I60" t="s">
        <v>867</v>
      </c>
      <c r="J60">
        <v>1138</v>
      </c>
    </row>
    <row r="61" spans="1:10" x14ac:dyDescent="0.3">
      <c r="A61" t="s">
        <v>569</v>
      </c>
      <c r="B61">
        <v>4</v>
      </c>
      <c r="C61">
        <v>10</v>
      </c>
      <c r="D61" s="7">
        <v>300</v>
      </c>
      <c r="E61" t="s">
        <v>235</v>
      </c>
      <c r="F61" t="s">
        <v>567</v>
      </c>
      <c r="H61" t="s">
        <v>236</v>
      </c>
      <c r="I61" t="s">
        <v>869</v>
      </c>
    </row>
    <row r="62" spans="1:10" x14ac:dyDescent="0.3">
      <c r="A62" t="s">
        <v>569</v>
      </c>
      <c r="B62">
        <v>4</v>
      </c>
      <c r="C62">
        <v>11</v>
      </c>
      <c r="D62" s="7">
        <v>14.2</v>
      </c>
      <c r="E62" t="s">
        <v>237</v>
      </c>
      <c r="F62" t="s">
        <v>567</v>
      </c>
      <c r="I62" t="s">
        <v>871</v>
      </c>
      <c r="J62">
        <v>1142</v>
      </c>
    </row>
    <row r="63" spans="1:10" x14ac:dyDescent="0.3">
      <c r="A63" t="s">
        <v>569</v>
      </c>
      <c r="B63">
        <v>4</v>
      </c>
      <c r="C63">
        <v>12</v>
      </c>
      <c r="D63" s="7">
        <v>795</v>
      </c>
      <c r="E63" t="s">
        <v>240</v>
      </c>
      <c r="F63" t="s">
        <v>567</v>
      </c>
      <c r="H63" t="s">
        <v>241</v>
      </c>
      <c r="I63" t="s">
        <v>876</v>
      </c>
      <c r="J63">
        <v>1147</v>
      </c>
    </row>
    <row r="64" spans="1:10" x14ac:dyDescent="0.3">
      <c r="A64" t="s">
        <v>569</v>
      </c>
      <c r="B64">
        <v>4</v>
      </c>
      <c r="C64">
        <v>13</v>
      </c>
      <c r="D64" s="7">
        <v>90</v>
      </c>
      <c r="E64" t="s">
        <v>244</v>
      </c>
      <c r="F64" t="s">
        <v>567</v>
      </c>
      <c r="I64" t="s">
        <v>879</v>
      </c>
      <c r="J64">
        <v>1151</v>
      </c>
    </row>
    <row r="65" spans="1:10" x14ac:dyDescent="0.3">
      <c r="A65" t="s">
        <v>569</v>
      </c>
      <c r="B65">
        <v>4</v>
      </c>
      <c r="C65">
        <v>14</v>
      </c>
      <c r="D65" s="7">
        <v>809</v>
      </c>
      <c r="E65" t="s">
        <v>247</v>
      </c>
      <c r="F65" t="s">
        <v>567</v>
      </c>
      <c r="H65" t="s">
        <v>248</v>
      </c>
      <c r="I65" t="s">
        <v>882</v>
      </c>
      <c r="J65">
        <v>1154</v>
      </c>
    </row>
    <row r="66" spans="1:10" x14ac:dyDescent="0.3">
      <c r="A66" t="s">
        <v>569</v>
      </c>
      <c r="B66">
        <v>4</v>
      </c>
      <c r="C66">
        <v>15</v>
      </c>
      <c r="D66" s="7">
        <v>13.93</v>
      </c>
      <c r="E66" t="s">
        <v>251</v>
      </c>
      <c r="F66" t="s">
        <v>567</v>
      </c>
      <c r="I66" t="s">
        <v>883</v>
      </c>
      <c r="J66">
        <v>1155</v>
      </c>
    </row>
    <row r="67" spans="1:10" x14ac:dyDescent="0.3">
      <c r="A67" t="s">
        <v>569</v>
      </c>
      <c r="B67">
        <v>4</v>
      </c>
      <c r="C67">
        <v>16</v>
      </c>
      <c r="D67" s="7">
        <v>83.84</v>
      </c>
      <c r="E67" t="s">
        <v>254</v>
      </c>
      <c r="F67" t="s">
        <v>567</v>
      </c>
      <c r="I67" t="s">
        <v>885</v>
      </c>
      <c r="J67">
        <v>1157</v>
      </c>
    </row>
    <row r="68" spans="1:10" x14ac:dyDescent="0.3">
      <c r="A68" t="s">
        <v>569</v>
      </c>
      <c r="B68">
        <v>4</v>
      </c>
      <c r="C68">
        <v>17</v>
      </c>
      <c r="D68" s="7">
        <v>89.55</v>
      </c>
      <c r="E68" t="s">
        <v>257</v>
      </c>
      <c r="F68" t="s">
        <v>567</v>
      </c>
      <c r="I68" t="s">
        <v>887</v>
      </c>
      <c r="J68">
        <v>1159</v>
      </c>
    </row>
    <row r="69" spans="1:10" x14ac:dyDescent="0.3">
      <c r="A69" t="s">
        <v>569</v>
      </c>
      <c r="B69">
        <v>4</v>
      </c>
      <c r="C69">
        <v>18</v>
      </c>
      <c r="D69" s="7">
        <v>92.41</v>
      </c>
      <c r="E69" t="s">
        <v>260</v>
      </c>
      <c r="F69" t="s">
        <v>567</v>
      </c>
      <c r="I69" t="s">
        <v>891</v>
      </c>
      <c r="J69">
        <v>1163</v>
      </c>
    </row>
    <row r="70" spans="1:10" x14ac:dyDescent="0.3">
      <c r="A70" t="s">
        <v>569</v>
      </c>
      <c r="B70">
        <v>4</v>
      </c>
      <c r="C70">
        <v>19</v>
      </c>
      <c r="D70" s="7">
        <v>91.16</v>
      </c>
      <c r="E70" t="s">
        <v>263</v>
      </c>
      <c r="F70" t="s">
        <v>567</v>
      </c>
      <c r="I70" t="s">
        <v>894</v>
      </c>
      <c r="J70">
        <v>1166</v>
      </c>
    </row>
    <row r="71" spans="1:10" x14ac:dyDescent="0.3">
      <c r="A71" t="s">
        <v>569</v>
      </c>
      <c r="B71">
        <v>4</v>
      </c>
      <c r="C71">
        <v>20</v>
      </c>
      <c r="D71" s="7">
        <v>12.5</v>
      </c>
      <c r="E71" t="s">
        <v>266</v>
      </c>
      <c r="F71" t="s">
        <v>567</v>
      </c>
      <c r="I71" t="s">
        <v>897</v>
      </c>
    </row>
    <row r="72" spans="1:10" x14ac:dyDescent="0.3">
      <c r="A72" t="s">
        <v>569</v>
      </c>
      <c r="B72">
        <v>4</v>
      </c>
      <c r="C72">
        <v>21</v>
      </c>
      <c r="D72" s="7">
        <v>356.1</v>
      </c>
      <c r="E72" t="s">
        <v>316</v>
      </c>
      <c r="F72" t="s">
        <v>567</v>
      </c>
      <c r="H72" t="s">
        <v>2782</v>
      </c>
      <c r="I72" t="s">
        <v>898</v>
      </c>
    </row>
    <row r="73" spans="1:10" x14ac:dyDescent="0.3">
      <c r="A73" t="s">
        <v>569</v>
      </c>
      <c r="B73">
        <v>4</v>
      </c>
      <c r="C73">
        <v>22</v>
      </c>
      <c r="D73" s="7">
        <v>384.41</v>
      </c>
      <c r="E73" t="s">
        <v>317</v>
      </c>
      <c r="F73" t="s">
        <v>567</v>
      </c>
      <c r="H73" t="s">
        <v>2783</v>
      </c>
      <c r="I73" t="s">
        <v>899</v>
      </c>
      <c r="J73">
        <v>1171</v>
      </c>
    </row>
    <row r="74" spans="1:10" x14ac:dyDescent="0.3">
      <c r="A74" t="s">
        <v>569</v>
      </c>
      <c r="B74">
        <v>4</v>
      </c>
      <c r="C74">
        <v>23</v>
      </c>
      <c r="D74" s="7">
        <v>13.57</v>
      </c>
      <c r="E74" t="s">
        <v>267</v>
      </c>
      <c r="F74" t="s">
        <v>567</v>
      </c>
      <c r="I74" t="s">
        <v>900</v>
      </c>
    </row>
    <row r="75" spans="1:10" x14ac:dyDescent="0.3">
      <c r="A75" t="s">
        <v>569</v>
      </c>
      <c r="B75">
        <v>4</v>
      </c>
      <c r="C75">
        <v>24</v>
      </c>
      <c r="D75" s="7">
        <v>82.5</v>
      </c>
      <c r="E75" t="s">
        <v>318</v>
      </c>
      <c r="F75" t="s">
        <v>567</v>
      </c>
      <c r="I75" t="s">
        <v>901</v>
      </c>
    </row>
    <row r="76" spans="1:10" x14ac:dyDescent="0.3">
      <c r="A76" t="s">
        <v>569</v>
      </c>
      <c r="B76">
        <v>4</v>
      </c>
      <c r="C76">
        <v>25</v>
      </c>
      <c r="D76" s="7">
        <v>104.55</v>
      </c>
      <c r="E76" t="s">
        <v>319</v>
      </c>
      <c r="F76" t="s">
        <v>567</v>
      </c>
      <c r="I76" t="s">
        <v>902</v>
      </c>
      <c r="J76">
        <v>1174</v>
      </c>
    </row>
    <row r="77" spans="1:10" x14ac:dyDescent="0.3">
      <c r="A77" t="s">
        <v>569</v>
      </c>
      <c r="B77">
        <v>4</v>
      </c>
      <c r="C77">
        <v>26</v>
      </c>
      <c r="D77" s="7">
        <v>14.02</v>
      </c>
      <c r="E77" t="s">
        <v>320</v>
      </c>
      <c r="F77" t="s">
        <v>567</v>
      </c>
      <c r="I77" t="s">
        <v>903</v>
      </c>
      <c r="J77">
        <v>1175</v>
      </c>
    </row>
    <row r="78" spans="1:10" x14ac:dyDescent="0.3">
      <c r="A78" t="s">
        <v>569</v>
      </c>
      <c r="B78">
        <v>4</v>
      </c>
      <c r="C78">
        <v>27</v>
      </c>
      <c r="D78" s="7">
        <v>89.11</v>
      </c>
      <c r="E78" t="s">
        <v>325</v>
      </c>
      <c r="F78" t="s">
        <v>567</v>
      </c>
      <c r="I78" t="s">
        <v>908</v>
      </c>
      <c r="J78">
        <v>1180</v>
      </c>
    </row>
    <row r="79" spans="1:10" x14ac:dyDescent="0.3">
      <c r="A79" t="s">
        <v>569</v>
      </c>
      <c r="B79">
        <v>4</v>
      </c>
      <c r="C79">
        <v>28</v>
      </c>
      <c r="D79" s="7">
        <v>393.22</v>
      </c>
      <c r="E79" t="s">
        <v>326</v>
      </c>
      <c r="F79" t="s">
        <v>567</v>
      </c>
      <c r="H79" t="s">
        <v>2784</v>
      </c>
      <c r="I79" t="s">
        <v>909</v>
      </c>
      <c r="J79">
        <v>1181</v>
      </c>
    </row>
    <row r="80" spans="1:10" x14ac:dyDescent="0.3">
      <c r="A80" t="s">
        <v>569</v>
      </c>
      <c r="B80">
        <v>4</v>
      </c>
      <c r="C80">
        <v>29</v>
      </c>
      <c r="D80" s="7">
        <v>368.21</v>
      </c>
      <c r="E80" t="s">
        <v>331</v>
      </c>
      <c r="F80" t="s">
        <v>567</v>
      </c>
      <c r="H80" t="s">
        <v>2785</v>
      </c>
      <c r="I80" t="s">
        <v>914</v>
      </c>
      <c r="J80">
        <v>1186</v>
      </c>
    </row>
    <row r="81" spans="1:10" x14ac:dyDescent="0.3">
      <c r="A81" t="s">
        <v>569</v>
      </c>
      <c r="B81">
        <v>4</v>
      </c>
      <c r="C81">
        <v>30</v>
      </c>
      <c r="D81" s="7">
        <v>368.21</v>
      </c>
      <c r="E81" t="s">
        <v>343</v>
      </c>
      <c r="F81" t="s">
        <v>567</v>
      </c>
      <c r="H81" t="s">
        <v>2785</v>
      </c>
      <c r="I81" t="s">
        <v>926</v>
      </c>
      <c r="J81">
        <v>1198</v>
      </c>
    </row>
    <row r="82" spans="1:10" x14ac:dyDescent="0.3">
      <c r="A82" t="s">
        <v>569</v>
      </c>
      <c r="B82">
        <v>4</v>
      </c>
      <c r="C82">
        <v>31</v>
      </c>
      <c r="D82" s="7">
        <v>80</v>
      </c>
      <c r="E82" t="s">
        <v>353</v>
      </c>
      <c r="F82" t="s">
        <v>567</v>
      </c>
      <c r="I82" t="s">
        <v>936</v>
      </c>
    </row>
    <row r="83" spans="1:10" x14ac:dyDescent="0.3">
      <c r="A83" t="s">
        <v>569</v>
      </c>
      <c r="B83">
        <v>4</v>
      </c>
      <c r="C83">
        <v>32</v>
      </c>
      <c r="D83" s="7">
        <v>753.21</v>
      </c>
      <c r="E83" t="s">
        <v>354</v>
      </c>
      <c r="F83" t="s">
        <v>567</v>
      </c>
      <c r="H83" t="s">
        <v>2786</v>
      </c>
      <c r="I83" t="s">
        <v>937</v>
      </c>
      <c r="J83">
        <v>1210</v>
      </c>
    </row>
    <row r="84" spans="1:10" x14ac:dyDescent="0.3">
      <c r="A84" t="s">
        <v>569</v>
      </c>
      <c r="B84">
        <v>4</v>
      </c>
      <c r="C84">
        <v>33</v>
      </c>
      <c r="D84" s="7">
        <v>368.21</v>
      </c>
      <c r="E84" t="s">
        <v>355</v>
      </c>
      <c r="F84" t="s">
        <v>567</v>
      </c>
      <c r="H84" t="s">
        <v>2785</v>
      </c>
      <c r="I84" t="s">
        <v>938</v>
      </c>
      <c r="J84">
        <v>1211</v>
      </c>
    </row>
    <row r="85" spans="1:10" x14ac:dyDescent="0.3">
      <c r="A85" t="s">
        <v>569</v>
      </c>
      <c r="B85">
        <v>4</v>
      </c>
      <c r="C85">
        <v>34</v>
      </c>
      <c r="D85" s="7">
        <v>94.02</v>
      </c>
      <c r="E85" t="s">
        <v>358</v>
      </c>
      <c r="F85" t="s">
        <v>567</v>
      </c>
      <c r="I85" t="s">
        <v>941</v>
      </c>
      <c r="J85">
        <v>1214</v>
      </c>
    </row>
    <row r="86" spans="1:10" x14ac:dyDescent="0.3">
      <c r="A86" t="s">
        <v>569</v>
      </c>
      <c r="B86">
        <v>4</v>
      </c>
      <c r="C86">
        <v>35</v>
      </c>
      <c r="D86" s="7">
        <v>93.04</v>
      </c>
      <c r="E86" t="s">
        <v>362</v>
      </c>
      <c r="F86" t="s">
        <v>567</v>
      </c>
      <c r="I86" t="s">
        <v>945</v>
      </c>
    </row>
    <row r="87" spans="1:10" x14ac:dyDescent="0.3">
      <c r="A87" t="s">
        <v>569</v>
      </c>
      <c r="B87">
        <v>4</v>
      </c>
      <c r="C87">
        <v>36</v>
      </c>
      <c r="D87" s="7">
        <v>368.21</v>
      </c>
      <c r="E87" t="s">
        <v>363</v>
      </c>
      <c r="F87" t="s">
        <v>567</v>
      </c>
      <c r="H87" t="s">
        <v>2785</v>
      </c>
      <c r="I87" t="s">
        <v>946</v>
      </c>
      <c r="J87">
        <v>1219</v>
      </c>
    </row>
    <row r="88" spans="1:10" x14ac:dyDescent="0.3">
      <c r="A88" t="s">
        <v>569</v>
      </c>
      <c r="B88">
        <v>4</v>
      </c>
      <c r="C88">
        <v>37</v>
      </c>
      <c r="D88" s="7">
        <v>425</v>
      </c>
      <c r="E88" t="s">
        <v>364</v>
      </c>
      <c r="F88" t="s">
        <v>567</v>
      </c>
      <c r="I88" t="s">
        <v>947</v>
      </c>
    </row>
    <row r="89" spans="1:10" x14ac:dyDescent="0.3">
      <c r="A89" t="s">
        <v>569</v>
      </c>
      <c r="B89">
        <v>4</v>
      </c>
      <c r="C89">
        <v>38</v>
      </c>
      <c r="D89" s="7">
        <v>1400</v>
      </c>
      <c r="E89" t="s">
        <v>382</v>
      </c>
      <c r="F89" t="s">
        <v>567</v>
      </c>
      <c r="H89" t="s">
        <v>2791</v>
      </c>
      <c r="I89" t="s">
        <v>965</v>
      </c>
    </row>
    <row r="90" spans="1:10" x14ac:dyDescent="0.3">
      <c r="A90" t="s">
        <v>569</v>
      </c>
      <c r="B90">
        <v>4</v>
      </c>
      <c r="C90">
        <v>39</v>
      </c>
      <c r="D90" s="7">
        <v>1400</v>
      </c>
      <c r="E90" t="s">
        <v>383</v>
      </c>
      <c r="F90" t="s">
        <v>567</v>
      </c>
      <c r="H90" t="s">
        <v>2791</v>
      </c>
      <c r="I90" t="s">
        <v>966</v>
      </c>
    </row>
    <row r="91" spans="1:10" x14ac:dyDescent="0.3">
      <c r="A91" t="s">
        <v>569</v>
      </c>
      <c r="B91">
        <v>4</v>
      </c>
      <c r="C91">
        <v>40</v>
      </c>
      <c r="D91" s="7">
        <v>938.48</v>
      </c>
      <c r="E91" t="s">
        <v>385</v>
      </c>
      <c r="F91" t="s">
        <v>567</v>
      </c>
      <c r="H91" t="s">
        <v>2792</v>
      </c>
      <c r="I91" t="s">
        <v>968</v>
      </c>
    </row>
    <row r="92" spans="1:10" x14ac:dyDescent="0.3">
      <c r="A92" t="s">
        <v>569</v>
      </c>
      <c r="B92">
        <v>4</v>
      </c>
      <c r="C92">
        <v>41</v>
      </c>
      <c r="D92" s="7">
        <v>34</v>
      </c>
      <c r="E92" t="s">
        <v>420</v>
      </c>
      <c r="F92" t="s">
        <v>567</v>
      </c>
      <c r="I92" t="s">
        <v>1003</v>
      </c>
      <c r="J92">
        <v>1276</v>
      </c>
    </row>
    <row r="93" spans="1:10" x14ac:dyDescent="0.3">
      <c r="A93" t="s">
        <v>569</v>
      </c>
      <c r="B93">
        <v>4</v>
      </c>
      <c r="C93">
        <v>42</v>
      </c>
      <c r="D93" s="7">
        <v>170.85</v>
      </c>
      <c r="E93" t="s">
        <v>480</v>
      </c>
      <c r="F93" t="s">
        <v>567</v>
      </c>
      <c r="H93" t="s">
        <v>2802</v>
      </c>
      <c r="I93" t="s">
        <v>1063</v>
      </c>
      <c r="J93">
        <v>1336</v>
      </c>
    </row>
    <row r="94" spans="1:10" x14ac:dyDescent="0.3">
      <c r="A94" t="s">
        <v>569</v>
      </c>
      <c r="B94">
        <v>4</v>
      </c>
      <c r="C94">
        <v>43</v>
      </c>
      <c r="D94" s="7">
        <v>206.36</v>
      </c>
      <c r="E94" t="s">
        <v>510</v>
      </c>
      <c r="F94" t="s">
        <v>567</v>
      </c>
      <c r="H94" t="s">
        <v>2809</v>
      </c>
      <c r="I94" t="s">
        <v>1093</v>
      </c>
      <c r="J94">
        <v>1366</v>
      </c>
    </row>
    <row r="95" spans="1:10" x14ac:dyDescent="0.3">
      <c r="A95" t="s">
        <v>569</v>
      </c>
      <c r="B95">
        <v>4</v>
      </c>
      <c r="C95">
        <v>44</v>
      </c>
      <c r="D95" s="7">
        <v>34</v>
      </c>
      <c r="E95" t="s">
        <v>524</v>
      </c>
      <c r="F95" t="s">
        <v>567</v>
      </c>
      <c r="I95" t="s">
        <v>1107</v>
      </c>
      <c r="J95">
        <v>1380</v>
      </c>
    </row>
    <row r="96" spans="1:10" x14ac:dyDescent="0.3">
      <c r="A96" t="s">
        <v>569</v>
      </c>
      <c r="B96">
        <v>4</v>
      </c>
      <c r="C96">
        <v>45</v>
      </c>
      <c r="D96" s="7">
        <v>30</v>
      </c>
      <c r="E96" t="s">
        <v>525</v>
      </c>
      <c r="F96" t="s">
        <v>567</v>
      </c>
      <c r="I96" t="s">
        <v>1108</v>
      </c>
    </row>
    <row r="97" spans="1:10" x14ac:dyDescent="0.3">
      <c r="A97" t="s">
        <v>569</v>
      </c>
      <c r="B97">
        <v>4</v>
      </c>
      <c r="C97">
        <v>46</v>
      </c>
      <c r="D97" s="7">
        <v>13.84</v>
      </c>
      <c r="E97" t="s">
        <v>547</v>
      </c>
      <c r="F97" t="s">
        <v>567</v>
      </c>
      <c r="I97" t="s">
        <v>1130</v>
      </c>
      <c r="J97">
        <v>1403</v>
      </c>
    </row>
    <row r="98" spans="1:10" x14ac:dyDescent="0.3">
      <c r="A98" t="s">
        <v>569</v>
      </c>
      <c r="B98">
        <v>4</v>
      </c>
      <c r="C98">
        <v>47</v>
      </c>
      <c r="D98" s="7">
        <v>97.41</v>
      </c>
      <c r="E98" t="s">
        <v>565</v>
      </c>
      <c r="F98" t="s">
        <v>567</v>
      </c>
      <c r="I98" t="s">
        <v>1148</v>
      </c>
    </row>
    <row r="99" spans="1:10" x14ac:dyDescent="0.3">
      <c r="A99" t="s">
        <v>569</v>
      </c>
      <c r="B99">
        <v>4</v>
      </c>
      <c r="C99">
        <v>48</v>
      </c>
      <c r="D99" s="7">
        <v>85.98</v>
      </c>
      <c r="E99" t="s">
        <v>566</v>
      </c>
      <c r="F99" t="s">
        <v>567</v>
      </c>
      <c r="I99" t="s">
        <v>1149</v>
      </c>
    </row>
    <row r="100" spans="1:10" x14ac:dyDescent="0.3">
      <c r="A100" t="s">
        <v>570</v>
      </c>
      <c r="B100">
        <v>5</v>
      </c>
      <c r="C100">
        <v>1</v>
      </c>
      <c r="D100" s="7">
        <v>269.92</v>
      </c>
      <c r="E100" t="s">
        <v>272</v>
      </c>
      <c r="F100" t="s">
        <v>567</v>
      </c>
      <c r="I100" t="s">
        <v>835</v>
      </c>
      <c r="J100">
        <v>1106</v>
      </c>
    </row>
    <row r="101" spans="1:10" x14ac:dyDescent="0.3">
      <c r="A101" t="s">
        <v>570</v>
      </c>
      <c r="B101">
        <v>5</v>
      </c>
      <c r="C101">
        <v>2</v>
      </c>
      <c r="D101" s="7">
        <v>178.39</v>
      </c>
      <c r="E101" t="s">
        <v>276</v>
      </c>
      <c r="F101" t="s">
        <v>567</v>
      </c>
      <c r="I101" t="s">
        <v>842</v>
      </c>
      <c r="J101">
        <v>1113</v>
      </c>
    </row>
    <row r="102" spans="1:10" x14ac:dyDescent="0.3">
      <c r="A102" t="s">
        <v>570</v>
      </c>
      <c r="B102">
        <v>5</v>
      </c>
      <c r="C102">
        <v>3</v>
      </c>
      <c r="D102" s="7">
        <v>175.54</v>
      </c>
      <c r="E102" t="s">
        <v>279</v>
      </c>
      <c r="F102" t="s">
        <v>567</v>
      </c>
      <c r="I102" t="s">
        <v>845</v>
      </c>
      <c r="J102">
        <v>1116</v>
      </c>
    </row>
    <row r="103" spans="1:10" x14ac:dyDescent="0.3">
      <c r="A103" t="s">
        <v>570</v>
      </c>
      <c r="B103">
        <v>5</v>
      </c>
      <c r="C103">
        <v>4</v>
      </c>
      <c r="D103" s="7">
        <v>212.68</v>
      </c>
      <c r="E103" t="s">
        <v>285</v>
      </c>
      <c r="F103" t="s">
        <v>567</v>
      </c>
      <c r="I103" t="s">
        <v>853</v>
      </c>
      <c r="J103">
        <v>1124</v>
      </c>
    </row>
    <row r="104" spans="1:10" x14ac:dyDescent="0.3">
      <c r="A104" t="s">
        <v>570</v>
      </c>
      <c r="B104">
        <v>5</v>
      </c>
      <c r="C104">
        <v>5</v>
      </c>
      <c r="D104" s="7">
        <v>270</v>
      </c>
      <c r="E104" t="s">
        <v>286</v>
      </c>
      <c r="F104" t="s">
        <v>567</v>
      </c>
      <c r="I104" t="s">
        <v>854</v>
      </c>
      <c r="J104">
        <v>1125</v>
      </c>
    </row>
    <row r="105" spans="1:10" x14ac:dyDescent="0.3">
      <c r="A105" t="s">
        <v>570</v>
      </c>
      <c r="B105">
        <v>5</v>
      </c>
      <c r="C105">
        <v>6</v>
      </c>
      <c r="D105" s="7">
        <v>402.32</v>
      </c>
      <c r="E105" t="s">
        <v>289</v>
      </c>
      <c r="F105" t="s">
        <v>567</v>
      </c>
      <c r="I105" t="s">
        <v>859</v>
      </c>
      <c r="J105">
        <v>1130</v>
      </c>
    </row>
    <row r="106" spans="1:10" x14ac:dyDescent="0.3">
      <c r="A106" t="s">
        <v>570</v>
      </c>
      <c r="B106">
        <v>5</v>
      </c>
      <c r="C106">
        <v>7</v>
      </c>
      <c r="D106" s="7">
        <v>278.81</v>
      </c>
      <c r="E106" t="s">
        <v>290</v>
      </c>
      <c r="F106" t="s">
        <v>567</v>
      </c>
      <c r="I106" t="s">
        <v>860</v>
      </c>
      <c r="J106">
        <v>1131</v>
      </c>
    </row>
    <row r="107" spans="1:10" x14ac:dyDescent="0.3">
      <c r="A107" t="s">
        <v>570</v>
      </c>
      <c r="B107">
        <v>5</v>
      </c>
      <c r="C107">
        <v>8</v>
      </c>
      <c r="D107" s="7">
        <v>216.16</v>
      </c>
      <c r="E107" t="s">
        <v>292</v>
      </c>
      <c r="F107" t="s">
        <v>567</v>
      </c>
      <c r="I107" t="s">
        <v>862</v>
      </c>
      <c r="J107">
        <v>1133</v>
      </c>
    </row>
    <row r="108" spans="1:10" x14ac:dyDescent="0.3">
      <c r="A108" t="s">
        <v>570</v>
      </c>
      <c r="B108">
        <v>5</v>
      </c>
      <c r="C108">
        <v>9</v>
      </c>
      <c r="D108" s="7">
        <v>270</v>
      </c>
      <c r="E108" t="s">
        <v>293</v>
      </c>
      <c r="F108" t="s">
        <v>567</v>
      </c>
      <c r="I108" t="s">
        <v>863</v>
      </c>
      <c r="J108">
        <v>1134</v>
      </c>
    </row>
    <row r="109" spans="1:10" x14ac:dyDescent="0.3">
      <c r="A109" t="s">
        <v>570</v>
      </c>
      <c r="B109">
        <v>5</v>
      </c>
      <c r="C109">
        <v>10</v>
      </c>
      <c r="D109" s="7">
        <v>135.54</v>
      </c>
      <c r="E109" t="s">
        <v>295</v>
      </c>
      <c r="F109" t="s">
        <v>567</v>
      </c>
      <c r="I109" t="s">
        <v>865</v>
      </c>
      <c r="J109">
        <v>1136</v>
      </c>
    </row>
    <row r="110" spans="1:10" x14ac:dyDescent="0.3">
      <c r="A110" t="s">
        <v>570</v>
      </c>
      <c r="B110">
        <v>5</v>
      </c>
      <c r="C110">
        <v>11</v>
      </c>
      <c r="D110" s="7">
        <v>279.92</v>
      </c>
      <c r="E110" t="s">
        <v>296</v>
      </c>
      <c r="F110" t="s">
        <v>567</v>
      </c>
      <c r="I110" t="s">
        <v>866</v>
      </c>
      <c r="J110">
        <v>1137</v>
      </c>
    </row>
    <row r="111" spans="1:10" x14ac:dyDescent="0.3">
      <c r="A111" t="s">
        <v>570</v>
      </c>
      <c r="B111">
        <v>5</v>
      </c>
      <c r="C111">
        <v>12</v>
      </c>
      <c r="D111" s="7">
        <v>464.07</v>
      </c>
      <c r="E111" t="s">
        <v>299</v>
      </c>
      <c r="F111" t="s">
        <v>567</v>
      </c>
      <c r="I111" t="s">
        <v>872</v>
      </c>
      <c r="J111">
        <v>1143</v>
      </c>
    </row>
    <row r="112" spans="1:10" x14ac:dyDescent="0.3">
      <c r="A112" t="s">
        <v>570</v>
      </c>
      <c r="B112">
        <v>5</v>
      </c>
      <c r="C112">
        <v>13</v>
      </c>
      <c r="D112" s="7">
        <v>278.05</v>
      </c>
      <c r="E112" t="s">
        <v>300</v>
      </c>
      <c r="F112" t="s">
        <v>567</v>
      </c>
      <c r="I112" t="s">
        <v>873</v>
      </c>
      <c r="J112">
        <v>1144</v>
      </c>
    </row>
    <row r="113" spans="1:10" x14ac:dyDescent="0.3">
      <c r="A113" t="s">
        <v>570</v>
      </c>
      <c r="B113">
        <v>5</v>
      </c>
      <c r="C113">
        <v>14</v>
      </c>
      <c r="D113" s="7">
        <v>210.89</v>
      </c>
      <c r="E113" t="s">
        <v>302</v>
      </c>
      <c r="F113" t="s">
        <v>567</v>
      </c>
      <c r="I113" t="s">
        <v>875</v>
      </c>
      <c r="J113">
        <v>1146</v>
      </c>
    </row>
    <row r="114" spans="1:10" x14ac:dyDescent="0.3">
      <c r="A114" t="s">
        <v>570</v>
      </c>
      <c r="B114">
        <v>5</v>
      </c>
      <c r="C114">
        <v>15</v>
      </c>
      <c r="D114" s="7">
        <v>162.22999999999999</v>
      </c>
      <c r="E114" t="s">
        <v>305</v>
      </c>
      <c r="F114" t="s">
        <v>567</v>
      </c>
      <c r="I114" t="s">
        <v>880</v>
      </c>
      <c r="J114">
        <v>1152</v>
      </c>
    </row>
    <row r="115" spans="1:10" x14ac:dyDescent="0.3">
      <c r="A115" t="s">
        <v>570</v>
      </c>
      <c r="B115">
        <v>5</v>
      </c>
      <c r="C115">
        <v>16</v>
      </c>
      <c r="D115" s="7">
        <v>204.24</v>
      </c>
      <c r="E115" t="s">
        <v>306</v>
      </c>
      <c r="F115" t="s">
        <v>567</v>
      </c>
      <c r="I115" t="s">
        <v>881</v>
      </c>
      <c r="J115">
        <v>1153</v>
      </c>
    </row>
    <row r="116" spans="1:10" x14ac:dyDescent="0.3">
      <c r="A116" t="s">
        <v>570</v>
      </c>
      <c r="B116">
        <v>5</v>
      </c>
      <c r="C116">
        <v>17</v>
      </c>
      <c r="D116" s="7">
        <v>182.23</v>
      </c>
      <c r="E116" t="s">
        <v>308</v>
      </c>
      <c r="F116" t="s">
        <v>567</v>
      </c>
      <c r="I116" t="s">
        <v>886</v>
      </c>
      <c r="J116">
        <v>1158</v>
      </c>
    </row>
    <row r="117" spans="1:10" x14ac:dyDescent="0.3">
      <c r="A117" t="s">
        <v>570</v>
      </c>
      <c r="B117">
        <v>5</v>
      </c>
      <c r="C117">
        <v>18</v>
      </c>
      <c r="D117" s="7">
        <v>675</v>
      </c>
      <c r="E117" t="s">
        <v>311</v>
      </c>
      <c r="F117" t="s">
        <v>567</v>
      </c>
      <c r="I117" t="s">
        <v>890</v>
      </c>
      <c r="J117">
        <v>1162</v>
      </c>
    </row>
    <row r="118" spans="1:10" x14ac:dyDescent="0.3">
      <c r="A118" t="s">
        <v>570</v>
      </c>
      <c r="B118">
        <v>5</v>
      </c>
      <c r="C118">
        <v>19</v>
      </c>
      <c r="D118" s="7">
        <v>167.5</v>
      </c>
      <c r="E118" t="s">
        <v>312</v>
      </c>
      <c r="F118" t="s">
        <v>567</v>
      </c>
      <c r="I118" t="s">
        <v>892</v>
      </c>
      <c r="J118">
        <v>1164</v>
      </c>
    </row>
    <row r="119" spans="1:10" x14ac:dyDescent="0.3">
      <c r="A119" t="s">
        <v>570</v>
      </c>
      <c r="B119">
        <v>5</v>
      </c>
      <c r="C119">
        <v>20</v>
      </c>
      <c r="D119" s="7">
        <v>279.92</v>
      </c>
      <c r="E119" t="s">
        <v>314</v>
      </c>
      <c r="F119" t="s">
        <v>567</v>
      </c>
      <c r="I119" t="s">
        <v>895</v>
      </c>
      <c r="J119">
        <v>1167</v>
      </c>
    </row>
    <row r="120" spans="1:10" x14ac:dyDescent="0.3">
      <c r="A120" t="s">
        <v>570</v>
      </c>
      <c r="B120">
        <v>5</v>
      </c>
      <c r="C120">
        <v>21</v>
      </c>
      <c r="D120" s="7">
        <v>110</v>
      </c>
      <c r="E120" t="s">
        <v>315</v>
      </c>
      <c r="F120" t="s">
        <v>567</v>
      </c>
      <c r="I120" t="s">
        <v>896</v>
      </c>
    </row>
    <row r="121" spans="1:10" x14ac:dyDescent="0.3">
      <c r="A121" t="s">
        <v>570</v>
      </c>
      <c r="B121">
        <v>5</v>
      </c>
      <c r="C121">
        <v>22</v>
      </c>
      <c r="D121" s="7">
        <v>356.07</v>
      </c>
      <c r="E121" t="s">
        <v>323</v>
      </c>
      <c r="F121" t="s">
        <v>567</v>
      </c>
      <c r="I121" t="s">
        <v>906</v>
      </c>
      <c r="J121">
        <v>1178</v>
      </c>
    </row>
    <row r="122" spans="1:10" x14ac:dyDescent="0.3">
      <c r="A122" t="s">
        <v>570</v>
      </c>
      <c r="B122">
        <v>5</v>
      </c>
      <c r="C122">
        <v>23</v>
      </c>
      <c r="D122" s="7">
        <v>135.54</v>
      </c>
      <c r="E122" t="s">
        <v>324</v>
      </c>
      <c r="F122" t="s">
        <v>567</v>
      </c>
      <c r="I122" t="s">
        <v>907</v>
      </c>
      <c r="J122">
        <v>1179</v>
      </c>
    </row>
    <row r="123" spans="1:10" x14ac:dyDescent="0.3">
      <c r="A123" t="s">
        <v>570</v>
      </c>
      <c r="B123">
        <v>5</v>
      </c>
      <c r="C123">
        <v>24</v>
      </c>
      <c r="D123" s="7">
        <v>520</v>
      </c>
      <c r="E123" t="s">
        <v>327</v>
      </c>
      <c r="F123" t="s">
        <v>567</v>
      </c>
      <c r="I123" t="s">
        <v>910</v>
      </c>
      <c r="J123">
        <v>1182</v>
      </c>
    </row>
    <row r="124" spans="1:10" x14ac:dyDescent="0.3">
      <c r="A124" t="s">
        <v>570</v>
      </c>
      <c r="B124">
        <v>5</v>
      </c>
      <c r="C124">
        <v>25</v>
      </c>
      <c r="D124" s="7">
        <v>356.07</v>
      </c>
      <c r="E124" t="s">
        <v>328</v>
      </c>
      <c r="F124" t="s">
        <v>567</v>
      </c>
      <c r="I124" t="s">
        <v>911</v>
      </c>
      <c r="J124">
        <v>1183</v>
      </c>
    </row>
    <row r="125" spans="1:10" x14ac:dyDescent="0.3">
      <c r="A125" t="s">
        <v>570</v>
      </c>
      <c r="B125">
        <v>5</v>
      </c>
      <c r="C125">
        <v>26</v>
      </c>
      <c r="D125" s="7">
        <v>219.64</v>
      </c>
      <c r="E125" t="s">
        <v>329</v>
      </c>
      <c r="F125" t="s">
        <v>567</v>
      </c>
      <c r="I125" t="s">
        <v>912</v>
      </c>
      <c r="J125">
        <v>1184</v>
      </c>
    </row>
    <row r="126" spans="1:10" x14ac:dyDescent="0.3">
      <c r="A126" t="s">
        <v>570</v>
      </c>
      <c r="B126">
        <v>5</v>
      </c>
      <c r="C126">
        <v>27</v>
      </c>
      <c r="D126" s="7">
        <v>279.92</v>
      </c>
      <c r="E126" t="s">
        <v>330</v>
      </c>
      <c r="F126" t="s">
        <v>567</v>
      </c>
      <c r="I126" t="s">
        <v>913</v>
      </c>
      <c r="J126">
        <v>1185</v>
      </c>
    </row>
    <row r="127" spans="1:10" x14ac:dyDescent="0.3">
      <c r="A127" t="s">
        <v>570</v>
      </c>
      <c r="B127">
        <v>5</v>
      </c>
      <c r="C127">
        <v>28</v>
      </c>
      <c r="D127" s="7">
        <v>356.07</v>
      </c>
      <c r="E127" t="s">
        <v>332</v>
      </c>
      <c r="F127" t="s">
        <v>567</v>
      </c>
      <c r="I127" t="s">
        <v>915</v>
      </c>
      <c r="J127">
        <v>1187</v>
      </c>
    </row>
    <row r="128" spans="1:10" x14ac:dyDescent="0.3">
      <c r="A128" t="s">
        <v>570</v>
      </c>
      <c r="B128">
        <v>5</v>
      </c>
      <c r="C128">
        <v>29</v>
      </c>
      <c r="D128" s="7">
        <v>486.02</v>
      </c>
      <c r="E128" t="s">
        <v>333</v>
      </c>
      <c r="F128" t="s">
        <v>567</v>
      </c>
      <c r="I128" t="s">
        <v>916</v>
      </c>
      <c r="J128">
        <v>1188</v>
      </c>
    </row>
    <row r="129" spans="1:10" x14ac:dyDescent="0.3">
      <c r="A129" t="s">
        <v>570</v>
      </c>
      <c r="B129">
        <v>5</v>
      </c>
      <c r="C129">
        <v>30</v>
      </c>
      <c r="D129" s="7">
        <v>279.92</v>
      </c>
      <c r="E129" t="s">
        <v>334</v>
      </c>
      <c r="F129" t="s">
        <v>567</v>
      </c>
      <c r="I129" t="s">
        <v>917</v>
      </c>
      <c r="J129">
        <v>1189</v>
      </c>
    </row>
    <row r="130" spans="1:10" x14ac:dyDescent="0.3">
      <c r="A130" t="s">
        <v>570</v>
      </c>
      <c r="B130">
        <v>5</v>
      </c>
      <c r="C130">
        <v>31</v>
      </c>
      <c r="D130" s="7">
        <v>647.12</v>
      </c>
      <c r="E130" t="s">
        <v>335</v>
      </c>
      <c r="F130" t="s">
        <v>567</v>
      </c>
      <c r="I130" t="s">
        <v>918</v>
      </c>
      <c r="J130">
        <v>1190</v>
      </c>
    </row>
    <row r="131" spans="1:10" x14ac:dyDescent="0.3">
      <c r="A131" t="s">
        <v>570</v>
      </c>
      <c r="B131">
        <v>5</v>
      </c>
      <c r="C131">
        <v>32</v>
      </c>
      <c r="D131" s="7">
        <v>216.43</v>
      </c>
      <c r="E131" t="s">
        <v>336</v>
      </c>
      <c r="F131" t="s">
        <v>567</v>
      </c>
      <c r="I131" t="s">
        <v>919</v>
      </c>
      <c r="J131">
        <v>1191</v>
      </c>
    </row>
    <row r="132" spans="1:10" x14ac:dyDescent="0.3">
      <c r="A132" t="s">
        <v>570</v>
      </c>
      <c r="B132">
        <v>5</v>
      </c>
      <c r="C132">
        <v>33</v>
      </c>
      <c r="D132" s="7">
        <v>356.07</v>
      </c>
      <c r="E132" t="s">
        <v>338</v>
      </c>
      <c r="F132" t="s">
        <v>567</v>
      </c>
      <c r="I132" t="s">
        <v>921</v>
      </c>
      <c r="J132">
        <v>1193</v>
      </c>
    </row>
    <row r="133" spans="1:10" x14ac:dyDescent="0.3">
      <c r="A133" t="s">
        <v>570</v>
      </c>
      <c r="B133">
        <v>5</v>
      </c>
      <c r="C133">
        <v>34</v>
      </c>
      <c r="D133" s="7">
        <v>425</v>
      </c>
      <c r="E133" t="s">
        <v>339</v>
      </c>
      <c r="F133" t="s">
        <v>567</v>
      </c>
      <c r="I133" t="s">
        <v>922</v>
      </c>
    </row>
    <row r="134" spans="1:10" x14ac:dyDescent="0.3">
      <c r="A134" t="s">
        <v>570</v>
      </c>
      <c r="B134">
        <v>5</v>
      </c>
      <c r="C134">
        <v>35</v>
      </c>
      <c r="D134" s="7">
        <v>365</v>
      </c>
      <c r="E134" t="s">
        <v>340</v>
      </c>
      <c r="F134" t="s">
        <v>567</v>
      </c>
      <c r="I134" t="s">
        <v>923</v>
      </c>
      <c r="J134">
        <v>1195</v>
      </c>
    </row>
    <row r="135" spans="1:10" x14ac:dyDescent="0.3">
      <c r="A135" t="s">
        <v>570</v>
      </c>
      <c r="B135">
        <v>5</v>
      </c>
      <c r="C135">
        <v>36</v>
      </c>
      <c r="D135" s="7">
        <v>356.07</v>
      </c>
      <c r="E135" t="s">
        <v>341</v>
      </c>
      <c r="F135" t="s">
        <v>567</v>
      </c>
      <c r="I135" t="s">
        <v>924</v>
      </c>
      <c r="J135">
        <v>1196</v>
      </c>
    </row>
    <row r="136" spans="1:10" x14ac:dyDescent="0.3">
      <c r="A136" t="s">
        <v>570</v>
      </c>
      <c r="B136">
        <v>5</v>
      </c>
      <c r="C136">
        <v>37</v>
      </c>
      <c r="D136" s="7">
        <v>467.97</v>
      </c>
      <c r="E136" t="s">
        <v>342</v>
      </c>
      <c r="F136" t="s">
        <v>567</v>
      </c>
      <c r="I136" t="s">
        <v>925</v>
      </c>
      <c r="J136">
        <v>1197</v>
      </c>
    </row>
    <row r="137" spans="1:10" x14ac:dyDescent="0.3">
      <c r="A137" t="s">
        <v>570</v>
      </c>
      <c r="B137">
        <v>5</v>
      </c>
      <c r="C137">
        <v>38</v>
      </c>
      <c r="D137" s="7">
        <v>445</v>
      </c>
      <c r="E137" t="s">
        <v>344</v>
      </c>
      <c r="F137" t="s">
        <v>567</v>
      </c>
      <c r="I137" t="s">
        <v>927</v>
      </c>
      <c r="J137">
        <v>1199</v>
      </c>
    </row>
    <row r="138" spans="1:10" x14ac:dyDescent="0.3">
      <c r="A138" t="s">
        <v>570</v>
      </c>
      <c r="B138">
        <v>5</v>
      </c>
      <c r="C138">
        <v>39</v>
      </c>
      <c r="D138" s="7">
        <v>648.39</v>
      </c>
      <c r="E138" t="s">
        <v>345</v>
      </c>
      <c r="F138" t="s">
        <v>567</v>
      </c>
      <c r="I138" t="s">
        <v>928</v>
      </c>
      <c r="J138">
        <v>1200</v>
      </c>
    </row>
    <row r="139" spans="1:10" x14ac:dyDescent="0.3">
      <c r="A139" t="s">
        <v>570</v>
      </c>
      <c r="B139">
        <v>5</v>
      </c>
      <c r="C139">
        <v>40</v>
      </c>
      <c r="D139" s="7">
        <v>648.39</v>
      </c>
      <c r="E139" t="s">
        <v>345</v>
      </c>
      <c r="F139" t="s">
        <v>567</v>
      </c>
      <c r="I139" t="s">
        <v>928</v>
      </c>
      <c r="J139">
        <v>1201</v>
      </c>
    </row>
    <row r="140" spans="1:10" x14ac:dyDescent="0.3">
      <c r="A140" t="s">
        <v>570</v>
      </c>
      <c r="B140">
        <v>5</v>
      </c>
      <c r="C140">
        <v>41</v>
      </c>
      <c r="D140" s="7">
        <v>675</v>
      </c>
      <c r="E140" t="s">
        <v>346</v>
      </c>
      <c r="F140" t="s">
        <v>567</v>
      </c>
      <c r="I140" t="s">
        <v>929</v>
      </c>
      <c r="J140">
        <v>1202</v>
      </c>
    </row>
    <row r="141" spans="1:10" x14ac:dyDescent="0.3">
      <c r="A141" t="s">
        <v>570</v>
      </c>
      <c r="B141">
        <v>5</v>
      </c>
      <c r="C141">
        <v>42</v>
      </c>
      <c r="D141" s="7">
        <v>118.04</v>
      </c>
      <c r="E141" t="s">
        <v>347</v>
      </c>
      <c r="F141" t="s">
        <v>567</v>
      </c>
      <c r="I141" t="s">
        <v>930</v>
      </c>
      <c r="J141">
        <v>1203</v>
      </c>
    </row>
    <row r="142" spans="1:10" x14ac:dyDescent="0.3">
      <c r="A142" t="s">
        <v>570</v>
      </c>
      <c r="B142">
        <v>5</v>
      </c>
      <c r="C142">
        <v>43</v>
      </c>
      <c r="D142" s="7">
        <v>486.02</v>
      </c>
      <c r="E142" t="s">
        <v>348</v>
      </c>
      <c r="F142" t="s">
        <v>567</v>
      </c>
      <c r="I142" t="s">
        <v>931</v>
      </c>
    </row>
    <row r="143" spans="1:10" x14ac:dyDescent="0.3">
      <c r="A143" t="s">
        <v>570</v>
      </c>
      <c r="B143">
        <v>5</v>
      </c>
      <c r="C143">
        <v>44</v>
      </c>
      <c r="D143" s="7">
        <v>356.07</v>
      </c>
      <c r="E143" t="s">
        <v>349</v>
      </c>
      <c r="F143" t="s">
        <v>567</v>
      </c>
      <c r="I143" t="s">
        <v>932</v>
      </c>
      <c r="J143">
        <v>1205</v>
      </c>
    </row>
    <row r="144" spans="1:10" x14ac:dyDescent="0.3">
      <c r="A144" t="s">
        <v>570</v>
      </c>
      <c r="B144">
        <v>5</v>
      </c>
      <c r="C144">
        <v>45</v>
      </c>
      <c r="D144" s="7">
        <v>478.22</v>
      </c>
      <c r="E144" t="s">
        <v>350</v>
      </c>
      <c r="F144" t="s">
        <v>567</v>
      </c>
      <c r="I144" t="s">
        <v>933</v>
      </c>
      <c r="J144">
        <v>1206</v>
      </c>
    </row>
    <row r="145" spans="1:10" x14ac:dyDescent="0.3">
      <c r="A145" t="s">
        <v>570</v>
      </c>
      <c r="B145">
        <v>5</v>
      </c>
      <c r="C145">
        <v>46</v>
      </c>
      <c r="D145" s="7">
        <v>219.64</v>
      </c>
      <c r="E145" t="s">
        <v>351</v>
      </c>
      <c r="F145" t="s">
        <v>567</v>
      </c>
      <c r="I145" t="s">
        <v>934</v>
      </c>
      <c r="J145">
        <v>1207</v>
      </c>
    </row>
    <row r="146" spans="1:10" x14ac:dyDescent="0.3">
      <c r="A146" t="s">
        <v>570</v>
      </c>
      <c r="B146">
        <v>5</v>
      </c>
      <c r="C146">
        <v>47</v>
      </c>
      <c r="D146" s="7">
        <v>675</v>
      </c>
      <c r="E146" t="s">
        <v>352</v>
      </c>
      <c r="F146" t="s">
        <v>567</v>
      </c>
      <c r="I146" t="s">
        <v>935</v>
      </c>
      <c r="J146">
        <v>1208</v>
      </c>
    </row>
    <row r="147" spans="1:10" x14ac:dyDescent="0.3">
      <c r="A147" t="s">
        <v>570</v>
      </c>
      <c r="B147">
        <v>5</v>
      </c>
      <c r="C147">
        <v>48</v>
      </c>
      <c r="D147" s="7">
        <v>356.07</v>
      </c>
      <c r="E147" t="s">
        <v>356</v>
      </c>
      <c r="F147" t="s">
        <v>567</v>
      </c>
      <c r="I147" t="s">
        <v>939</v>
      </c>
      <c r="J147">
        <v>1212</v>
      </c>
    </row>
    <row r="148" spans="1:10" x14ac:dyDescent="0.3">
      <c r="A148" t="s">
        <v>570</v>
      </c>
      <c r="B148">
        <v>5</v>
      </c>
      <c r="C148">
        <v>49</v>
      </c>
      <c r="D148" s="7">
        <v>356.07</v>
      </c>
      <c r="E148" t="s">
        <v>357</v>
      </c>
      <c r="F148" t="s">
        <v>567</v>
      </c>
      <c r="I148" t="s">
        <v>940</v>
      </c>
      <c r="J148">
        <v>1213</v>
      </c>
    </row>
    <row r="149" spans="1:10" x14ac:dyDescent="0.3">
      <c r="A149" t="s">
        <v>570</v>
      </c>
      <c r="B149">
        <v>5</v>
      </c>
      <c r="C149">
        <v>50</v>
      </c>
      <c r="D149" s="7">
        <v>356.07</v>
      </c>
      <c r="E149" t="s">
        <v>359</v>
      </c>
      <c r="F149" t="s">
        <v>567</v>
      </c>
      <c r="I149" t="s">
        <v>942</v>
      </c>
      <c r="J149">
        <v>1215</v>
      </c>
    </row>
    <row r="150" spans="1:10" x14ac:dyDescent="0.3">
      <c r="A150" t="s">
        <v>570</v>
      </c>
      <c r="B150">
        <v>5</v>
      </c>
      <c r="C150">
        <v>51</v>
      </c>
      <c r="D150" s="7">
        <v>356.07</v>
      </c>
      <c r="E150" t="s">
        <v>360</v>
      </c>
      <c r="F150" t="s">
        <v>567</v>
      </c>
      <c r="I150" t="s">
        <v>943</v>
      </c>
      <c r="J150">
        <v>1216</v>
      </c>
    </row>
    <row r="151" spans="1:10" x14ac:dyDescent="0.3">
      <c r="A151" t="s">
        <v>570</v>
      </c>
      <c r="B151">
        <v>5</v>
      </c>
      <c r="C151">
        <v>52</v>
      </c>
      <c r="D151" s="7">
        <v>638.73</v>
      </c>
      <c r="E151" t="s">
        <v>361</v>
      </c>
      <c r="F151" t="s">
        <v>567</v>
      </c>
      <c r="I151" t="s">
        <v>944</v>
      </c>
    </row>
    <row r="152" spans="1:10" x14ac:dyDescent="0.3">
      <c r="A152" t="s">
        <v>570</v>
      </c>
      <c r="B152">
        <v>5</v>
      </c>
      <c r="C152">
        <v>53</v>
      </c>
      <c r="D152" s="7">
        <v>486.02</v>
      </c>
      <c r="E152" t="s">
        <v>365</v>
      </c>
      <c r="F152" t="s">
        <v>567</v>
      </c>
      <c r="I152" t="s">
        <v>948</v>
      </c>
      <c r="J152">
        <v>1221</v>
      </c>
    </row>
    <row r="153" spans="1:10" x14ac:dyDescent="0.3">
      <c r="A153" t="s">
        <v>570</v>
      </c>
      <c r="B153">
        <v>5</v>
      </c>
      <c r="C153">
        <v>54</v>
      </c>
      <c r="D153" s="7">
        <v>356.07</v>
      </c>
      <c r="E153" t="s">
        <v>366</v>
      </c>
      <c r="F153" t="s">
        <v>567</v>
      </c>
      <c r="I153" t="s">
        <v>949</v>
      </c>
      <c r="J153">
        <v>1222</v>
      </c>
    </row>
    <row r="154" spans="1:10" x14ac:dyDescent="0.3">
      <c r="A154" t="s">
        <v>570</v>
      </c>
      <c r="B154">
        <v>5</v>
      </c>
      <c r="C154">
        <v>55</v>
      </c>
      <c r="D154" s="7">
        <v>481.02</v>
      </c>
      <c r="E154" t="s">
        <v>367</v>
      </c>
      <c r="F154" t="s">
        <v>567</v>
      </c>
      <c r="I154" t="s">
        <v>950</v>
      </c>
      <c r="J154">
        <v>1223</v>
      </c>
    </row>
    <row r="155" spans="1:10" x14ac:dyDescent="0.3">
      <c r="A155" t="s">
        <v>570</v>
      </c>
      <c r="B155">
        <v>5</v>
      </c>
      <c r="C155">
        <v>56</v>
      </c>
      <c r="D155" s="7">
        <v>356.07</v>
      </c>
      <c r="E155" t="s">
        <v>369</v>
      </c>
      <c r="F155" t="s">
        <v>567</v>
      </c>
      <c r="I155" t="s">
        <v>952</v>
      </c>
      <c r="J155">
        <v>1225</v>
      </c>
    </row>
    <row r="156" spans="1:10" x14ac:dyDescent="0.3">
      <c r="A156" t="s">
        <v>570</v>
      </c>
      <c r="B156">
        <v>5</v>
      </c>
      <c r="C156">
        <v>57</v>
      </c>
      <c r="D156" s="7">
        <v>520</v>
      </c>
      <c r="E156" t="s">
        <v>370</v>
      </c>
      <c r="F156" t="s">
        <v>567</v>
      </c>
      <c r="I156" t="s">
        <v>953</v>
      </c>
      <c r="J156">
        <v>1226</v>
      </c>
    </row>
    <row r="157" spans="1:10" x14ac:dyDescent="0.3">
      <c r="A157" t="s">
        <v>570</v>
      </c>
      <c r="B157">
        <v>5</v>
      </c>
      <c r="C157">
        <v>58</v>
      </c>
      <c r="D157" s="7">
        <v>471.02</v>
      </c>
      <c r="E157" t="s">
        <v>371</v>
      </c>
      <c r="F157" t="s">
        <v>567</v>
      </c>
      <c r="I157" t="s">
        <v>954</v>
      </c>
      <c r="J157">
        <v>1227</v>
      </c>
    </row>
    <row r="158" spans="1:10" x14ac:dyDescent="0.3">
      <c r="A158" t="s">
        <v>570</v>
      </c>
      <c r="B158">
        <v>5</v>
      </c>
      <c r="C158">
        <v>59</v>
      </c>
      <c r="D158" s="7">
        <v>687.03</v>
      </c>
      <c r="E158" t="s">
        <v>372</v>
      </c>
      <c r="F158" t="s">
        <v>567</v>
      </c>
      <c r="I158" t="s">
        <v>955</v>
      </c>
      <c r="J158">
        <v>1228</v>
      </c>
    </row>
    <row r="159" spans="1:10" x14ac:dyDescent="0.3">
      <c r="A159" t="s">
        <v>570</v>
      </c>
      <c r="B159">
        <v>5</v>
      </c>
      <c r="C159">
        <v>60</v>
      </c>
      <c r="D159" s="7">
        <v>357.05</v>
      </c>
      <c r="E159" t="s">
        <v>374</v>
      </c>
      <c r="F159" t="s">
        <v>567</v>
      </c>
      <c r="I159" t="s">
        <v>957</v>
      </c>
      <c r="J159">
        <v>1230</v>
      </c>
    </row>
    <row r="160" spans="1:10" x14ac:dyDescent="0.3">
      <c r="A160" t="s">
        <v>570</v>
      </c>
      <c r="B160">
        <v>5</v>
      </c>
      <c r="C160">
        <v>61</v>
      </c>
      <c r="D160" s="7">
        <v>464.07</v>
      </c>
      <c r="E160" t="s">
        <v>375</v>
      </c>
      <c r="F160" t="s">
        <v>567</v>
      </c>
      <c r="I160" t="s">
        <v>958</v>
      </c>
    </row>
    <row r="161" spans="1:10" x14ac:dyDescent="0.3">
      <c r="A161" t="s">
        <v>570</v>
      </c>
      <c r="B161">
        <v>5</v>
      </c>
      <c r="C161">
        <v>62</v>
      </c>
      <c r="D161" s="7">
        <v>280</v>
      </c>
      <c r="E161" t="s">
        <v>376</v>
      </c>
      <c r="F161" t="s">
        <v>567</v>
      </c>
      <c r="I161" t="s">
        <v>959</v>
      </c>
      <c r="J161">
        <v>1232</v>
      </c>
    </row>
    <row r="162" spans="1:10" x14ac:dyDescent="0.3">
      <c r="A162" t="s">
        <v>570</v>
      </c>
      <c r="B162">
        <v>5</v>
      </c>
      <c r="C162">
        <v>63</v>
      </c>
      <c r="D162" s="7">
        <v>357.05</v>
      </c>
      <c r="E162" t="s">
        <v>377</v>
      </c>
      <c r="F162" t="s">
        <v>567</v>
      </c>
      <c r="I162" t="s">
        <v>960</v>
      </c>
      <c r="J162">
        <v>1233</v>
      </c>
    </row>
    <row r="163" spans="1:10" x14ac:dyDescent="0.3">
      <c r="A163" t="s">
        <v>570</v>
      </c>
      <c r="B163">
        <v>5</v>
      </c>
      <c r="C163">
        <v>64</v>
      </c>
      <c r="D163" s="7">
        <v>357.05</v>
      </c>
      <c r="E163" t="s">
        <v>380</v>
      </c>
      <c r="F163" t="s">
        <v>567</v>
      </c>
      <c r="I163" t="s">
        <v>963</v>
      </c>
      <c r="J163">
        <v>1236</v>
      </c>
    </row>
    <row r="164" spans="1:10" x14ac:dyDescent="0.3">
      <c r="A164" t="s">
        <v>570</v>
      </c>
      <c r="B164">
        <v>5</v>
      </c>
      <c r="C164">
        <v>65</v>
      </c>
      <c r="D164" s="7">
        <v>118.57</v>
      </c>
      <c r="E164" t="s">
        <v>390</v>
      </c>
      <c r="F164" t="s">
        <v>567</v>
      </c>
      <c r="I164" t="s">
        <v>973</v>
      </c>
    </row>
    <row r="165" spans="1:10" x14ac:dyDescent="0.3">
      <c r="A165" t="s">
        <v>570</v>
      </c>
      <c r="B165">
        <v>5</v>
      </c>
      <c r="C165">
        <v>66</v>
      </c>
      <c r="D165" s="7">
        <v>118.57</v>
      </c>
      <c r="E165" t="s">
        <v>391</v>
      </c>
      <c r="F165" t="s">
        <v>567</v>
      </c>
      <c r="I165" t="s">
        <v>974</v>
      </c>
    </row>
    <row r="166" spans="1:10" x14ac:dyDescent="0.3">
      <c r="A166" t="s">
        <v>570</v>
      </c>
      <c r="B166">
        <v>5</v>
      </c>
      <c r="C166">
        <v>67</v>
      </c>
      <c r="D166" s="7">
        <v>208.57</v>
      </c>
      <c r="E166" t="s">
        <v>392</v>
      </c>
      <c r="F166" t="s">
        <v>567</v>
      </c>
      <c r="I166" t="s">
        <v>975</v>
      </c>
    </row>
    <row r="167" spans="1:10" x14ac:dyDescent="0.3">
      <c r="A167" t="s">
        <v>570</v>
      </c>
      <c r="B167">
        <v>5</v>
      </c>
      <c r="C167">
        <v>68</v>
      </c>
      <c r="D167" s="7">
        <v>208.57</v>
      </c>
      <c r="E167" t="s">
        <v>393</v>
      </c>
      <c r="F167" t="s">
        <v>567</v>
      </c>
      <c r="I167" t="s">
        <v>976</v>
      </c>
    </row>
    <row r="168" spans="1:10" x14ac:dyDescent="0.3">
      <c r="A168" t="s">
        <v>570</v>
      </c>
      <c r="B168">
        <v>5</v>
      </c>
      <c r="C168">
        <v>69</v>
      </c>
      <c r="D168" s="7">
        <v>208.57</v>
      </c>
      <c r="E168" t="s">
        <v>394</v>
      </c>
      <c r="F168" t="s">
        <v>567</v>
      </c>
      <c r="I168" t="s">
        <v>977</v>
      </c>
    </row>
    <row r="169" spans="1:10" x14ac:dyDescent="0.3">
      <c r="A169" t="s">
        <v>570</v>
      </c>
      <c r="B169">
        <v>5</v>
      </c>
      <c r="C169">
        <v>70</v>
      </c>
      <c r="D169" s="7">
        <v>123.57</v>
      </c>
      <c r="E169" t="s">
        <v>411</v>
      </c>
      <c r="F169" t="s">
        <v>567</v>
      </c>
      <c r="I169" t="s">
        <v>994</v>
      </c>
      <c r="J169">
        <v>1267</v>
      </c>
    </row>
    <row r="170" spans="1:10" x14ac:dyDescent="0.3">
      <c r="A170" t="s">
        <v>570</v>
      </c>
      <c r="B170">
        <v>5</v>
      </c>
      <c r="C170">
        <v>71</v>
      </c>
      <c r="D170" s="7">
        <v>357.05</v>
      </c>
      <c r="E170" t="s">
        <v>421</v>
      </c>
      <c r="F170" t="s">
        <v>567</v>
      </c>
      <c r="I170" t="s">
        <v>1004</v>
      </c>
      <c r="J170">
        <v>1277</v>
      </c>
    </row>
    <row r="171" spans="1:10" x14ac:dyDescent="0.3">
      <c r="A171" t="s">
        <v>570</v>
      </c>
      <c r="B171">
        <v>5</v>
      </c>
      <c r="C171">
        <v>72</v>
      </c>
      <c r="D171" s="7">
        <v>178.57</v>
      </c>
      <c r="E171" t="s">
        <v>422</v>
      </c>
      <c r="F171" t="s">
        <v>567</v>
      </c>
      <c r="I171" t="s">
        <v>1005</v>
      </c>
      <c r="J171">
        <v>1278</v>
      </c>
    </row>
    <row r="172" spans="1:10" x14ac:dyDescent="0.3">
      <c r="A172" t="s">
        <v>570</v>
      </c>
      <c r="B172">
        <v>5</v>
      </c>
      <c r="C172">
        <v>73</v>
      </c>
      <c r="D172" s="7">
        <v>178.64</v>
      </c>
      <c r="E172" t="s">
        <v>423</v>
      </c>
      <c r="F172" t="s">
        <v>567</v>
      </c>
      <c r="I172" t="s">
        <v>1006</v>
      </c>
      <c r="J172">
        <v>1279</v>
      </c>
    </row>
    <row r="173" spans="1:10" x14ac:dyDescent="0.3">
      <c r="A173" t="s">
        <v>570</v>
      </c>
      <c r="B173">
        <v>5</v>
      </c>
      <c r="C173">
        <v>74</v>
      </c>
      <c r="D173" s="7">
        <v>86.44</v>
      </c>
      <c r="E173" t="s">
        <v>426</v>
      </c>
      <c r="F173" t="s">
        <v>567</v>
      </c>
      <c r="I173" t="s">
        <v>1009</v>
      </c>
      <c r="J173">
        <v>1282</v>
      </c>
    </row>
    <row r="174" spans="1:10" x14ac:dyDescent="0.3">
      <c r="A174" t="s">
        <v>570</v>
      </c>
      <c r="B174">
        <v>5</v>
      </c>
      <c r="C174">
        <v>75</v>
      </c>
      <c r="D174" s="7">
        <v>169.29</v>
      </c>
      <c r="E174" t="s">
        <v>427</v>
      </c>
      <c r="F174" t="s">
        <v>567</v>
      </c>
      <c r="I174" t="s">
        <v>1010</v>
      </c>
      <c r="J174">
        <v>1283</v>
      </c>
    </row>
    <row r="175" spans="1:10" x14ac:dyDescent="0.3">
      <c r="A175" t="s">
        <v>570</v>
      </c>
      <c r="B175">
        <v>5</v>
      </c>
      <c r="C175">
        <v>76</v>
      </c>
      <c r="D175" s="7">
        <v>183.12</v>
      </c>
      <c r="E175" t="s">
        <v>428</v>
      </c>
      <c r="F175" t="s">
        <v>567</v>
      </c>
      <c r="I175" t="s">
        <v>1011</v>
      </c>
      <c r="J175">
        <v>1284</v>
      </c>
    </row>
    <row r="176" spans="1:10" x14ac:dyDescent="0.3">
      <c r="A176" t="s">
        <v>570</v>
      </c>
      <c r="B176">
        <v>5</v>
      </c>
      <c r="C176">
        <v>77</v>
      </c>
      <c r="D176" s="7">
        <v>168.21</v>
      </c>
      <c r="E176" t="s">
        <v>429</v>
      </c>
      <c r="F176" t="s">
        <v>567</v>
      </c>
      <c r="I176" t="s">
        <v>1012</v>
      </c>
      <c r="J176">
        <v>1285</v>
      </c>
    </row>
    <row r="177" spans="1:10" x14ac:dyDescent="0.3">
      <c r="A177" t="s">
        <v>570</v>
      </c>
      <c r="B177">
        <v>5</v>
      </c>
      <c r="C177">
        <v>78</v>
      </c>
      <c r="D177" s="7">
        <v>166.61</v>
      </c>
      <c r="E177" t="s">
        <v>430</v>
      </c>
      <c r="F177" t="s">
        <v>567</v>
      </c>
      <c r="I177" t="s">
        <v>1013</v>
      </c>
    </row>
    <row r="178" spans="1:10" x14ac:dyDescent="0.3">
      <c r="A178" t="s">
        <v>570</v>
      </c>
      <c r="B178">
        <v>5</v>
      </c>
      <c r="C178">
        <v>79</v>
      </c>
      <c r="D178" s="7">
        <v>100</v>
      </c>
      <c r="E178" t="s">
        <v>431</v>
      </c>
      <c r="F178" t="s">
        <v>567</v>
      </c>
      <c r="I178" t="s">
        <v>1014</v>
      </c>
    </row>
    <row r="179" spans="1:10" x14ac:dyDescent="0.3">
      <c r="A179" t="s">
        <v>570</v>
      </c>
      <c r="B179">
        <v>5</v>
      </c>
      <c r="C179">
        <v>80</v>
      </c>
      <c r="D179" s="7">
        <v>100</v>
      </c>
      <c r="E179" t="s">
        <v>432</v>
      </c>
      <c r="F179" t="s">
        <v>567</v>
      </c>
      <c r="I179" t="s">
        <v>1015</v>
      </c>
    </row>
    <row r="180" spans="1:10" x14ac:dyDescent="0.3">
      <c r="A180" t="s">
        <v>570</v>
      </c>
      <c r="B180">
        <v>5</v>
      </c>
      <c r="C180">
        <v>81</v>
      </c>
      <c r="D180" s="7">
        <v>279.91000000000003</v>
      </c>
      <c r="E180" t="s">
        <v>433</v>
      </c>
      <c r="F180" t="s">
        <v>567</v>
      </c>
      <c r="I180" t="s">
        <v>1016</v>
      </c>
      <c r="J180">
        <v>1289</v>
      </c>
    </row>
    <row r="181" spans="1:10" x14ac:dyDescent="0.3">
      <c r="A181" t="s">
        <v>570</v>
      </c>
      <c r="B181">
        <v>5</v>
      </c>
      <c r="C181">
        <v>82</v>
      </c>
      <c r="D181" s="7">
        <v>279.92</v>
      </c>
      <c r="E181" t="s">
        <v>434</v>
      </c>
      <c r="F181" t="s">
        <v>567</v>
      </c>
      <c r="I181" t="s">
        <v>1017</v>
      </c>
      <c r="J181">
        <v>1290</v>
      </c>
    </row>
    <row r="182" spans="1:10" x14ac:dyDescent="0.3">
      <c r="A182" t="s">
        <v>570</v>
      </c>
      <c r="B182">
        <v>5</v>
      </c>
      <c r="C182">
        <v>83</v>
      </c>
      <c r="D182" s="7">
        <v>275</v>
      </c>
      <c r="E182" t="s">
        <v>435</v>
      </c>
      <c r="F182" t="s">
        <v>567</v>
      </c>
      <c r="I182" t="s">
        <v>1018</v>
      </c>
      <c r="J182">
        <v>1291</v>
      </c>
    </row>
    <row r="183" spans="1:10" x14ac:dyDescent="0.3">
      <c r="A183" t="s">
        <v>570</v>
      </c>
      <c r="B183">
        <v>5</v>
      </c>
      <c r="C183">
        <v>84</v>
      </c>
      <c r="D183" s="7">
        <v>280</v>
      </c>
      <c r="E183" t="s">
        <v>436</v>
      </c>
      <c r="F183" t="s">
        <v>567</v>
      </c>
      <c r="I183" t="s">
        <v>1019</v>
      </c>
      <c r="J183">
        <v>1292</v>
      </c>
    </row>
    <row r="184" spans="1:10" x14ac:dyDescent="0.3">
      <c r="A184" t="s">
        <v>570</v>
      </c>
      <c r="B184">
        <v>5</v>
      </c>
      <c r="C184">
        <v>85</v>
      </c>
      <c r="D184" s="7">
        <v>280</v>
      </c>
      <c r="E184" t="s">
        <v>437</v>
      </c>
      <c r="F184" t="s">
        <v>567</v>
      </c>
      <c r="I184" t="s">
        <v>1020</v>
      </c>
      <c r="J184">
        <v>1293</v>
      </c>
    </row>
    <row r="185" spans="1:10" x14ac:dyDescent="0.3">
      <c r="A185" t="s">
        <v>570</v>
      </c>
      <c r="B185">
        <v>5</v>
      </c>
      <c r="C185">
        <v>86</v>
      </c>
      <c r="D185" s="7">
        <v>259.92</v>
      </c>
      <c r="E185" t="s">
        <v>438</v>
      </c>
      <c r="F185" t="s">
        <v>567</v>
      </c>
      <c r="I185" t="s">
        <v>1021</v>
      </c>
      <c r="J185">
        <v>1294</v>
      </c>
    </row>
    <row r="186" spans="1:10" x14ac:dyDescent="0.3">
      <c r="A186" t="s">
        <v>570</v>
      </c>
      <c r="B186">
        <v>5</v>
      </c>
      <c r="C186">
        <v>87</v>
      </c>
      <c r="D186" s="7">
        <v>280</v>
      </c>
      <c r="E186" t="s">
        <v>439</v>
      </c>
      <c r="F186" t="s">
        <v>567</v>
      </c>
      <c r="I186" t="s">
        <v>1022</v>
      </c>
      <c r="J186">
        <v>1295</v>
      </c>
    </row>
    <row r="187" spans="1:10" x14ac:dyDescent="0.3">
      <c r="A187" t="s">
        <v>570</v>
      </c>
      <c r="B187">
        <v>5</v>
      </c>
      <c r="C187">
        <v>88</v>
      </c>
      <c r="D187" s="7">
        <v>577.03</v>
      </c>
      <c r="E187" t="s">
        <v>440</v>
      </c>
      <c r="F187" t="s">
        <v>567</v>
      </c>
      <c r="I187" t="s">
        <v>1023</v>
      </c>
      <c r="J187">
        <v>1296</v>
      </c>
    </row>
    <row r="188" spans="1:10" x14ac:dyDescent="0.3">
      <c r="A188" t="s">
        <v>570</v>
      </c>
      <c r="B188">
        <v>5</v>
      </c>
      <c r="C188">
        <v>89</v>
      </c>
      <c r="D188" s="7">
        <v>540</v>
      </c>
      <c r="E188" t="s">
        <v>441</v>
      </c>
      <c r="F188" t="s">
        <v>567</v>
      </c>
      <c r="I188" t="s">
        <v>1024</v>
      </c>
    </row>
    <row r="189" spans="1:10" x14ac:dyDescent="0.3">
      <c r="A189" t="s">
        <v>570</v>
      </c>
      <c r="B189">
        <v>5</v>
      </c>
      <c r="C189">
        <v>90</v>
      </c>
      <c r="D189" s="7">
        <v>535</v>
      </c>
      <c r="E189" t="s">
        <v>442</v>
      </c>
      <c r="F189" t="s">
        <v>567</v>
      </c>
      <c r="I189" t="s">
        <v>1025</v>
      </c>
      <c r="J189">
        <v>1298</v>
      </c>
    </row>
    <row r="190" spans="1:10" x14ac:dyDescent="0.3">
      <c r="A190" t="s">
        <v>570</v>
      </c>
      <c r="B190">
        <v>5</v>
      </c>
      <c r="C190">
        <v>91</v>
      </c>
      <c r="D190" s="7">
        <v>591.78</v>
      </c>
      <c r="E190" t="s">
        <v>443</v>
      </c>
      <c r="F190" t="s">
        <v>567</v>
      </c>
      <c r="I190" t="s">
        <v>1026</v>
      </c>
      <c r="J190">
        <v>1299</v>
      </c>
    </row>
    <row r="191" spans="1:10" x14ac:dyDescent="0.3">
      <c r="A191" t="s">
        <v>570</v>
      </c>
      <c r="B191">
        <v>5</v>
      </c>
      <c r="C191">
        <v>92</v>
      </c>
      <c r="D191" s="7">
        <v>591.78</v>
      </c>
      <c r="E191" t="s">
        <v>444</v>
      </c>
      <c r="F191" t="s">
        <v>567</v>
      </c>
      <c r="I191" t="s">
        <v>1027</v>
      </c>
      <c r="J191">
        <v>1300</v>
      </c>
    </row>
    <row r="192" spans="1:10" x14ac:dyDescent="0.3">
      <c r="A192" t="s">
        <v>570</v>
      </c>
      <c r="B192">
        <v>5</v>
      </c>
      <c r="C192">
        <v>93</v>
      </c>
      <c r="D192" s="7">
        <v>540.41999999999996</v>
      </c>
      <c r="E192" t="s">
        <v>445</v>
      </c>
      <c r="F192" t="s">
        <v>567</v>
      </c>
      <c r="I192" t="s">
        <v>1028</v>
      </c>
    </row>
    <row r="193" spans="1:9" x14ac:dyDescent="0.3">
      <c r="A193" t="s">
        <v>570</v>
      </c>
      <c r="B193">
        <v>5</v>
      </c>
      <c r="C193">
        <v>94</v>
      </c>
      <c r="D193" s="7">
        <v>964.02</v>
      </c>
      <c r="E193" t="s">
        <v>446</v>
      </c>
      <c r="F193" t="s">
        <v>567</v>
      </c>
      <c r="I193" t="s">
        <v>1029</v>
      </c>
    </row>
    <row r="194" spans="1:9" x14ac:dyDescent="0.3">
      <c r="A194" t="s">
        <v>570</v>
      </c>
      <c r="B194">
        <v>5</v>
      </c>
      <c r="C194">
        <v>95</v>
      </c>
      <c r="D194" s="7">
        <v>500</v>
      </c>
      <c r="E194" t="s">
        <v>447</v>
      </c>
      <c r="F194" t="s">
        <v>567</v>
      </c>
      <c r="I194" t="s">
        <v>1030</v>
      </c>
    </row>
    <row r="195" spans="1:9" x14ac:dyDescent="0.3">
      <c r="A195" t="s">
        <v>570</v>
      </c>
      <c r="B195">
        <v>5</v>
      </c>
      <c r="C195">
        <v>96</v>
      </c>
      <c r="D195" s="7">
        <v>1010</v>
      </c>
      <c r="E195" t="s">
        <v>448</v>
      </c>
      <c r="F195" t="s">
        <v>567</v>
      </c>
      <c r="I195" t="s">
        <v>1031</v>
      </c>
    </row>
    <row r="196" spans="1:9" x14ac:dyDescent="0.3">
      <c r="A196" t="s">
        <v>570</v>
      </c>
      <c r="B196">
        <v>5</v>
      </c>
      <c r="C196">
        <v>97</v>
      </c>
      <c r="D196" s="7">
        <v>965</v>
      </c>
      <c r="E196" t="s">
        <v>449</v>
      </c>
      <c r="F196" t="s">
        <v>567</v>
      </c>
      <c r="I196" t="s">
        <v>1032</v>
      </c>
    </row>
    <row r="197" spans="1:9" x14ac:dyDescent="0.3">
      <c r="A197" t="s">
        <v>570</v>
      </c>
      <c r="B197">
        <v>5</v>
      </c>
      <c r="C197">
        <v>98</v>
      </c>
      <c r="D197" s="7">
        <v>369.02</v>
      </c>
      <c r="E197" t="s">
        <v>450</v>
      </c>
      <c r="F197" t="s">
        <v>567</v>
      </c>
      <c r="I197" t="s">
        <v>1033</v>
      </c>
    </row>
    <row r="198" spans="1:9" x14ac:dyDescent="0.3">
      <c r="A198" t="s">
        <v>570</v>
      </c>
      <c r="B198">
        <v>5</v>
      </c>
      <c r="C198">
        <v>99</v>
      </c>
      <c r="D198" s="7">
        <v>490</v>
      </c>
      <c r="E198" t="s">
        <v>451</v>
      </c>
      <c r="F198" t="s">
        <v>567</v>
      </c>
      <c r="I198" t="s">
        <v>1034</v>
      </c>
    </row>
    <row r="199" spans="1:9" x14ac:dyDescent="0.3">
      <c r="A199" t="s">
        <v>570</v>
      </c>
      <c r="B199">
        <v>5</v>
      </c>
      <c r="C199">
        <v>100</v>
      </c>
      <c r="D199" s="7">
        <v>500</v>
      </c>
      <c r="E199" t="s">
        <v>452</v>
      </c>
      <c r="F199" t="s">
        <v>567</v>
      </c>
      <c r="I199" t="s">
        <v>1035</v>
      </c>
    </row>
    <row r="200" spans="1:9" x14ac:dyDescent="0.3">
      <c r="A200" t="s">
        <v>570</v>
      </c>
      <c r="B200">
        <v>5</v>
      </c>
      <c r="C200">
        <v>101</v>
      </c>
      <c r="D200" s="7">
        <v>655</v>
      </c>
      <c r="E200" t="s">
        <v>453</v>
      </c>
      <c r="F200" t="s">
        <v>567</v>
      </c>
      <c r="I200" t="s">
        <v>1036</v>
      </c>
    </row>
    <row r="201" spans="1:9" x14ac:dyDescent="0.3">
      <c r="A201" t="s">
        <v>570</v>
      </c>
      <c r="B201">
        <v>5</v>
      </c>
      <c r="C201">
        <v>102</v>
      </c>
      <c r="D201" s="7">
        <v>648.39</v>
      </c>
      <c r="E201" t="s">
        <v>454</v>
      </c>
      <c r="F201" t="s">
        <v>567</v>
      </c>
      <c r="I201" t="s">
        <v>1037</v>
      </c>
    </row>
    <row r="202" spans="1:9" x14ac:dyDescent="0.3">
      <c r="A202" t="s">
        <v>570</v>
      </c>
      <c r="B202">
        <v>5</v>
      </c>
      <c r="C202">
        <v>103</v>
      </c>
      <c r="D202" s="7">
        <v>642.29</v>
      </c>
      <c r="E202" t="s">
        <v>455</v>
      </c>
      <c r="F202" t="s">
        <v>567</v>
      </c>
      <c r="I202" t="s">
        <v>1038</v>
      </c>
    </row>
    <row r="203" spans="1:9" x14ac:dyDescent="0.3">
      <c r="A203" t="s">
        <v>570</v>
      </c>
      <c r="B203">
        <v>5</v>
      </c>
      <c r="C203">
        <v>104</v>
      </c>
      <c r="D203" s="7">
        <v>685</v>
      </c>
      <c r="E203" t="s">
        <v>456</v>
      </c>
      <c r="F203" t="s">
        <v>567</v>
      </c>
      <c r="I203" t="s">
        <v>1039</v>
      </c>
    </row>
    <row r="204" spans="1:9" x14ac:dyDescent="0.3">
      <c r="A204" t="s">
        <v>570</v>
      </c>
      <c r="B204">
        <v>5</v>
      </c>
      <c r="C204">
        <v>105</v>
      </c>
      <c r="D204" s="7">
        <v>642.29</v>
      </c>
      <c r="E204" t="s">
        <v>457</v>
      </c>
      <c r="F204" t="s">
        <v>567</v>
      </c>
      <c r="I204" t="s">
        <v>1040</v>
      </c>
    </row>
    <row r="205" spans="1:9" x14ac:dyDescent="0.3">
      <c r="A205" t="s">
        <v>570</v>
      </c>
      <c r="B205">
        <v>5</v>
      </c>
      <c r="C205">
        <v>106</v>
      </c>
      <c r="D205" s="7">
        <v>647.12</v>
      </c>
      <c r="E205" t="s">
        <v>458</v>
      </c>
      <c r="F205" t="s">
        <v>567</v>
      </c>
      <c r="I205" t="s">
        <v>1041</v>
      </c>
    </row>
    <row r="206" spans="1:9" x14ac:dyDescent="0.3">
      <c r="A206" t="s">
        <v>570</v>
      </c>
      <c r="B206">
        <v>5</v>
      </c>
      <c r="C206">
        <v>107</v>
      </c>
      <c r="D206" s="7">
        <v>648.22</v>
      </c>
      <c r="E206" t="s">
        <v>459</v>
      </c>
      <c r="F206" t="s">
        <v>567</v>
      </c>
      <c r="I206" t="s">
        <v>1042</v>
      </c>
    </row>
    <row r="207" spans="1:9" x14ac:dyDescent="0.3">
      <c r="A207" t="s">
        <v>570</v>
      </c>
      <c r="B207">
        <v>5</v>
      </c>
      <c r="C207">
        <v>108</v>
      </c>
      <c r="D207" s="7">
        <v>646.02</v>
      </c>
      <c r="E207" t="s">
        <v>460</v>
      </c>
      <c r="F207" t="s">
        <v>567</v>
      </c>
      <c r="I207" t="s">
        <v>1043</v>
      </c>
    </row>
    <row r="208" spans="1:9" x14ac:dyDescent="0.3">
      <c r="A208" t="s">
        <v>570</v>
      </c>
      <c r="B208">
        <v>5</v>
      </c>
      <c r="C208">
        <v>109</v>
      </c>
      <c r="D208" s="7">
        <v>590</v>
      </c>
      <c r="E208" t="s">
        <v>461</v>
      </c>
      <c r="F208" t="s">
        <v>567</v>
      </c>
      <c r="I208" t="s">
        <v>1044</v>
      </c>
    </row>
    <row r="209" spans="1:10" x14ac:dyDescent="0.3">
      <c r="A209" t="s">
        <v>570</v>
      </c>
      <c r="B209">
        <v>5</v>
      </c>
      <c r="C209">
        <v>110</v>
      </c>
      <c r="D209" s="7">
        <v>492.63</v>
      </c>
      <c r="E209" t="s">
        <v>466</v>
      </c>
      <c r="F209" t="s">
        <v>567</v>
      </c>
      <c r="I209" t="s">
        <v>1049</v>
      </c>
    </row>
    <row r="210" spans="1:10" x14ac:dyDescent="0.3">
      <c r="A210" t="s">
        <v>570</v>
      </c>
      <c r="B210">
        <v>5</v>
      </c>
      <c r="C210">
        <v>111</v>
      </c>
      <c r="D210" s="7">
        <v>527.71</v>
      </c>
      <c r="E210" t="s">
        <v>467</v>
      </c>
      <c r="F210" t="s">
        <v>567</v>
      </c>
      <c r="I210" t="s">
        <v>1050</v>
      </c>
    </row>
    <row r="211" spans="1:10" x14ac:dyDescent="0.3">
      <c r="A211" t="s">
        <v>570</v>
      </c>
      <c r="B211">
        <v>5</v>
      </c>
      <c r="C211">
        <v>112</v>
      </c>
      <c r="D211" s="7">
        <v>512.71</v>
      </c>
      <c r="E211" t="s">
        <v>468</v>
      </c>
      <c r="F211" t="s">
        <v>567</v>
      </c>
      <c r="I211" t="s">
        <v>1051</v>
      </c>
      <c r="J211">
        <v>1324</v>
      </c>
    </row>
    <row r="212" spans="1:10" x14ac:dyDescent="0.3">
      <c r="A212" t="s">
        <v>570</v>
      </c>
      <c r="B212">
        <v>5</v>
      </c>
      <c r="C212">
        <v>113</v>
      </c>
      <c r="D212" s="7">
        <v>643.55999999999995</v>
      </c>
      <c r="E212" t="s">
        <v>469</v>
      </c>
      <c r="F212" t="s">
        <v>567</v>
      </c>
      <c r="I212" t="s">
        <v>1052</v>
      </c>
      <c r="J212">
        <v>1325</v>
      </c>
    </row>
    <row r="213" spans="1:10" x14ac:dyDescent="0.3">
      <c r="A213" t="s">
        <v>570</v>
      </c>
      <c r="B213">
        <v>5</v>
      </c>
      <c r="C213">
        <v>114</v>
      </c>
      <c r="D213" s="7">
        <v>643.55999999999995</v>
      </c>
      <c r="E213" t="s">
        <v>470</v>
      </c>
      <c r="F213" t="s">
        <v>567</v>
      </c>
      <c r="I213" t="s">
        <v>1053</v>
      </c>
      <c r="J213">
        <v>1326</v>
      </c>
    </row>
    <row r="214" spans="1:10" x14ac:dyDescent="0.3">
      <c r="A214" t="s">
        <v>570</v>
      </c>
      <c r="B214">
        <v>5</v>
      </c>
      <c r="C214">
        <v>115</v>
      </c>
      <c r="D214" s="7">
        <v>163.04</v>
      </c>
      <c r="E214" t="s">
        <v>471</v>
      </c>
      <c r="F214" t="s">
        <v>567</v>
      </c>
      <c r="I214" t="s">
        <v>1054</v>
      </c>
      <c r="J214">
        <v>1327</v>
      </c>
    </row>
    <row r="215" spans="1:10" x14ac:dyDescent="0.3">
      <c r="A215" t="s">
        <v>570</v>
      </c>
      <c r="B215">
        <v>5</v>
      </c>
      <c r="C215">
        <v>116</v>
      </c>
      <c r="D215" s="7">
        <v>162.05000000000001</v>
      </c>
      <c r="E215" t="s">
        <v>472</v>
      </c>
      <c r="F215" t="s">
        <v>567</v>
      </c>
      <c r="I215" t="s">
        <v>1055</v>
      </c>
      <c r="J215">
        <v>1328</v>
      </c>
    </row>
    <row r="216" spans="1:10" x14ac:dyDescent="0.3">
      <c r="A216" t="s">
        <v>570</v>
      </c>
      <c r="B216">
        <v>5</v>
      </c>
      <c r="C216">
        <v>117</v>
      </c>
      <c r="D216" s="7">
        <v>162.05000000000001</v>
      </c>
      <c r="E216" t="s">
        <v>473</v>
      </c>
      <c r="F216" t="s">
        <v>567</v>
      </c>
      <c r="I216" t="s">
        <v>1056</v>
      </c>
      <c r="J216">
        <v>1329</v>
      </c>
    </row>
    <row r="217" spans="1:10" x14ac:dyDescent="0.3">
      <c r="A217" t="s">
        <v>570</v>
      </c>
      <c r="B217">
        <v>5</v>
      </c>
      <c r="C217">
        <v>118</v>
      </c>
      <c r="D217" s="7">
        <v>145.54</v>
      </c>
      <c r="E217" t="s">
        <v>474</v>
      </c>
      <c r="F217" t="s">
        <v>567</v>
      </c>
      <c r="I217" t="s">
        <v>1057</v>
      </c>
      <c r="J217">
        <v>1330</v>
      </c>
    </row>
    <row r="218" spans="1:10" x14ac:dyDescent="0.3">
      <c r="A218" t="s">
        <v>570</v>
      </c>
      <c r="B218">
        <v>5</v>
      </c>
      <c r="C218">
        <v>119</v>
      </c>
      <c r="D218" s="7">
        <v>360.54</v>
      </c>
      <c r="E218" t="s">
        <v>475</v>
      </c>
      <c r="F218" t="s">
        <v>567</v>
      </c>
      <c r="I218" t="s">
        <v>1058</v>
      </c>
      <c r="J218">
        <v>1331</v>
      </c>
    </row>
    <row r="219" spans="1:10" x14ac:dyDescent="0.3">
      <c r="A219" t="s">
        <v>570</v>
      </c>
      <c r="B219">
        <v>5</v>
      </c>
      <c r="C219">
        <v>120</v>
      </c>
      <c r="D219" s="7">
        <v>159.02000000000001</v>
      </c>
      <c r="E219" t="s">
        <v>476</v>
      </c>
      <c r="F219" t="s">
        <v>567</v>
      </c>
      <c r="I219" t="s">
        <v>1059</v>
      </c>
      <c r="J219">
        <v>1332</v>
      </c>
    </row>
    <row r="220" spans="1:10" x14ac:dyDescent="0.3">
      <c r="A220" t="s">
        <v>570</v>
      </c>
      <c r="B220">
        <v>5</v>
      </c>
      <c r="C220">
        <v>121</v>
      </c>
      <c r="D220" s="7">
        <v>161.07</v>
      </c>
      <c r="E220" t="s">
        <v>477</v>
      </c>
      <c r="F220" t="s">
        <v>567</v>
      </c>
      <c r="I220" t="s">
        <v>1060</v>
      </c>
      <c r="J220">
        <v>1333</v>
      </c>
    </row>
    <row r="221" spans="1:10" x14ac:dyDescent="0.3">
      <c r="A221" t="s">
        <v>570</v>
      </c>
      <c r="B221">
        <v>5</v>
      </c>
      <c r="C221">
        <v>122</v>
      </c>
      <c r="D221" s="7">
        <v>160</v>
      </c>
      <c r="E221" t="s">
        <v>478</v>
      </c>
      <c r="F221" t="s">
        <v>567</v>
      </c>
      <c r="I221" t="s">
        <v>1061</v>
      </c>
      <c r="J221">
        <v>1334</v>
      </c>
    </row>
    <row r="222" spans="1:10" x14ac:dyDescent="0.3">
      <c r="A222" t="s">
        <v>570</v>
      </c>
      <c r="B222">
        <v>5</v>
      </c>
      <c r="C222">
        <v>123</v>
      </c>
      <c r="D222" s="7">
        <v>221.07</v>
      </c>
      <c r="E222" t="s">
        <v>479</v>
      </c>
      <c r="F222" t="s">
        <v>567</v>
      </c>
      <c r="I222" t="s">
        <v>1062</v>
      </c>
      <c r="J222">
        <v>1335</v>
      </c>
    </row>
    <row r="223" spans="1:10" x14ac:dyDescent="0.3">
      <c r="A223" t="s">
        <v>570</v>
      </c>
      <c r="B223">
        <v>5</v>
      </c>
      <c r="C223">
        <v>124</v>
      </c>
      <c r="D223" s="7">
        <v>487.29</v>
      </c>
      <c r="E223" t="s">
        <v>484</v>
      </c>
      <c r="F223" t="s">
        <v>567</v>
      </c>
      <c r="I223" t="s">
        <v>1067</v>
      </c>
      <c r="J223">
        <v>1340</v>
      </c>
    </row>
    <row r="224" spans="1:10" x14ac:dyDescent="0.3">
      <c r="A224" t="s">
        <v>570</v>
      </c>
      <c r="B224">
        <v>5</v>
      </c>
      <c r="C224">
        <v>125</v>
      </c>
      <c r="D224" s="7">
        <v>469.07</v>
      </c>
      <c r="E224" t="s">
        <v>485</v>
      </c>
      <c r="F224" t="s">
        <v>567</v>
      </c>
      <c r="I224" t="s">
        <v>1068</v>
      </c>
    </row>
    <row r="225" spans="1:10" x14ac:dyDescent="0.3">
      <c r="A225" t="s">
        <v>570</v>
      </c>
      <c r="B225">
        <v>5</v>
      </c>
      <c r="C225">
        <v>126</v>
      </c>
      <c r="D225" s="7">
        <v>488.05</v>
      </c>
      <c r="E225" t="s">
        <v>489</v>
      </c>
      <c r="F225" t="s">
        <v>567</v>
      </c>
      <c r="I225" t="s">
        <v>1072</v>
      </c>
    </row>
    <row r="226" spans="1:10" x14ac:dyDescent="0.3">
      <c r="A226" t="s">
        <v>570</v>
      </c>
      <c r="B226">
        <v>5</v>
      </c>
      <c r="C226">
        <v>127</v>
      </c>
      <c r="D226" s="7">
        <v>631.36</v>
      </c>
      <c r="E226" t="s">
        <v>492</v>
      </c>
      <c r="F226" t="s">
        <v>567</v>
      </c>
      <c r="I226" t="s">
        <v>1075</v>
      </c>
    </row>
    <row r="227" spans="1:10" x14ac:dyDescent="0.3">
      <c r="A227" t="s">
        <v>570</v>
      </c>
      <c r="B227">
        <v>5</v>
      </c>
      <c r="C227">
        <v>128</v>
      </c>
      <c r="D227" s="7">
        <v>632.12</v>
      </c>
      <c r="E227" t="s">
        <v>493</v>
      </c>
      <c r="F227" t="s">
        <v>567</v>
      </c>
      <c r="I227" t="s">
        <v>1076</v>
      </c>
    </row>
    <row r="228" spans="1:10" x14ac:dyDescent="0.3">
      <c r="A228" t="s">
        <v>570</v>
      </c>
      <c r="B228">
        <v>5</v>
      </c>
      <c r="C228">
        <v>129</v>
      </c>
      <c r="D228" s="7">
        <v>599.66</v>
      </c>
      <c r="E228" t="s">
        <v>494</v>
      </c>
      <c r="F228" t="s">
        <v>567</v>
      </c>
      <c r="I228" t="s">
        <v>1077</v>
      </c>
    </row>
    <row r="229" spans="1:10" x14ac:dyDescent="0.3">
      <c r="A229" t="s">
        <v>570</v>
      </c>
      <c r="B229">
        <v>5</v>
      </c>
      <c r="C229">
        <v>130</v>
      </c>
      <c r="D229" s="7">
        <v>675</v>
      </c>
      <c r="E229" t="s">
        <v>495</v>
      </c>
      <c r="F229" t="s">
        <v>567</v>
      </c>
      <c r="I229" t="s">
        <v>1078</v>
      </c>
    </row>
    <row r="230" spans="1:10" x14ac:dyDescent="0.3">
      <c r="A230" t="s">
        <v>570</v>
      </c>
      <c r="B230">
        <v>5</v>
      </c>
      <c r="C230">
        <v>131</v>
      </c>
      <c r="D230" s="7">
        <v>620</v>
      </c>
      <c r="E230" t="s">
        <v>496</v>
      </c>
      <c r="F230" t="s">
        <v>567</v>
      </c>
      <c r="I230" t="s">
        <v>1079</v>
      </c>
    </row>
    <row r="231" spans="1:10" x14ac:dyDescent="0.3">
      <c r="A231" t="s">
        <v>570</v>
      </c>
      <c r="B231">
        <v>5</v>
      </c>
      <c r="C231">
        <v>132</v>
      </c>
      <c r="D231" s="7">
        <v>620</v>
      </c>
      <c r="E231" t="s">
        <v>497</v>
      </c>
      <c r="F231" t="s">
        <v>567</v>
      </c>
      <c r="I231" t="s">
        <v>1080</v>
      </c>
    </row>
    <row r="232" spans="1:10" x14ac:dyDescent="0.3">
      <c r="A232" t="s">
        <v>570</v>
      </c>
      <c r="B232">
        <v>5</v>
      </c>
      <c r="C232">
        <v>133</v>
      </c>
      <c r="D232" s="7">
        <v>591.78</v>
      </c>
      <c r="E232" t="s">
        <v>498</v>
      </c>
      <c r="F232" t="s">
        <v>567</v>
      </c>
      <c r="I232" t="s">
        <v>1081</v>
      </c>
    </row>
    <row r="233" spans="1:10" x14ac:dyDescent="0.3">
      <c r="A233" t="s">
        <v>570</v>
      </c>
      <c r="B233">
        <v>5</v>
      </c>
      <c r="C233">
        <v>134</v>
      </c>
      <c r="D233" s="7">
        <v>300</v>
      </c>
      <c r="E233" t="s">
        <v>499</v>
      </c>
      <c r="F233" t="s">
        <v>567</v>
      </c>
      <c r="I233" t="s">
        <v>1082</v>
      </c>
    </row>
    <row r="234" spans="1:10" x14ac:dyDescent="0.3">
      <c r="A234" t="s">
        <v>570</v>
      </c>
      <c r="B234">
        <v>5</v>
      </c>
      <c r="C234">
        <v>135</v>
      </c>
      <c r="D234" s="7">
        <v>500</v>
      </c>
      <c r="E234" t="s">
        <v>500</v>
      </c>
      <c r="F234" t="s">
        <v>567</v>
      </c>
      <c r="I234" t="s">
        <v>1083</v>
      </c>
    </row>
    <row r="235" spans="1:10" x14ac:dyDescent="0.3">
      <c r="A235" t="s">
        <v>570</v>
      </c>
      <c r="B235">
        <v>5</v>
      </c>
      <c r="C235">
        <v>136</v>
      </c>
      <c r="D235" s="7">
        <v>620</v>
      </c>
      <c r="E235" t="s">
        <v>501</v>
      </c>
      <c r="F235" t="s">
        <v>567</v>
      </c>
      <c r="I235" t="s">
        <v>1084</v>
      </c>
    </row>
    <row r="236" spans="1:10" x14ac:dyDescent="0.3">
      <c r="A236" t="s">
        <v>570</v>
      </c>
      <c r="B236">
        <v>5</v>
      </c>
      <c r="C236">
        <v>137</v>
      </c>
      <c r="D236" s="7">
        <v>565</v>
      </c>
      <c r="E236" t="s">
        <v>514</v>
      </c>
      <c r="F236" t="s">
        <v>567</v>
      </c>
      <c r="I236" t="s">
        <v>1097</v>
      </c>
    </row>
    <row r="237" spans="1:10" x14ac:dyDescent="0.3">
      <c r="A237" t="s">
        <v>570</v>
      </c>
      <c r="B237">
        <v>5</v>
      </c>
      <c r="C237">
        <v>138</v>
      </c>
      <c r="D237" s="7">
        <v>500</v>
      </c>
      <c r="E237" t="s">
        <v>515</v>
      </c>
      <c r="F237" t="s">
        <v>567</v>
      </c>
      <c r="I237" t="s">
        <v>1098</v>
      </c>
    </row>
    <row r="238" spans="1:10" x14ac:dyDescent="0.3">
      <c r="A238" t="s">
        <v>570</v>
      </c>
      <c r="B238">
        <v>5</v>
      </c>
      <c r="C238">
        <v>139</v>
      </c>
      <c r="D238" s="7">
        <v>607.03</v>
      </c>
      <c r="E238" t="s">
        <v>516</v>
      </c>
      <c r="F238" t="s">
        <v>567</v>
      </c>
      <c r="I238" t="s">
        <v>1099</v>
      </c>
      <c r="J238">
        <v>1372</v>
      </c>
    </row>
    <row r="239" spans="1:10" x14ac:dyDescent="0.3">
      <c r="A239" t="s">
        <v>570</v>
      </c>
      <c r="B239">
        <v>5</v>
      </c>
      <c r="C239">
        <v>140</v>
      </c>
      <c r="D239" s="7">
        <v>549.07000000000005</v>
      </c>
      <c r="E239" t="s">
        <v>517</v>
      </c>
      <c r="F239" t="s">
        <v>567</v>
      </c>
      <c r="I239" t="s">
        <v>1100</v>
      </c>
    </row>
    <row r="240" spans="1:10" x14ac:dyDescent="0.3">
      <c r="A240" t="s">
        <v>570</v>
      </c>
      <c r="B240">
        <v>5</v>
      </c>
      <c r="C240">
        <v>141</v>
      </c>
      <c r="D240" s="7">
        <v>545</v>
      </c>
      <c r="E240" t="s">
        <v>518</v>
      </c>
      <c r="F240" t="s">
        <v>567</v>
      </c>
      <c r="I240" t="s">
        <v>1101</v>
      </c>
    </row>
    <row r="241" spans="1:10" x14ac:dyDescent="0.3">
      <c r="A241" t="s">
        <v>570</v>
      </c>
      <c r="B241">
        <v>5</v>
      </c>
      <c r="C241">
        <v>142</v>
      </c>
      <c r="D241" s="7">
        <v>590.34</v>
      </c>
      <c r="E241" t="s">
        <v>519</v>
      </c>
      <c r="F241" t="s">
        <v>567</v>
      </c>
      <c r="I241" t="s">
        <v>1102</v>
      </c>
      <c r="J241">
        <v>1375</v>
      </c>
    </row>
    <row r="242" spans="1:10" x14ac:dyDescent="0.3">
      <c r="A242" t="s">
        <v>570</v>
      </c>
      <c r="B242">
        <v>5</v>
      </c>
      <c r="C242">
        <v>143</v>
      </c>
      <c r="D242" s="7">
        <v>587.03</v>
      </c>
      <c r="E242" t="s">
        <v>520</v>
      </c>
      <c r="F242" t="s">
        <v>567</v>
      </c>
      <c r="I242" t="s">
        <v>1103</v>
      </c>
    </row>
    <row r="243" spans="1:10" x14ac:dyDescent="0.3">
      <c r="A243" t="s">
        <v>570</v>
      </c>
      <c r="B243">
        <v>5</v>
      </c>
      <c r="C243">
        <v>144</v>
      </c>
      <c r="D243" s="7">
        <v>627.03</v>
      </c>
      <c r="E243" t="s">
        <v>521</v>
      </c>
      <c r="F243" t="s">
        <v>567</v>
      </c>
      <c r="I243" t="s">
        <v>1104</v>
      </c>
      <c r="J243">
        <v>1377</v>
      </c>
    </row>
    <row r="244" spans="1:10" x14ac:dyDescent="0.3">
      <c r="A244" t="s">
        <v>570</v>
      </c>
      <c r="B244">
        <v>5</v>
      </c>
      <c r="C244">
        <v>145</v>
      </c>
      <c r="D244" s="7">
        <v>618.22</v>
      </c>
      <c r="E244" t="s">
        <v>522</v>
      </c>
      <c r="F244" t="s">
        <v>567</v>
      </c>
      <c r="I244" t="s">
        <v>1105</v>
      </c>
      <c r="J244">
        <v>1378</v>
      </c>
    </row>
    <row r="245" spans="1:10" x14ac:dyDescent="0.3">
      <c r="A245" t="s">
        <v>570</v>
      </c>
      <c r="B245">
        <v>5</v>
      </c>
      <c r="C245">
        <v>146</v>
      </c>
      <c r="D245" s="7">
        <v>262.05</v>
      </c>
      <c r="E245" t="s">
        <v>523</v>
      </c>
      <c r="F245" t="s">
        <v>567</v>
      </c>
      <c r="I245" t="s">
        <v>1106</v>
      </c>
      <c r="J245">
        <v>1379</v>
      </c>
    </row>
    <row r="246" spans="1:10" x14ac:dyDescent="0.3">
      <c r="A246" t="s">
        <v>570</v>
      </c>
      <c r="B246">
        <v>5</v>
      </c>
      <c r="C246">
        <v>147</v>
      </c>
      <c r="D246" s="7">
        <v>166.7</v>
      </c>
      <c r="E246" t="s">
        <v>526</v>
      </c>
      <c r="F246" t="s">
        <v>567</v>
      </c>
      <c r="I246" t="s">
        <v>1109</v>
      </c>
    </row>
    <row r="247" spans="1:10" x14ac:dyDescent="0.3">
      <c r="A247" t="s">
        <v>570</v>
      </c>
      <c r="B247">
        <v>5</v>
      </c>
      <c r="C247">
        <v>148</v>
      </c>
      <c r="D247" s="7">
        <v>564.91</v>
      </c>
      <c r="E247" t="s">
        <v>527</v>
      </c>
      <c r="F247" t="s">
        <v>567</v>
      </c>
      <c r="I247" t="s">
        <v>1110</v>
      </c>
    </row>
    <row r="248" spans="1:10" x14ac:dyDescent="0.3">
      <c r="A248" t="s">
        <v>570</v>
      </c>
      <c r="B248">
        <v>5</v>
      </c>
      <c r="C248">
        <v>149</v>
      </c>
      <c r="D248" s="7">
        <v>104.24</v>
      </c>
      <c r="E248" t="s">
        <v>528</v>
      </c>
      <c r="F248" t="s">
        <v>567</v>
      </c>
      <c r="I248" t="s">
        <v>1111</v>
      </c>
    </row>
    <row r="249" spans="1:10" x14ac:dyDescent="0.3">
      <c r="A249" t="s">
        <v>570</v>
      </c>
      <c r="B249">
        <v>5</v>
      </c>
      <c r="C249">
        <v>150</v>
      </c>
      <c r="D249" s="7">
        <v>525.17999999999995</v>
      </c>
      <c r="E249" t="s">
        <v>529</v>
      </c>
      <c r="F249" t="s">
        <v>567</v>
      </c>
      <c r="H249" t="s">
        <v>2811</v>
      </c>
      <c r="I249" t="s">
        <v>1112</v>
      </c>
    </row>
    <row r="250" spans="1:10" x14ac:dyDescent="0.3">
      <c r="A250" t="s">
        <v>570</v>
      </c>
      <c r="B250">
        <v>5</v>
      </c>
      <c r="C250">
        <v>151</v>
      </c>
      <c r="D250" s="7">
        <v>534.91</v>
      </c>
      <c r="E250" t="s">
        <v>530</v>
      </c>
      <c r="F250" t="s">
        <v>567</v>
      </c>
      <c r="I250" t="s">
        <v>1113</v>
      </c>
    </row>
    <row r="251" spans="1:10" x14ac:dyDescent="0.3">
      <c r="A251" t="s">
        <v>570</v>
      </c>
      <c r="B251">
        <v>5</v>
      </c>
      <c r="C251">
        <v>152</v>
      </c>
      <c r="D251" s="7">
        <v>545.54</v>
      </c>
      <c r="E251" t="s">
        <v>531</v>
      </c>
      <c r="F251" t="s">
        <v>567</v>
      </c>
      <c r="H251" t="s">
        <v>2812</v>
      </c>
      <c r="I251" t="s">
        <v>1114</v>
      </c>
    </row>
    <row r="252" spans="1:10" x14ac:dyDescent="0.3">
      <c r="A252" t="s">
        <v>570</v>
      </c>
      <c r="B252">
        <v>5</v>
      </c>
      <c r="C252">
        <v>153</v>
      </c>
      <c r="D252" s="7">
        <v>670</v>
      </c>
      <c r="E252" t="s">
        <v>532</v>
      </c>
      <c r="F252" t="s">
        <v>567</v>
      </c>
      <c r="H252" t="s">
        <v>2813</v>
      </c>
      <c r="I252" t="s">
        <v>1115</v>
      </c>
    </row>
    <row r="253" spans="1:10" x14ac:dyDescent="0.3">
      <c r="A253" t="s">
        <v>570</v>
      </c>
      <c r="B253">
        <v>5</v>
      </c>
      <c r="C253">
        <v>154</v>
      </c>
      <c r="D253" s="7">
        <v>126.52</v>
      </c>
      <c r="E253" t="s">
        <v>533</v>
      </c>
      <c r="F253" t="s">
        <v>567</v>
      </c>
      <c r="I253" t="s">
        <v>1116</v>
      </c>
    </row>
    <row r="254" spans="1:10" x14ac:dyDescent="0.3">
      <c r="A254" t="s">
        <v>570</v>
      </c>
      <c r="B254">
        <v>5</v>
      </c>
      <c r="C254">
        <v>155</v>
      </c>
      <c r="D254" s="7">
        <v>130.80000000000001</v>
      </c>
      <c r="E254" t="s">
        <v>534</v>
      </c>
      <c r="F254" t="s">
        <v>567</v>
      </c>
      <c r="I254" t="s">
        <v>1117</v>
      </c>
    </row>
    <row r="255" spans="1:10" x14ac:dyDescent="0.3">
      <c r="A255" t="s">
        <v>570</v>
      </c>
      <c r="B255">
        <v>5</v>
      </c>
      <c r="C255">
        <v>156</v>
      </c>
      <c r="D255" s="7">
        <v>545.54</v>
      </c>
      <c r="E255" t="s">
        <v>536</v>
      </c>
      <c r="F255" t="s">
        <v>567</v>
      </c>
      <c r="H255" t="s">
        <v>2812</v>
      </c>
      <c r="I255" t="s">
        <v>1119</v>
      </c>
    </row>
    <row r="256" spans="1:10" x14ac:dyDescent="0.3">
      <c r="A256" t="s">
        <v>570</v>
      </c>
      <c r="B256">
        <v>5</v>
      </c>
      <c r="C256">
        <v>157</v>
      </c>
      <c r="D256" s="7">
        <v>113.39</v>
      </c>
      <c r="E256" t="s">
        <v>537</v>
      </c>
      <c r="F256" t="s">
        <v>567</v>
      </c>
      <c r="I256" t="s">
        <v>1120</v>
      </c>
    </row>
    <row r="257" spans="1:10" x14ac:dyDescent="0.3">
      <c r="A257" t="s">
        <v>570</v>
      </c>
      <c r="B257">
        <v>5</v>
      </c>
      <c r="C257">
        <v>158</v>
      </c>
      <c r="D257" s="7">
        <v>238.57</v>
      </c>
      <c r="E257" t="s">
        <v>538</v>
      </c>
      <c r="F257" t="s">
        <v>567</v>
      </c>
      <c r="I257" t="s">
        <v>1121</v>
      </c>
    </row>
    <row r="258" spans="1:10" x14ac:dyDescent="0.3">
      <c r="A258" t="s">
        <v>570</v>
      </c>
      <c r="B258">
        <v>5</v>
      </c>
      <c r="C258">
        <v>159</v>
      </c>
      <c r="D258" s="7">
        <v>128.30000000000001</v>
      </c>
      <c r="E258" t="s">
        <v>539</v>
      </c>
      <c r="F258" t="s">
        <v>567</v>
      </c>
      <c r="I258" t="s">
        <v>1122</v>
      </c>
    </row>
    <row r="259" spans="1:10" x14ac:dyDescent="0.3">
      <c r="A259" t="s">
        <v>570</v>
      </c>
      <c r="B259">
        <v>5</v>
      </c>
      <c r="C259">
        <v>160</v>
      </c>
      <c r="D259" s="7">
        <v>126.34</v>
      </c>
      <c r="E259" t="s">
        <v>540</v>
      </c>
      <c r="F259" t="s">
        <v>567</v>
      </c>
      <c r="I259" t="s">
        <v>1123</v>
      </c>
    </row>
    <row r="260" spans="1:10" x14ac:dyDescent="0.3">
      <c r="A260" t="s">
        <v>570</v>
      </c>
      <c r="B260">
        <v>5</v>
      </c>
      <c r="C260">
        <v>161</v>
      </c>
      <c r="D260" s="7">
        <v>125.89</v>
      </c>
      <c r="E260" t="s">
        <v>541</v>
      </c>
      <c r="F260" t="s">
        <v>567</v>
      </c>
      <c r="I260" t="s">
        <v>1124</v>
      </c>
    </row>
    <row r="261" spans="1:10" x14ac:dyDescent="0.3">
      <c r="A261" t="s">
        <v>570</v>
      </c>
      <c r="B261">
        <v>5</v>
      </c>
      <c r="C261">
        <v>162</v>
      </c>
      <c r="D261" s="7">
        <v>545.54</v>
      </c>
      <c r="E261" t="s">
        <v>542</v>
      </c>
      <c r="F261" t="s">
        <v>567</v>
      </c>
      <c r="H261" t="s">
        <v>2812</v>
      </c>
      <c r="I261" t="s">
        <v>1125</v>
      </c>
    </row>
    <row r="262" spans="1:10" x14ac:dyDescent="0.3">
      <c r="A262" t="s">
        <v>570</v>
      </c>
      <c r="B262">
        <v>5</v>
      </c>
      <c r="C262">
        <v>163</v>
      </c>
      <c r="D262" s="7">
        <v>534.91</v>
      </c>
      <c r="E262" t="s">
        <v>543</v>
      </c>
      <c r="F262" t="s">
        <v>567</v>
      </c>
      <c r="I262" t="s">
        <v>1126</v>
      </c>
    </row>
    <row r="263" spans="1:10" x14ac:dyDescent="0.3">
      <c r="A263" t="s">
        <v>570</v>
      </c>
      <c r="B263">
        <v>5</v>
      </c>
      <c r="C263">
        <v>164</v>
      </c>
      <c r="D263" s="7">
        <v>594.91</v>
      </c>
      <c r="E263" t="s">
        <v>544</v>
      </c>
      <c r="F263" t="s">
        <v>567</v>
      </c>
      <c r="I263" t="s">
        <v>1127</v>
      </c>
    </row>
    <row r="264" spans="1:10" x14ac:dyDescent="0.3">
      <c r="A264" t="s">
        <v>570</v>
      </c>
      <c r="B264">
        <v>5</v>
      </c>
      <c r="C264">
        <v>165</v>
      </c>
      <c r="D264" s="7">
        <v>126.34</v>
      </c>
      <c r="E264" t="s">
        <v>545</v>
      </c>
      <c r="F264" t="s">
        <v>567</v>
      </c>
      <c r="I264" t="s">
        <v>1128</v>
      </c>
      <c r="J264">
        <v>1401</v>
      </c>
    </row>
    <row r="265" spans="1:10" x14ac:dyDescent="0.3">
      <c r="A265" t="s">
        <v>570</v>
      </c>
      <c r="B265">
        <v>5</v>
      </c>
      <c r="C265">
        <v>166</v>
      </c>
      <c r="D265" s="7">
        <v>158.38999999999999</v>
      </c>
      <c r="E265" t="s">
        <v>546</v>
      </c>
      <c r="F265" t="s">
        <v>567</v>
      </c>
      <c r="I265" t="s">
        <v>1129</v>
      </c>
      <c r="J265">
        <v>1402</v>
      </c>
    </row>
    <row r="266" spans="1:10" x14ac:dyDescent="0.3">
      <c r="A266" t="s">
        <v>570</v>
      </c>
      <c r="B266">
        <v>5</v>
      </c>
      <c r="C266">
        <v>167</v>
      </c>
      <c r="D266" s="7">
        <v>545</v>
      </c>
      <c r="E266" t="s">
        <v>549</v>
      </c>
      <c r="F266" t="s">
        <v>567</v>
      </c>
      <c r="I266" t="s">
        <v>1132</v>
      </c>
    </row>
    <row r="267" spans="1:10" x14ac:dyDescent="0.3">
      <c r="A267" t="s">
        <v>570</v>
      </c>
      <c r="B267">
        <v>5</v>
      </c>
      <c r="C267">
        <v>168</v>
      </c>
      <c r="D267" s="7">
        <v>540.41999999999996</v>
      </c>
      <c r="E267" t="s">
        <v>550</v>
      </c>
      <c r="F267" t="s">
        <v>567</v>
      </c>
      <c r="I267" t="s">
        <v>1133</v>
      </c>
    </row>
    <row r="268" spans="1:10" x14ac:dyDescent="0.3">
      <c r="A268" t="s">
        <v>570</v>
      </c>
      <c r="B268">
        <v>5</v>
      </c>
      <c r="C268">
        <v>169</v>
      </c>
      <c r="D268" s="7">
        <v>648.22</v>
      </c>
      <c r="E268" t="s">
        <v>551</v>
      </c>
      <c r="F268" t="s">
        <v>567</v>
      </c>
      <c r="I268" t="s">
        <v>1134</v>
      </c>
      <c r="J268">
        <v>1407</v>
      </c>
    </row>
    <row r="269" spans="1:10" x14ac:dyDescent="0.3">
      <c r="A269" t="s">
        <v>570</v>
      </c>
      <c r="B269">
        <v>5</v>
      </c>
      <c r="C269">
        <v>170</v>
      </c>
      <c r="D269" s="7">
        <v>620</v>
      </c>
      <c r="E269" t="s">
        <v>552</v>
      </c>
      <c r="F269" t="s">
        <v>567</v>
      </c>
      <c r="I269" t="s">
        <v>1135</v>
      </c>
    </row>
    <row r="270" spans="1:10" x14ac:dyDescent="0.3">
      <c r="A270" t="s">
        <v>570</v>
      </c>
      <c r="B270">
        <v>5</v>
      </c>
      <c r="C270">
        <v>171</v>
      </c>
      <c r="D270" s="7">
        <v>535</v>
      </c>
      <c r="E270" t="s">
        <v>553</v>
      </c>
      <c r="F270" t="s">
        <v>567</v>
      </c>
      <c r="I270" t="s">
        <v>1136</v>
      </c>
    </row>
    <row r="271" spans="1:10" x14ac:dyDescent="0.3">
      <c r="A271" t="s">
        <v>570</v>
      </c>
      <c r="B271">
        <v>5</v>
      </c>
      <c r="C271">
        <v>172</v>
      </c>
      <c r="D271" s="7">
        <v>603.9</v>
      </c>
      <c r="E271" t="s">
        <v>554</v>
      </c>
      <c r="F271" t="s">
        <v>567</v>
      </c>
      <c r="I271" t="s">
        <v>1137</v>
      </c>
    </row>
    <row r="272" spans="1:10" x14ac:dyDescent="0.3">
      <c r="A272" t="s">
        <v>570</v>
      </c>
      <c r="B272">
        <v>5</v>
      </c>
      <c r="C272">
        <v>173</v>
      </c>
      <c r="D272" s="7">
        <v>620</v>
      </c>
      <c r="E272" t="s">
        <v>555</v>
      </c>
      <c r="F272" t="s">
        <v>567</v>
      </c>
      <c r="I272" t="s">
        <v>1138</v>
      </c>
    </row>
    <row r="273" spans="1:10" x14ac:dyDescent="0.3">
      <c r="A273" t="s">
        <v>570</v>
      </c>
      <c r="B273">
        <v>5</v>
      </c>
      <c r="C273">
        <v>174</v>
      </c>
      <c r="D273" s="7">
        <v>126.34</v>
      </c>
      <c r="E273" t="s">
        <v>556</v>
      </c>
      <c r="F273" t="s">
        <v>567</v>
      </c>
      <c r="I273" t="s">
        <v>1139</v>
      </c>
      <c r="J273">
        <v>1412</v>
      </c>
    </row>
    <row r="274" spans="1:10" x14ac:dyDescent="0.3">
      <c r="A274" t="s">
        <v>570</v>
      </c>
      <c r="B274">
        <v>5</v>
      </c>
      <c r="C274">
        <v>175</v>
      </c>
      <c r="D274" s="7">
        <v>131.52000000000001</v>
      </c>
      <c r="E274" t="s">
        <v>557</v>
      </c>
      <c r="F274" t="s">
        <v>567</v>
      </c>
      <c r="I274" t="s">
        <v>1140</v>
      </c>
      <c r="J274">
        <v>1413</v>
      </c>
    </row>
    <row r="275" spans="1:10" x14ac:dyDescent="0.3">
      <c r="A275" t="s">
        <v>570</v>
      </c>
      <c r="B275">
        <v>5</v>
      </c>
      <c r="C275">
        <v>176</v>
      </c>
      <c r="D275" s="7">
        <v>145</v>
      </c>
      <c r="E275" t="s">
        <v>558</v>
      </c>
      <c r="F275" t="s">
        <v>567</v>
      </c>
      <c r="I275" t="s">
        <v>1141</v>
      </c>
      <c r="J275">
        <v>1414</v>
      </c>
    </row>
    <row r="276" spans="1:10" x14ac:dyDescent="0.3">
      <c r="A276" t="s">
        <v>570</v>
      </c>
      <c r="B276">
        <v>5</v>
      </c>
      <c r="C276">
        <v>177</v>
      </c>
      <c r="D276" s="7">
        <v>126.34</v>
      </c>
      <c r="E276" t="s">
        <v>559</v>
      </c>
      <c r="F276" t="s">
        <v>567</v>
      </c>
      <c r="I276" t="s">
        <v>1142</v>
      </c>
      <c r="J276">
        <v>1415</v>
      </c>
    </row>
    <row r="277" spans="1:10" x14ac:dyDescent="0.3">
      <c r="A277" t="s">
        <v>570</v>
      </c>
      <c r="B277">
        <v>5</v>
      </c>
      <c r="C277">
        <v>178</v>
      </c>
      <c r="D277" s="7">
        <v>130</v>
      </c>
      <c r="E277" t="s">
        <v>560</v>
      </c>
      <c r="F277" t="s">
        <v>567</v>
      </c>
      <c r="I277" t="s">
        <v>1143</v>
      </c>
    </row>
    <row r="278" spans="1:10" x14ac:dyDescent="0.3">
      <c r="A278" t="s">
        <v>570</v>
      </c>
      <c r="B278">
        <v>5</v>
      </c>
      <c r="C278">
        <v>179</v>
      </c>
      <c r="D278" s="7">
        <v>126.34</v>
      </c>
      <c r="E278" t="s">
        <v>561</v>
      </c>
      <c r="F278" t="s">
        <v>567</v>
      </c>
      <c r="I278" t="s">
        <v>1144</v>
      </c>
      <c r="J278">
        <v>1417</v>
      </c>
    </row>
    <row r="279" spans="1:10" x14ac:dyDescent="0.3">
      <c r="A279" t="s">
        <v>570</v>
      </c>
      <c r="B279">
        <v>5</v>
      </c>
      <c r="C279">
        <v>180</v>
      </c>
      <c r="D279" s="7">
        <v>126.34</v>
      </c>
      <c r="E279" t="s">
        <v>562</v>
      </c>
      <c r="F279" t="s">
        <v>567</v>
      </c>
      <c r="I279" t="s">
        <v>1145</v>
      </c>
      <c r="J279">
        <v>1418</v>
      </c>
    </row>
    <row r="280" spans="1:10" x14ac:dyDescent="0.3">
      <c r="A280" t="s">
        <v>570</v>
      </c>
      <c r="B280">
        <v>5</v>
      </c>
      <c r="C280">
        <v>181</v>
      </c>
      <c r="D280" s="7">
        <v>238.57</v>
      </c>
      <c r="E280" t="s">
        <v>563</v>
      </c>
      <c r="F280" t="s">
        <v>567</v>
      </c>
      <c r="I280" t="s">
        <v>1146</v>
      </c>
      <c r="J280">
        <v>1419</v>
      </c>
    </row>
    <row r="281" spans="1:10" x14ac:dyDescent="0.3">
      <c r="A281" t="s">
        <v>570</v>
      </c>
      <c r="B281">
        <v>5</v>
      </c>
      <c r="C281">
        <v>182</v>
      </c>
      <c r="D281" s="7">
        <v>1010</v>
      </c>
      <c r="E281" t="s">
        <v>564</v>
      </c>
      <c r="F281" t="s">
        <v>567</v>
      </c>
      <c r="I281" t="s">
        <v>1147</v>
      </c>
    </row>
    <row r="282" spans="1:10" x14ac:dyDescent="0.3">
      <c r="A282" t="s">
        <v>568</v>
      </c>
      <c r="B282">
        <v>6</v>
      </c>
      <c r="C282">
        <v>1</v>
      </c>
      <c r="D282" s="7">
        <v>400</v>
      </c>
      <c r="E282" t="s">
        <v>268</v>
      </c>
      <c r="F282" t="s">
        <v>567</v>
      </c>
      <c r="I282" t="s">
        <v>830</v>
      </c>
      <c r="J282">
        <v>1101</v>
      </c>
    </row>
    <row r="283" spans="1:10" x14ac:dyDescent="0.3">
      <c r="A283" t="s">
        <v>568</v>
      </c>
      <c r="B283">
        <v>6</v>
      </c>
      <c r="C283">
        <v>2</v>
      </c>
      <c r="D283" s="7">
        <v>183.24</v>
      </c>
      <c r="E283" t="s">
        <v>269</v>
      </c>
      <c r="F283" t="s">
        <v>567</v>
      </c>
      <c r="I283" t="s">
        <v>831</v>
      </c>
      <c r="J283">
        <v>1102</v>
      </c>
    </row>
    <row r="284" spans="1:10" x14ac:dyDescent="0.3">
      <c r="A284" t="s">
        <v>568</v>
      </c>
      <c r="B284">
        <v>6</v>
      </c>
      <c r="C284">
        <v>3</v>
      </c>
      <c r="D284" s="7">
        <v>490</v>
      </c>
      <c r="E284" t="s">
        <v>270</v>
      </c>
      <c r="F284" t="s">
        <v>567</v>
      </c>
      <c r="I284" t="s">
        <v>832</v>
      </c>
      <c r="J284">
        <v>1103</v>
      </c>
    </row>
    <row r="285" spans="1:10" x14ac:dyDescent="0.3">
      <c r="A285" t="s">
        <v>568</v>
      </c>
      <c r="B285">
        <v>6</v>
      </c>
      <c r="C285">
        <v>4</v>
      </c>
      <c r="D285" s="7">
        <v>178.57</v>
      </c>
      <c r="E285" t="s">
        <v>271</v>
      </c>
      <c r="F285" t="s">
        <v>567</v>
      </c>
      <c r="I285" t="s">
        <v>833</v>
      </c>
      <c r="J285">
        <v>1104</v>
      </c>
    </row>
    <row r="286" spans="1:10" x14ac:dyDescent="0.3">
      <c r="A286" t="s">
        <v>568</v>
      </c>
      <c r="B286">
        <v>6</v>
      </c>
      <c r="C286">
        <v>5</v>
      </c>
      <c r="D286" s="7">
        <v>1184.4100000000001</v>
      </c>
      <c r="E286" t="s">
        <v>274</v>
      </c>
      <c r="F286" t="s">
        <v>567</v>
      </c>
      <c r="I286" t="s">
        <v>838</v>
      </c>
      <c r="J286">
        <v>1109</v>
      </c>
    </row>
    <row r="287" spans="1:10" x14ac:dyDescent="0.3">
      <c r="A287" t="s">
        <v>568</v>
      </c>
      <c r="B287">
        <v>6</v>
      </c>
      <c r="C287">
        <v>6</v>
      </c>
      <c r="D287" s="7">
        <v>267.14</v>
      </c>
      <c r="E287" t="s">
        <v>275</v>
      </c>
      <c r="F287" t="s">
        <v>567</v>
      </c>
      <c r="I287" t="s">
        <v>841</v>
      </c>
      <c r="J287">
        <v>1112</v>
      </c>
    </row>
    <row r="288" spans="1:10" x14ac:dyDescent="0.3">
      <c r="A288" t="s">
        <v>568</v>
      </c>
      <c r="B288">
        <v>6</v>
      </c>
      <c r="C288">
        <v>7</v>
      </c>
      <c r="D288" s="7">
        <v>342.29</v>
      </c>
      <c r="E288" t="s">
        <v>278</v>
      </c>
      <c r="F288" t="s">
        <v>567</v>
      </c>
      <c r="I288" t="s">
        <v>844</v>
      </c>
    </row>
    <row r="289" spans="1:10" x14ac:dyDescent="0.3">
      <c r="A289" t="s">
        <v>568</v>
      </c>
      <c r="B289">
        <v>6</v>
      </c>
      <c r="C289">
        <v>8</v>
      </c>
      <c r="D289" s="7">
        <v>351.36</v>
      </c>
      <c r="E289" t="s">
        <v>281</v>
      </c>
      <c r="F289" t="s">
        <v>567</v>
      </c>
      <c r="I289" t="s">
        <v>849</v>
      </c>
      <c r="J289">
        <v>1120</v>
      </c>
    </row>
    <row r="290" spans="1:10" x14ac:dyDescent="0.3">
      <c r="A290" t="s">
        <v>568</v>
      </c>
      <c r="B290">
        <v>6</v>
      </c>
      <c r="C290">
        <v>9</v>
      </c>
      <c r="D290" s="7">
        <v>319.05</v>
      </c>
      <c r="E290" t="s">
        <v>294</v>
      </c>
      <c r="F290" t="s">
        <v>567</v>
      </c>
      <c r="I290" t="s">
        <v>864</v>
      </c>
    </row>
    <row r="291" spans="1:10" x14ac:dyDescent="0.3">
      <c r="A291" t="s">
        <v>568</v>
      </c>
      <c r="B291">
        <v>6</v>
      </c>
      <c r="C291">
        <v>10</v>
      </c>
      <c r="D291" s="7">
        <v>279.05</v>
      </c>
      <c r="E291" t="s">
        <v>304</v>
      </c>
      <c r="F291" t="s">
        <v>567</v>
      </c>
      <c r="I291" t="s">
        <v>878</v>
      </c>
      <c r="J291">
        <v>1149</v>
      </c>
    </row>
    <row r="292" spans="1:10" x14ac:dyDescent="0.3">
      <c r="A292" t="s">
        <v>568</v>
      </c>
      <c r="B292">
        <v>6</v>
      </c>
      <c r="C292">
        <v>11</v>
      </c>
      <c r="D292" s="7">
        <v>490</v>
      </c>
      <c r="E292" t="s">
        <v>270</v>
      </c>
      <c r="F292" t="s">
        <v>567</v>
      </c>
      <c r="I292" t="s">
        <v>832</v>
      </c>
      <c r="J292">
        <v>1150</v>
      </c>
    </row>
    <row r="293" spans="1:10" x14ac:dyDescent="0.3">
      <c r="A293" t="s">
        <v>568</v>
      </c>
      <c r="B293">
        <v>6</v>
      </c>
      <c r="C293">
        <v>12</v>
      </c>
      <c r="D293" s="7">
        <v>125.25</v>
      </c>
      <c r="E293" t="s">
        <v>307</v>
      </c>
      <c r="F293" t="s">
        <v>567</v>
      </c>
      <c r="I293" t="s">
        <v>884</v>
      </c>
    </row>
    <row r="294" spans="1:10" x14ac:dyDescent="0.3">
      <c r="A294" t="s">
        <v>568</v>
      </c>
      <c r="B294">
        <v>6</v>
      </c>
      <c r="C294">
        <v>13</v>
      </c>
      <c r="D294" s="7">
        <v>799.05</v>
      </c>
      <c r="E294" t="s">
        <v>310</v>
      </c>
      <c r="F294" t="s">
        <v>567</v>
      </c>
      <c r="I294" t="s">
        <v>889</v>
      </c>
      <c r="J294">
        <v>1161</v>
      </c>
    </row>
    <row r="295" spans="1:10" x14ac:dyDescent="0.3">
      <c r="A295" t="s">
        <v>568</v>
      </c>
      <c r="B295">
        <v>6</v>
      </c>
      <c r="C295">
        <v>14</v>
      </c>
      <c r="D295" s="7">
        <v>424.07</v>
      </c>
      <c r="E295" t="s">
        <v>321</v>
      </c>
      <c r="F295" t="s">
        <v>567</v>
      </c>
      <c r="I295" t="s">
        <v>904</v>
      </c>
      <c r="J295">
        <v>1176</v>
      </c>
    </row>
    <row r="296" spans="1:10" x14ac:dyDescent="0.3">
      <c r="A296" t="s">
        <v>568</v>
      </c>
      <c r="B296">
        <v>6</v>
      </c>
      <c r="C296">
        <v>15</v>
      </c>
      <c r="D296" s="7">
        <v>565</v>
      </c>
      <c r="E296" t="s">
        <v>322</v>
      </c>
      <c r="F296" t="s">
        <v>567</v>
      </c>
      <c r="I296" t="s">
        <v>905</v>
      </c>
    </row>
    <row r="297" spans="1:10" x14ac:dyDescent="0.3">
      <c r="A297" t="s">
        <v>568</v>
      </c>
      <c r="B297">
        <v>6</v>
      </c>
      <c r="C297">
        <v>16</v>
      </c>
      <c r="D297" s="7">
        <v>35.36</v>
      </c>
      <c r="E297" t="s">
        <v>337</v>
      </c>
      <c r="F297" t="s">
        <v>567</v>
      </c>
      <c r="I297" t="s">
        <v>920</v>
      </c>
    </row>
    <row r="298" spans="1:10" x14ac:dyDescent="0.3">
      <c r="A298" t="s">
        <v>568</v>
      </c>
      <c r="B298">
        <v>6</v>
      </c>
      <c r="C298">
        <v>17</v>
      </c>
      <c r="D298" s="7">
        <v>370</v>
      </c>
      <c r="E298" t="s">
        <v>373</v>
      </c>
      <c r="F298" t="s">
        <v>567</v>
      </c>
      <c r="I298" t="s">
        <v>956</v>
      </c>
    </row>
    <row r="299" spans="1:10" x14ac:dyDescent="0.3">
      <c r="A299" t="s">
        <v>568</v>
      </c>
      <c r="B299">
        <v>6</v>
      </c>
      <c r="C299">
        <v>18</v>
      </c>
      <c r="D299" s="7">
        <v>225.52</v>
      </c>
      <c r="E299" t="s">
        <v>384</v>
      </c>
      <c r="F299" t="s">
        <v>567</v>
      </c>
      <c r="I299" t="s">
        <v>967</v>
      </c>
    </row>
    <row r="300" spans="1:10" x14ac:dyDescent="0.3">
      <c r="A300" t="s">
        <v>568</v>
      </c>
      <c r="B300">
        <v>6</v>
      </c>
      <c r="C300">
        <v>19</v>
      </c>
      <c r="D300" s="7">
        <v>846.02</v>
      </c>
      <c r="E300" t="s">
        <v>388</v>
      </c>
      <c r="F300" t="s">
        <v>567</v>
      </c>
      <c r="I300" t="s">
        <v>971</v>
      </c>
    </row>
    <row r="301" spans="1:10" x14ac:dyDescent="0.3">
      <c r="A301" t="s">
        <v>568</v>
      </c>
      <c r="B301">
        <v>6</v>
      </c>
      <c r="C301">
        <v>20</v>
      </c>
      <c r="D301" s="7">
        <v>256.67</v>
      </c>
      <c r="E301" t="s">
        <v>397</v>
      </c>
      <c r="F301" t="s">
        <v>567</v>
      </c>
      <c r="I301" t="s">
        <v>980</v>
      </c>
    </row>
    <row r="302" spans="1:10" x14ac:dyDescent="0.3">
      <c r="A302" t="s">
        <v>568</v>
      </c>
      <c r="B302">
        <v>6</v>
      </c>
      <c r="C302">
        <v>21</v>
      </c>
      <c r="D302" s="7">
        <v>618</v>
      </c>
      <c r="E302" t="s">
        <v>398</v>
      </c>
      <c r="F302" t="s">
        <v>567</v>
      </c>
      <c r="I302" t="s">
        <v>981</v>
      </c>
    </row>
    <row r="303" spans="1:10" x14ac:dyDescent="0.3">
      <c r="A303" t="s">
        <v>568</v>
      </c>
      <c r="B303">
        <v>6</v>
      </c>
      <c r="C303">
        <v>22</v>
      </c>
      <c r="D303" s="7">
        <v>367.24</v>
      </c>
      <c r="E303" t="s">
        <v>399</v>
      </c>
      <c r="F303" t="s">
        <v>567</v>
      </c>
      <c r="I303" t="s">
        <v>982</v>
      </c>
    </row>
    <row r="304" spans="1:10" x14ac:dyDescent="0.3">
      <c r="A304" t="s">
        <v>568</v>
      </c>
      <c r="B304">
        <v>6</v>
      </c>
      <c r="C304">
        <v>23</v>
      </c>
      <c r="D304" s="7">
        <v>367.24</v>
      </c>
      <c r="E304" t="s">
        <v>400</v>
      </c>
      <c r="F304" t="s">
        <v>567</v>
      </c>
      <c r="I304" t="s">
        <v>983</v>
      </c>
    </row>
    <row r="305" spans="1:10" x14ac:dyDescent="0.3">
      <c r="A305" t="s">
        <v>568</v>
      </c>
      <c r="B305">
        <v>6</v>
      </c>
      <c r="C305">
        <v>24</v>
      </c>
      <c r="D305" s="7">
        <v>430</v>
      </c>
      <c r="E305" t="s">
        <v>401</v>
      </c>
      <c r="F305" t="s">
        <v>567</v>
      </c>
      <c r="I305" t="s">
        <v>984</v>
      </c>
    </row>
    <row r="306" spans="1:10" x14ac:dyDescent="0.3">
      <c r="A306" t="s">
        <v>568</v>
      </c>
      <c r="B306">
        <v>6</v>
      </c>
      <c r="C306">
        <v>25</v>
      </c>
      <c r="D306" s="7">
        <v>600</v>
      </c>
      <c r="E306" t="s">
        <v>407</v>
      </c>
      <c r="F306" t="s">
        <v>567</v>
      </c>
      <c r="I306" t="s">
        <v>990</v>
      </c>
    </row>
    <row r="307" spans="1:10" x14ac:dyDescent="0.3">
      <c r="A307" t="s">
        <v>568</v>
      </c>
      <c r="B307">
        <v>6</v>
      </c>
      <c r="C307">
        <v>26</v>
      </c>
      <c r="D307" s="7">
        <v>552.97</v>
      </c>
      <c r="E307" t="s">
        <v>409</v>
      </c>
      <c r="F307" t="s">
        <v>567</v>
      </c>
      <c r="I307" t="s">
        <v>992</v>
      </c>
    </row>
    <row r="308" spans="1:10" x14ac:dyDescent="0.3">
      <c r="A308" t="s">
        <v>568</v>
      </c>
      <c r="B308">
        <v>6</v>
      </c>
      <c r="C308">
        <v>27</v>
      </c>
      <c r="D308" s="7">
        <v>590.48</v>
      </c>
      <c r="E308" t="s">
        <v>410</v>
      </c>
      <c r="F308" t="s">
        <v>567</v>
      </c>
      <c r="I308" t="s">
        <v>993</v>
      </c>
    </row>
    <row r="309" spans="1:10" x14ac:dyDescent="0.3">
      <c r="A309" t="s">
        <v>568</v>
      </c>
      <c r="B309">
        <v>6</v>
      </c>
      <c r="C309">
        <v>28</v>
      </c>
      <c r="D309" s="7">
        <v>181.52</v>
      </c>
      <c r="E309" t="s">
        <v>417</v>
      </c>
      <c r="F309" t="s">
        <v>567</v>
      </c>
      <c r="I309" t="s">
        <v>1000</v>
      </c>
      <c r="J309">
        <v>1273</v>
      </c>
    </row>
    <row r="310" spans="1:10" x14ac:dyDescent="0.3">
      <c r="A310" t="s">
        <v>568</v>
      </c>
      <c r="B310">
        <v>6</v>
      </c>
      <c r="C310">
        <v>29</v>
      </c>
      <c r="D310" s="7">
        <v>336</v>
      </c>
      <c r="E310" t="s">
        <v>418</v>
      </c>
      <c r="F310" t="s">
        <v>567</v>
      </c>
      <c r="I310" t="s">
        <v>1001</v>
      </c>
      <c r="J310">
        <v>1274</v>
      </c>
    </row>
    <row r="311" spans="1:10" x14ac:dyDescent="0.3">
      <c r="A311" t="s">
        <v>568</v>
      </c>
      <c r="B311">
        <v>6</v>
      </c>
      <c r="C311">
        <v>30</v>
      </c>
      <c r="D311" s="7">
        <v>795.62</v>
      </c>
      <c r="E311" t="s">
        <v>425</v>
      </c>
      <c r="F311" t="s">
        <v>567</v>
      </c>
      <c r="I311" t="s">
        <v>1008</v>
      </c>
      <c r="J311">
        <v>1281</v>
      </c>
    </row>
    <row r="312" spans="1:10" x14ac:dyDescent="0.3">
      <c r="A312" t="s">
        <v>568</v>
      </c>
      <c r="B312">
        <v>6</v>
      </c>
      <c r="C312">
        <v>31</v>
      </c>
      <c r="D312" s="7">
        <v>925.05</v>
      </c>
      <c r="E312" t="s">
        <v>462</v>
      </c>
      <c r="F312" t="s">
        <v>567</v>
      </c>
      <c r="I312" t="s">
        <v>1045</v>
      </c>
    </row>
    <row r="313" spans="1:10" x14ac:dyDescent="0.3">
      <c r="A313" t="s">
        <v>568</v>
      </c>
      <c r="B313">
        <v>6</v>
      </c>
      <c r="C313">
        <v>32</v>
      </c>
      <c r="D313" s="7">
        <v>497.71</v>
      </c>
      <c r="E313" t="s">
        <v>463</v>
      </c>
      <c r="F313" t="s">
        <v>567</v>
      </c>
      <c r="I313" t="s">
        <v>1046</v>
      </c>
    </row>
    <row r="314" spans="1:10" x14ac:dyDescent="0.3">
      <c r="A314" t="s">
        <v>568</v>
      </c>
      <c r="B314">
        <v>6</v>
      </c>
      <c r="C314">
        <v>33</v>
      </c>
      <c r="D314" s="7">
        <v>350</v>
      </c>
      <c r="E314" t="s">
        <v>464</v>
      </c>
      <c r="F314" t="s">
        <v>567</v>
      </c>
      <c r="I314" t="s">
        <v>1047</v>
      </c>
    </row>
    <row r="315" spans="1:10" x14ac:dyDescent="0.3">
      <c r="A315" t="s">
        <v>568</v>
      </c>
      <c r="B315">
        <v>6</v>
      </c>
      <c r="C315">
        <v>34</v>
      </c>
      <c r="D315" s="7">
        <v>362.2</v>
      </c>
      <c r="E315" t="s">
        <v>465</v>
      </c>
      <c r="F315" t="s">
        <v>567</v>
      </c>
      <c r="I315" t="s">
        <v>1048</v>
      </c>
      <c r="J315">
        <v>1321</v>
      </c>
    </row>
    <row r="316" spans="1:10" x14ac:dyDescent="0.3">
      <c r="A316" t="s">
        <v>568</v>
      </c>
      <c r="B316">
        <v>6</v>
      </c>
      <c r="C316">
        <v>35</v>
      </c>
      <c r="D316" s="7">
        <v>120.38</v>
      </c>
      <c r="E316" t="s">
        <v>487</v>
      </c>
      <c r="F316" t="s">
        <v>567</v>
      </c>
      <c r="I316" t="s">
        <v>1070</v>
      </c>
    </row>
    <row r="317" spans="1:10" x14ac:dyDescent="0.3">
      <c r="A317" t="s">
        <v>568</v>
      </c>
      <c r="B317">
        <v>6</v>
      </c>
      <c r="C317">
        <v>36</v>
      </c>
      <c r="D317" s="7">
        <v>150</v>
      </c>
      <c r="E317" t="s">
        <v>488</v>
      </c>
      <c r="F317" t="s">
        <v>567</v>
      </c>
      <c r="I317" t="s">
        <v>1071</v>
      </c>
    </row>
    <row r="318" spans="1:10" x14ac:dyDescent="0.3">
      <c r="A318" t="s">
        <v>568</v>
      </c>
      <c r="B318">
        <v>6</v>
      </c>
      <c r="C318">
        <v>37</v>
      </c>
      <c r="D318" s="7">
        <v>231.05</v>
      </c>
      <c r="E318" t="s">
        <v>491</v>
      </c>
      <c r="F318" t="s">
        <v>567</v>
      </c>
      <c r="I318" t="s">
        <v>1074</v>
      </c>
    </row>
    <row r="319" spans="1:10" x14ac:dyDescent="0.3">
      <c r="A319" t="s">
        <v>568</v>
      </c>
      <c r="B319">
        <v>6</v>
      </c>
      <c r="C319">
        <v>38</v>
      </c>
      <c r="D319" s="7">
        <v>106.1</v>
      </c>
      <c r="E319" t="s">
        <v>506</v>
      </c>
      <c r="F319" t="s">
        <v>567</v>
      </c>
      <c r="I319" t="s">
        <v>1089</v>
      </c>
      <c r="J319">
        <v>1362</v>
      </c>
    </row>
    <row r="320" spans="1:10" x14ac:dyDescent="0.3">
      <c r="A320" t="s">
        <v>568</v>
      </c>
      <c r="B320">
        <v>6</v>
      </c>
      <c r="C320">
        <v>39</v>
      </c>
      <c r="D320" s="7">
        <v>65.05</v>
      </c>
      <c r="E320" t="s">
        <v>507</v>
      </c>
      <c r="F320" t="s">
        <v>567</v>
      </c>
      <c r="I320" t="s">
        <v>1090</v>
      </c>
    </row>
    <row r="321" spans="1:10" x14ac:dyDescent="0.3">
      <c r="A321" t="s">
        <v>568</v>
      </c>
      <c r="B321">
        <v>6</v>
      </c>
      <c r="C321">
        <v>40</v>
      </c>
      <c r="D321" s="7">
        <v>127.33</v>
      </c>
      <c r="E321" t="s">
        <v>508</v>
      </c>
      <c r="F321" t="s">
        <v>567</v>
      </c>
      <c r="I321" t="s">
        <v>1091</v>
      </c>
    </row>
    <row r="322" spans="1:10" x14ac:dyDescent="0.3">
      <c r="A322" t="s">
        <v>568</v>
      </c>
      <c r="B322">
        <v>6</v>
      </c>
      <c r="C322">
        <v>41</v>
      </c>
      <c r="D322" s="7">
        <v>327.52</v>
      </c>
      <c r="E322" t="s">
        <v>509</v>
      </c>
      <c r="F322" t="s">
        <v>567</v>
      </c>
      <c r="I322" t="s">
        <v>1092</v>
      </c>
      <c r="J322">
        <v>1365</v>
      </c>
    </row>
    <row r="323" spans="1:10" x14ac:dyDescent="0.3">
      <c r="A323" t="s">
        <v>568</v>
      </c>
      <c r="B323">
        <v>6</v>
      </c>
      <c r="C323">
        <v>42</v>
      </c>
      <c r="D323" s="7">
        <v>766.95</v>
      </c>
      <c r="E323" t="s">
        <v>548</v>
      </c>
      <c r="F323" t="s">
        <v>567</v>
      </c>
      <c r="I323" t="s">
        <v>1131</v>
      </c>
    </row>
    <row r="324" spans="1:10" x14ac:dyDescent="0.3">
      <c r="A324" t="s">
        <v>4059</v>
      </c>
      <c r="B324">
        <v>7</v>
      </c>
      <c r="C324">
        <v>1</v>
      </c>
      <c r="D324" s="7">
        <v>237.5</v>
      </c>
      <c r="E324" t="s">
        <v>2868</v>
      </c>
      <c r="F324" t="s">
        <v>4060</v>
      </c>
      <c r="I324" t="s">
        <v>4061</v>
      </c>
      <c r="J324">
        <v>2101</v>
      </c>
    </row>
    <row r="325" spans="1:10" x14ac:dyDescent="0.3">
      <c r="A325" t="s">
        <v>4059</v>
      </c>
      <c r="B325">
        <v>7</v>
      </c>
      <c r="C325">
        <v>2</v>
      </c>
      <c r="D325" s="7">
        <v>47.77</v>
      </c>
      <c r="E325" t="s">
        <v>2945</v>
      </c>
      <c r="F325" t="s">
        <v>4060</v>
      </c>
      <c r="I325" t="s">
        <v>4062</v>
      </c>
    </row>
    <row r="326" spans="1:10" x14ac:dyDescent="0.3">
      <c r="A326" t="s">
        <v>4059</v>
      </c>
      <c r="B326">
        <v>7</v>
      </c>
      <c r="C326">
        <v>3</v>
      </c>
      <c r="D326" s="7">
        <v>526.07000000000005</v>
      </c>
      <c r="E326" t="s">
        <v>2947</v>
      </c>
      <c r="F326" t="s">
        <v>4060</v>
      </c>
      <c r="H326" t="s">
        <v>2949</v>
      </c>
      <c r="I326" t="s">
        <v>4063</v>
      </c>
      <c r="J326">
        <v>2123</v>
      </c>
    </row>
    <row r="327" spans="1:10" x14ac:dyDescent="0.3">
      <c r="A327" t="s">
        <v>4059</v>
      </c>
      <c r="B327">
        <v>7</v>
      </c>
      <c r="C327">
        <v>4</v>
      </c>
      <c r="D327" s="7">
        <v>106.36</v>
      </c>
      <c r="E327" t="s">
        <v>2960</v>
      </c>
      <c r="F327" t="s">
        <v>4060</v>
      </c>
      <c r="I327" t="s">
        <v>4064</v>
      </c>
      <c r="J327">
        <v>2126</v>
      </c>
    </row>
    <row r="328" spans="1:10" x14ac:dyDescent="0.3">
      <c r="A328" t="s">
        <v>4059</v>
      </c>
      <c r="B328">
        <v>7</v>
      </c>
      <c r="C328">
        <v>5</v>
      </c>
      <c r="D328" s="7">
        <v>215</v>
      </c>
      <c r="E328" t="s">
        <v>2969</v>
      </c>
      <c r="F328" t="s">
        <v>4060</v>
      </c>
      <c r="I328" t="s">
        <v>4065</v>
      </c>
      <c r="J328">
        <v>2128</v>
      </c>
    </row>
    <row r="329" spans="1:10" x14ac:dyDescent="0.3">
      <c r="A329" t="s">
        <v>4059</v>
      </c>
      <c r="B329">
        <v>7</v>
      </c>
      <c r="C329">
        <v>6</v>
      </c>
      <c r="D329" s="7">
        <v>240.54</v>
      </c>
      <c r="E329" t="s">
        <v>2995</v>
      </c>
      <c r="F329" t="s">
        <v>4060</v>
      </c>
      <c r="I329" t="s">
        <v>4066</v>
      </c>
      <c r="J329">
        <v>2134</v>
      </c>
    </row>
    <row r="330" spans="1:10" x14ac:dyDescent="0.3">
      <c r="A330" t="s">
        <v>4059</v>
      </c>
      <c r="B330">
        <v>7</v>
      </c>
      <c r="C330">
        <v>7</v>
      </c>
      <c r="D330" s="7">
        <v>476.34</v>
      </c>
      <c r="E330" t="s">
        <v>3016</v>
      </c>
      <c r="F330" t="s">
        <v>4060</v>
      </c>
      <c r="H330" t="s">
        <v>3018</v>
      </c>
      <c r="I330" t="s">
        <v>4067</v>
      </c>
    </row>
    <row r="331" spans="1:10" x14ac:dyDescent="0.3">
      <c r="A331" t="s">
        <v>4059</v>
      </c>
      <c r="B331">
        <v>7</v>
      </c>
      <c r="C331">
        <v>8</v>
      </c>
      <c r="D331" s="7">
        <v>215</v>
      </c>
      <c r="E331" t="s">
        <v>3023</v>
      </c>
      <c r="F331" t="s">
        <v>4060</v>
      </c>
      <c r="I331" t="s">
        <v>4068</v>
      </c>
      <c r="J331">
        <v>2141</v>
      </c>
    </row>
    <row r="332" spans="1:10" x14ac:dyDescent="0.3">
      <c r="A332" t="s">
        <v>4059</v>
      </c>
      <c r="B332">
        <v>7</v>
      </c>
      <c r="C332">
        <v>9</v>
      </c>
      <c r="D332" s="7">
        <v>9285.7099999999991</v>
      </c>
      <c r="E332" t="s">
        <v>3058</v>
      </c>
      <c r="F332" t="s">
        <v>4060</v>
      </c>
      <c r="H332" t="s">
        <v>3060</v>
      </c>
      <c r="I332" t="s">
        <v>4069</v>
      </c>
    </row>
    <row r="333" spans="1:10" x14ac:dyDescent="0.3">
      <c r="A333" t="s">
        <v>4059</v>
      </c>
      <c r="B333">
        <v>7</v>
      </c>
      <c r="C333">
        <v>10</v>
      </c>
      <c r="D333" s="7">
        <v>235.54</v>
      </c>
      <c r="E333" t="s">
        <v>3159</v>
      </c>
      <c r="F333" t="s">
        <v>4060</v>
      </c>
      <c r="I333" t="s">
        <v>4070</v>
      </c>
      <c r="J333">
        <v>2175</v>
      </c>
    </row>
    <row r="334" spans="1:10" x14ac:dyDescent="0.3">
      <c r="A334" t="s">
        <v>4059</v>
      </c>
      <c r="B334">
        <v>7</v>
      </c>
      <c r="C334">
        <v>11</v>
      </c>
      <c r="D334" s="7">
        <v>240</v>
      </c>
      <c r="E334" t="s">
        <v>3209</v>
      </c>
      <c r="F334" t="s">
        <v>4060</v>
      </c>
      <c r="I334" t="s">
        <v>4071</v>
      </c>
      <c r="J334">
        <v>2187</v>
      </c>
    </row>
    <row r="335" spans="1:10" x14ac:dyDescent="0.3">
      <c r="A335" t="s">
        <v>4059</v>
      </c>
      <c r="B335">
        <v>7</v>
      </c>
      <c r="C335">
        <v>12</v>
      </c>
      <c r="D335" s="7">
        <v>193.04</v>
      </c>
      <c r="E335" t="s">
        <v>3217</v>
      </c>
      <c r="F335" t="s">
        <v>4060</v>
      </c>
      <c r="I335" t="s">
        <v>4072</v>
      </c>
      <c r="J335">
        <v>2189</v>
      </c>
    </row>
    <row r="336" spans="1:10" x14ac:dyDescent="0.3">
      <c r="A336" t="s">
        <v>4059</v>
      </c>
      <c r="B336">
        <v>7</v>
      </c>
      <c r="C336">
        <v>13</v>
      </c>
      <c r="D336" s="7">
        <v>467.05</v>
      </c>
      <c r="E336" t="s">
        <v>3225</v>
      </c>
      <c r="F336" t="s">
        <v>4060</v>
      </c>
      <c r="I336" t="s">
        <v>4073</v>
      </c>
      <c r="J336">
        <v>2191</v>
      </c>
    </row>
    <row r="337" spans="1:10" x14ac:dyDescent="0.3">
      <c r="A337" t="s">
        <v>4059</v>
      </c>
      <c r="B337">
        <v>7</v>
      </c>
      <c r="C337">
        <v>14</v>
      </c>
      <c r="D337" s="7">
        <v>206.43</v>
      </c>
      <c r="E337" t="s">
        <v>3264</v>
      </c>
      <c r="F337" t="s">
        <v>4060</v>
      </c>
      <c r="I337" t="s">
        <v>4074</v>
      </c>
      <c r="J337">
        <v>2202</v>
      </c>
    </row>
    <row r="338" spans="1:10" x14ac:dyDescent="0.3">
      <c r="A338" t="s">
        <v>4059</v>
      </c>
      <c r="B338">
        <v>7</v>
      </c>
      <c r="C338">
        <v>15</v>
      </c>
      <c r="D338" s="7">
        <v>220.89</v>
      </c>
      <c r="E338" t="s">
        <v>3273</v>
      </c>
      <c r="F338" t="s">
        <v>4060</v>
      </c>
      <c r="I338" t="s">
        <v>4075</v>
      </c>
      <c r="J338">
        <v>2204</v>
      </c>
    </row>
    <row r="339" spans="1:10" x14ac:dyDescent="0.3">
      <c r="A339" t="s">
        <v>4059</v>
      </c>
      <c r="B339">
        <v>7</v>
      </c>
      <c r="C339">
        <v>16</v>
      </c>
      <c r="D339" s="7">
        <v>215</v>
      </c>
      <c r="E339" t="s">
        <v>3284</v>
      </c>
      <c r="F339" t="s">
        <v>4060</v>
      </c>
      <c r="I339" t="s">
        <v>4076</v>
      </c>
      <c r="J339">
        <v>2207</v>
      </c>
    </row>
    <row r="340" spans="1:10" x14ac:dyDescent="0.3">
      <c r="A340" t="s">
        <v>4059</v>
      </c>
      <c r="B340">
        <v>7</v>
      </c>
      <c r="C340">
        <v>17</v>
      </c>
      <c r="D340" s="7">
        <v>511.07</v>
      </c>
      <c r="E340" t="s">
        <v>3316</v>
      </c>
      <c r="F340" t="s">
        <v>4060</v>
      </c>
      <c r="I340" t="s">
        <v>4077</v>
      </c>
      <c r="J340">
        <v>2216</v>
      </c>
    </row>
    <row r="341" spans="1:10" x14ac:dyDescent="0.3">
      <c r="A341" t="s">
        <v>4059</v>
      </c>
      <c r="B341">
        <v>7</v>
      </c>
      <c r="C341">
        <v>18</v>
      </c>
      <c r="D341" s="7">
        <v>4650</v>
      </c>
      <c r="E341" t="s">
        <v>3397</v>
      </c>
      <c r="F341" t="s">
        <v>4060</v>
      </c>
      <c r="H341" t="s">
        <v>3399</v>
      </c>
      <c r="I341" t="s">
        <v>4078</v>
      </c>
    </row>
    <row r="342" spans="1:10" x14ac:dyDescent="0.3">
      <c r="A342" t="s">
        <v>4059</v>
      </c>
      <c r="B342">
        <v>7</v>
      </c>
      <c r="C342">
        <v>19</v>
      </c>
      <c r="D342" s="7">
        <v>425.8</v>
      </c>
      <c r="E342" t="s">
        <v>3411</v>
      </c>
      <c r="F342" t="s">
        <v>4060</v>
      </c>
      <c r="H342" t="s">
        <v>3413</v>
      </c>
      <c r="I342" t="s">
        <v>4079</v>
      </c>
      <c r="J342">
        <v>2243</v>
      </c>
    </row>
    <row r="343" spans="1:10" x14ac:dyDescent="0.3">
      <c r="A343" t="s">
        <v>4059</v>
      </c>
      <c r="B343">
        <v>7</v>
      </c>
      <c r="C343">
        <v>20</v>
      </c>
      <c r="D343" s="7">
        <v>4500</v>
      </c>
      <c r="E343" t="s">
        <v>3416</v>
      </c>
      <c r="F343" t="s">
        <v>4060</v>
      </c>
      <c r="H343" t="s">
        <v>3418</v>
      </c>
      <c r="I343" t="s">
        <v>4080</v>
      </c>
    </row>
    <row r="344" spans="1:10" x14ac:dyDescent="0.3">
      <c r="A344" t="s">
        <v>4059</v>
      </c>
      <c r="B344">
        <v>7</v>
      </c>
      <c r="C344">
        <v>21</v>
      </c>
      <c r="D344" s="7">
        <v>50</v>
      </c>
      <c r="E344" t="s">
        <v>3429</v>
      </c>
      <c r="F344" t="s">
        <v>4060</v>
      </c>
      <c r="I344" t="s">
        <v>4081</v>
      </c>
    </row>
    <row r="345" spans="1:10" x14ac:dyDescent="0.3">
      <c r="A345" t="s">
        <v>4059</v>
      </c>
      <c r="B345">
        <v>7</v>
      </c>
      <c r="C345">
        <v>22</v>
      </c>
      <c r="D345" s="7">
        <v>8164.64</v>
      </c>
      <c r="E345" t="s">
        <v>3431</v>
      </c>
      <c r="F345" t="s">
        <v>4060</v>
      </c>
      <c r="H345" t="s">
        <v>3433</v>
      </c>
      <c r="I345" t="s">
        <v>4082</v>
      </c>
    </row>
    <row r="346" spans="1:10" x14ac:dyDescent="0.3">
      <c r="A346" t="s">
        <v>4059</v>
      </c>
      <c r="B346">
        <v>7</v>
      </c>
      <c r="C346">
        <v>23</v>
      </c>
      <c r="D346" s="7">
        <v>138</v>
      </c>
      <c r="E346" t="s">
        <v>3476</v>
      </c>
      <c r="F346" t="s">
        <v>4060</v>
      </c>
      <c r="I346" t="s">
        <v>4083</v>
      </c>
    </row>
    <row r="347" spans="1:10" x14ac:dyDescent="0.3">
      <c r="A347" t="s">
        <v>4059</v>
      </c>
      <c r="B347">
        <v>7</v>
      </c>
      <c r="C347">
        <v>24</v>
      </c>
      <c r="D347" s="7">
        <v>2305</v>
      </c>
      <c r="E347" t="s">
        <v>3483</v>
      </c>
      <c r="F347" t="s">
        <v>4060</v>
      </c>
      <c r="H347" t="s">
        <v>3485</v>
      </c>
      <c r="I347" t="s">
        <v>4084</v>
      </c>
    </row>
    <row r="348" spans="1:10" x14ac:dyDescent="0.3">
      <c r="A348" t="s">
        <v>4059</v>
      </c>
      <c r="B348">
        <v>7</v>
      </c>
      <c r="C348">
        <v>25</v>
      </c>
      <c r="D348" s="7">
        <v>209.02</v>
      </c>
      <c r="E348" t="s">
        <v>3506</v>
      </c>
      <c r="F348" t="s">
        <v>4060</v>
      </c>
      <c r="I348" t="s">
        <v>4085</v>
      </c>
    </row>
    <row r="349" spans="1:10" x14ac:dyDescent="0.3">
      <c r="A349" t="s">
        <v>4059</v>
      </c>
      <c r="B349">
        <v>7</v>
      </c>
      <c r="C349">
        <v>26</v>
      </c>
      <c r="D349" s="7">
        <v>442.59</v>
      </c>
      <c r="E349" t="s">
        <v>3508</v>
      </c>
      <c r="F349" t="s">
        <v>4060</v>
      </c>
      <c r="I349" t="s">
        <v>4086</v>
      </c>
    </row>
    <row r="350" spans="1:10" x14ac:dyDescent="0.3">
      <c r="A350" t="s">
        <v>4059</v>
      </c>
      <c r="B350">
        <v>7</v>
      </c>
      <c r="C350">
        <v>27</v>
      </c>
      <c r="D350" s="7">
        <v>210</v>
      </c>
      <c r="E350" t="s">
        <v>3564</v>
      </c>
      <c r="F350" t="s">
        <v>4060</v>
      </c>
      <c r="I350" t="s">
        <v>4087</v>
      </c>
      <c r="J350">
        <v>2296</v>
      </c>
    </row>
    <row r="351" spans="1:10" x14ac:dyDescent="0.3">
      <c r="A351" t="s">
        <v>4059</v>
      </c>
      <c r="B351">
        <v>7</v>
      </c>
      <c r="C351">
        <v>28</v>
      </c>
      <c r="D351" s="7">
        <v>210</v>
      </c>
      <c r="E351" t="s">
        <v>3568</v>
      </c>
      <c r="F351" t="s">
        <v>4060</v>
      </c>
      <c r="I351" t="s">
        <v>4088</v>
      </c>
      <c r="J351">
        <v>2297</v>
      </c>
    </row>
    <row r="352" spans="1:10" x14ac:dyDescent="0.3">
      <c r="A352" t="s">
        <v>4059</v>
      </c>
      <c r="B352">
        <v>7</v>
      </c>
      <c r="C352">
        <v>29</v>
      </c>
      <c r="D352" s="7">
        <v>49.02</v>
      </c>
      <c r="E352" t="s">
        <v>3595</v>
      </c>
      <c r="F352" t="s">
        <v>4060</v>
      </c>
      <c r="I352" t="s">
        <v>4089</v>
      </c>
    </row>
    <row r="353" spans="1:10" x14ac:dyDescent="0.3">
      <c r="A353" t="s">
        <v>4059</v>
      </c>
      <c r="B353">
        <v>7</v>
      </c>
      <c r="C353">
        <v>30</v>
      </c>
      <c r="D353" s="7">
        <v>191.07</v>
      </c>
      <c r="E353" t="s">
        <v>3613</v>
      </c>
      <c r="F353" t="s">
        <v>4060</v>
      </c>
      <c r="I353" t="s">
        <v>4090</v>
      </c>
    </row>
    <row r="354" spans="1:10" x14ac:dyDescent="0.3">
      <c r="A354" t="s">
        <v>4059</v>
      </c>
      <c r="B354">
        <v>7</v>
      </c>
      <c r="C354">
        <v>31</v>
      </c>
      <c r="D354" s="7">
        <v>208.48</v>
      </c>
      <c r="E354" t="s">
        <v>3781</v>
      </c>
      <c r="F354" t="s">
        <v>4060</v>
      </c>
      <c r="I354" t="s">
        <v>4091</v>
      </c>
    </row>
    <row r="355" spans="1:10" x14ac:dyDescent="0.3">
      <c r="A355" t="s">
        <v>4059</v>
      </c>
      <c r="B355">
        <v>7</v>
      </c>
      <c r="C355">
        <v>32</v>
      </c>
      <c r="D355" s="7">
        <v>218.39</v>
      </c>
      <c r="E355" t="s">
        <v>3783</v>
      </c>
      <c r="F355" t="s">
        <v>4060</v>
      </c>
      <c r="I355" t="s">
        <v>4092</v>
      </c>
    </row>
    <row r="356" spans="1:10" x14ac:dyDescent="0.3">
      <c r="A356" t="s">
        <v>4059</v>
      </c>
      <c r="B356">
        <v>7</v>
      </c>
      <c r="C356">
        <v>33</v>
      </c>
      <c r="D356" s="7">
        <v>428.84</v>
      </c>
      <c r="E356" t="s">
        <v>3785</v>
      </c>
      <c r="F356" t="s">
        <v>4060</v>
      </c>
      <c r="H356" t="s">
        <v>3787</v>
      </c>
      <c r="I356" t="s">
        <v>4093</v>
      </c>
    </row>
    <row r="357" spans="1:10" x14ac:dyDescent="0.3">
      <c r="A357" t="s">
        <v>4059</v>
      </c>
      <c r="B357">
        <v>7</v>
      </c>
      <c r="C357">
        <v>34</v>
      </c>
      <c r="D357" s="7">
        <v>226.96</v>
      </c>
      <c r="E357" t="s">
        <v>3790</v>
      </c>
      <c r="F357" t="s">
        <v>4060</v>
      </c>
      <c r="I357" t="s">
        <v>4094</v>
      </c>
    </row>
    <row r="358" spans="1:10" x14ac:dyDescent="0.3">
      <c r="A358" t="s">
        <v>4059</v>
      </c>
      <c r="B358">
        <v>7</v>
      </c>
      <c r="C358">
        <v>35</v>
      </c>
      <c r="D358" s="7">
        <v>6525</v>
      </c>
      <c r="E358" t="s">
        <v>3809</v>
      </c>
      <c r="F358" t="s">
        <v>4060</v>
      </c>
      <c r="H358" t="s">
        <v>3811</v>
      </c>
      <c r="I358" t="s">
        <v>4095</v>
      </c>
    </row>
    <row r="359" spans="1:10" x14ac:dyDescent="0.3">
      <c r="A359" t="s">
        <v>4059</v>
      </c>
      <c r="B359">
        <v>7</v>
      </c>
      <c r="C359">
        <v>36</v>
      </c>
      <c r="D359" s="7">
        <v>50</v>
      </c>
      <c r="E359" t="s">
        <v>3818</v>
      </c>
      <c r="F359" t="s">
        <v>4060</v>
      </c>
      <c r="I359" t="s">
        <v>4096</v>
      </c>
      <c r="J359">
        <v>2382</v>
      </c>
    </row>
    <row r="360" spans="1:10" x14ac:dyDescent="0.3">
      <c r="A360" t="s">
        <v>4059</v>
      </c>
      <c r="B360">
        <v>7</v>
      </c>
      <c r="C360">
        <v>37</v>
      </c>
      <c r="D360" s="7">
        <v>216.25</v>
      </c>
      <c r="E360" t="s">
        <v>3911</v>
      </c>
      <c r="F360" t="s">
        <v>4060</v>
      </c>
      <c r="I360" t="s">
        <v>4097</v>
      </c>
    </row>
    <row r="361" spans="1:10" x14ac:dyDescent="0.3">
      <c r="A361" t="s">
        <v>4059</v>
      </c>
      <c r="B361">
        <v>7</v>
      </c>
      <c r="C361">
        <v>38</v>
      </c>
      <c r="D361" s="7">
        <v>223.04</v>
      </c>
      <c r="E361" t="s">
        <v>3917</v>
      </c>
      <c r="F361" t="s">
        <v>4060</v>
      </c>
      <c r="I361" t="s">
        <v>4098</v>
      </c>
    </row>
    <row r="362" spans="1:10" x14ac:dyDescent="0.3">
      <c r="A362" t="s">
        <v>4059</v>
      </c>
      <c r="B362">
        <v>7</v>
      </c>
      <c r="C362">
        <v>39</v>
      </c>
      <c r="D362" s="7">
        <v>79.05</v>
      </c>
      <c r="E362" t="s">
        <v>3921</v>
      </c>
      <c r="F362" t="s">
        <v>4060</v>
      </c>
      <c r="I362" t="s">
        <v>4099</v>
      </c>
    </row>
    <row r="363" spans="1:10" x14ac:dyDescent="0.3">
      <c r="A363" t="s">
        <v>4059</v>
      </c>
      <c r="B363">
        <v>7</v>
      </c>
      <c r="C363">
        <v>40</v>
      </c>
      <c r="D363" s="7">
        <v>238.84</v>
      </c>
      <c r="E363" t="s">
        <v>3934</v>
      </c>
      <c r="F363" t="s">
        <v>4060</v>
      </c>
      <c r="I363" t="s">
        <v>4100</v>
      </c>
    </row>
    <row r="364" spans="1:10" x14ac:dyDescent="0.3">
      <c r="A364" t="s">
        <v>4059</v>
      </c>
      <c r="B364">
        <v>7</v>
      </c>
      <c r="C364">
        <v>41</v>
      </c>
      <c r="D364" s="7">
        <v>238.84</v>
      </c>
      <c r="E364" t="s">
        <v>3936</v>
      </c>
      <c r="F364" t="s">
        <v>4060</v>
      </c>
      <c r="I364" t="s">
        <v>4101</v>
      </c>
    </row>
    <row r="365" spans="1:10" x14ac:dyDescent="0.3">
      <c r="A365" t="s">
        <v>4059</v>
      </c>
      <c r="B365">
        <v>7</v>
      </c>
      <c r="C365">
        <v>42</v>
      </c>
      <c r="D365" s="7">
        <v>190</v>
      </c>
      <c r="E365" t="s">
        <v>3964</v>
      </c>
      <c r="F365" t="s">
        <v>4060</v>
      </c>
      <c r="I365" t="s">
        <v>4102</v>
      </c>
    </row>
    <row r="366" spans="1:10" x14ac:dyDescent="0.3">
      <c r="A366" t="s">
        <v>4059</v>
      </c>
      <c r="B366">
        <v>7</v>
      </c>
      <c r="C366">
        <v>43</v>
      </c>
      <c r="D366" s="7">
        <v>206.25</v>
      </c>
      <c r="E366" t="s">
        <v>3966</v>
      </c>
      <c r="F366" t="s">
        <v>4060</v>
      </c>
      <c r="I366" t="s">
        <v>4103</v>
      </c>
    </row>
    <row r="367" spans="1:10" x14ac:dyDescent="0.3">
      <c r="A367" t="s">
        <v>4059</v>
      </c>
      <c r="B367">
        <v>7</v>
      </c>
      <c r="C367">
        <v>44</v>
      </c>
      <c r="D367" s="7">
        <v>238.21</v>
      </c>
      <c r="E367" t="s">
        <v>3981</v>
      </c>
      <c r="F367" t="s">
        <v>4060</v>
      </c>
      <c r="I367" t="s">
        <v>4104</v>
      </c>
      <c r="J367">
        <v>2442</v>
      </c>
    </row>
    <row r="368" spans="1:10" x14ac:dyDescent="0.3">
      <c r="A368" t="s">
        <v>4059</v>
      </c>
      <c r="B368">
        <v>7</v>
      </c>
      <c r="C368">
        <v>45</v>
      </c>
      <c r="D368" s="7">
        <v>46.7</v>
      </c>
      <c r="E368" t="s">
        <v>3988</v>
      </c>
      <c r="F368" t="s">
        <v>4060</v>
      </c>
      <c r="I368" t="s">
        <v>4105</v>
      </c>
    </row>
    <row r="369" spans="1:10" x14ac:dyDescent="0.3">
      <c r="A369" t="s">
        <v>4059</v>
      </c>
      <c r="B369">
        <v>7</v>
      </c>
      <c r="C369">
        <v>46</v>
      </c>
      <c r="D369" s="7">
        <v>40.71</v>
      </c>
      <c r="E369" t="s">
        <v>4003</v>
      </c>
      <c r="F369" t="s">
        <v>4060</v>
      </c>
      <c r="I369" t="s">
        <v>4106</v>
      </c>
      <c r="J369">
        <v>2449</v>
      </c>
    </row>
    <row r="370" spans="1:10" x14ac:dyDescent="0.3">
      <c r="A370" t="s">
        <v>4059</v>
      </c>
      <c r="B370">
        <v>7</v>
      </c>
      <c r="C370">
        <v>47</v>
      </c>
      <c r="D370" s="7">
        <v>242.5</v>
      </c>
      <c r="E370" t="s">
        <v>4013</v>
      </c>
      <c r="F370" t="s">
        <v>4060</v>
      </c>
      <c r="I370" t="s">
        <v>4107</v>
      </c>
      <c r="J370">
        <v>2452</v>
      </c>
    </row>
    <row r="371" spans="1:10" x14ac:dyDescent="0.3">
      <c r="A371" t="s">
        <v>4059</v>
      </c>
      <c r="B371">
        <v>7</v>
      </c>
      <c r="C371">
        <v>48</v>
      </c>
      <c r="D371" s="7">
        <v>243.04</v>
      </c>
      <c r="E371" t="s">
        <v>4017</v>
      </c>
      <c r="F371" t="s">
        <v>4060</v>
      </c>
      <c r="I371" t="s">
        <v>4108</v>
      </c>
      <c r="J371">
        <v>2453</v>
      </c>
    </row>
    <row r="372" spans="1:10" x14ac:dyDescent="0.3">
      <c r="A372" t="s">
        <v>4059</v>
      </c>
      <c r="B372">
        <v>7</v>
      </c>
      <c r="C372">
        <v>49</v>
      </c>
      <c r="D372" s="7">
        <v>286.07</v>
      </c>
      <c r="E372" t="s">
        <v>4046</v>
      </c>
      <c r="F372" t="s">
        <v>4060</v>
      </c>
      <c r="I372" t="s">
        <v>4109</v>
      </c>
      <c r="J372">
        <v>2460</v>
      </c>
    </row>
    <row r="373" spans="1:10" x14ac:dyDescent="0.3">
      <c r="A373" t="s">
        <v>4110</v>
      </c>
      <c r="B373">
        <v>8</v>
      </c>
      <c r="C373">
        <v>1</v>
      </c>
      <c r="D373" s="7">
        <v>414.64</v>
      </c>
      <c r="E373" t="s">
        <v>2897</v>
      </c>
      <c r="F373" t="s">
        <v>4060</v>
      </c>
      <c r="I373" t="s">
        <v>4111</v>
      </c>
      <c r="J373">
        <v>2109</v>
      </c>
    </row>
    <row r="374" spans="1:10" x14ac:dyDescent="0.3">
      <c r="A374" t="s">
        <v>4110</v>
      </c>
      <c r="B374">
        <v>8</v>
      </c>
      <c r="C374">
        <v>2</v>
      </c>
      <c r="D374" s="7">
        <v>448.04</v>
      </c>
      <c r="E374" t="s">
        <v>2909</v>
      </c>
      <c r="F374" t="s">
        <v>4060</v>
      </c>
      <c r="I374" t="s">
        <v>4112</v>
      </c>
      <c r="J374">
        <v>2112</v>
      </c>
    </row>
    <row r="375" spans="1:10" x14ac:dyDescent="0.3">
      <c r="A375" t="s">
        <v>4110</v>
      </c>
      <c r="B375">
        <v>8</v>
      </c>
      <c r="C375">
        <v>3</v>
      </c>
      <c r="D375" s="7">
        <v>451.07</v>
      </c>
      <c r="E375" t="s">
        <v>2917</v>
      </c>
      <c r="F375" t="s">
        <v>4060</v>
      </c>
      <c r="I375" t="s">
        <v>4113</v>
      </c>
      <c r="J375">
        <v>2114</v>
      </c>
    </row>
    <row r="376" spans="1:10" x14ac:dyDescent="0.3">
      <c r="A376" t="s">
        <v>4110</v>
      </c>
      <c r="B376">
        <v>8</v>
      </c>
      <c r="C376">
        <v>4</v>
      </c>
      <c r="D376" s="7">
        <v>639.02</v>
      </c>
      <c r="E376" t="s">
        <v>2921</v>
      </c>
      <c r="F376" t="s">
        <v>4060</v>
      </c>
      <c r="I376" t="s">
        <v>4114</v>
      </c>
      <c r="J376">
        <v>2115</v>
      </c>
    </row>
    <row r="377" spans="1:10" x14ac:dyDescent="0.3">
      <c r="A377" t="s">
        <v>4110</v>
      </c>
      <c r="B377">
        <v>8</v>
      </c>
      <c r="C377">
        <v>5</v>
      </c>
      <c r="D377" s="7">
        <v>461.61</v>
      </c>
      <c r="E377" t="s">
        <v>2925</v>
      </c>
      <c r="F377" t="s">
        <v>4060</v>
      </c>
      <c r="I377" t="s">
        <v>4115</v>
      </c>
      <c r="J377">
        <v>2116</v>
      </c>
    </row>
    <row r="378" spans="1:10" x14ac:dyDescent="0.3">
      <c r="A378" t="s">
        <v>4110</v>
      </c>
      <c r="B378">
        <v>8</v>
      </c>
      <c r="C378">
        <v>6</v>
      </c>
      <c r="D378" s="7">
        <v>764.02</v>
      </c>
      <c r="E378" t="s">
        <v>2928</v>
      </c>
      <c r="F378" t="s">
        <v>4060</v>
      </c>
      <c r="H378" t="s">
        <v>2930</v>
      </c>
      <c r="I378" t="s">
        <v>4116</v>
      </c>
      <c r="J378">
        <v>2117</v>
      </c>
    </row>
    <row r="379" spans="1:10" x14ac:dyDescent="0.3">
      <c r="A379" t="s">
        <v>4110</v>
      </c>
      <c r="B379">
        <v>8</v>
      </c>
      <c r="C379">
        <v>7</v>
      </c>
      <c r="D379" s="7">
        <v>205.71</v>
      </c>
      <c r="E379" t="s">
        <v>2937</v>
      </c>
      <c r="F379" t="s">
        <v>4060</v>
      </c>
      <c r="I379" t="s">
        <v>4117</v>
      </c>
      <c r="J379">
        <v>2119</v>
      </c>
    </row>
    <row r="380" spans="1:10" x14ac:dyDescent="0.3">
      <c r="A380" t="s">
        <v>4110</v>
      </c>
      <c r="B380">
        <v>8</v>
      </c>
      <c r="C380">
        <v>8</v>
      </c>
      <c r="D380" s="7">
        <v>205.71</v>
      </c>
      <c r="E380" t="s">
        <v>2937</v>
      </c>
      <c r="F380" t="s">
        <v>4060</v>
      </c>
      <c r="I380" t="s">
        <v>4117</v>
      </c>
      <c r="J380">
        <v>2119</v>
      </c>
    </row>
    <row r="381" spans="1:10" x14ac:dyDescent="0.3">
      <c r="A381" t="s">
        <v>4110</v>
      </c>
      <c r="B381">
        <v>8</v>
      </c>
      <c r="C381">
        <v>9</v>
      </c>
      <c r="D381" s="7">
        <v>361.96</v>
      </c>
      <c r="E381" t="s">
        <v>2982</v>
      </c>
      <c r="F381" t="s">
        <v>4060</v>
      </c>
      <c r="H381" t="s">
        <v>2984</v>
      </c>
      <c r="I381" t="s">
        <v>4118</v>
      </c>
      <c r="J381">
        <v>2131</v>
      </c>
    </row>
    <row r="382" spans="1:10" x14ac:dyDescent="0.3">
      <c r="A382" t="s">
        <v>4110</v>
      </c>
      <c r="B382">
        <v>8</v>
      </c>
      <c r="C382">
        <v>10</v>
      </c>
      <c r="D382" s="7">
        <v>375</v>
      </c>
      <c r="E382" t="s">
        <v>2999</v>
      </c>
      <c r="F382" t="s">
        <v>4060</v>
      </c>
      <c r="I382" t="s">
        <v>4119</v>
      </c>
      <c r="J382">
        <v>2135</v>
      </c>
    </row>
    <row r="383" spans="1:10" x14ac:dyDescent="0.3">
      <c r="A383" t="s">
        <v>4110</v>
      </c>
      <c r="B383">
        <v>8</v>
      </c>
      <c r="C383">
        <v>11</v>
      </c>
      <c r="D383" s="7">
        <v>338.84</v>
      </c>
      <c r="E383" t="s">
        <v>3036</v>
      </c>
      <c r="F383" t="s">
        <v>4060</v>
      </c>
      <c r="H383" t="s">
        <v>3038</v>
      </c>
      <c r="I383" t="s">
        <v>4120</v>
      </c>
      <c r="J383">
        <v>2144</v>
      </c>
    </row>
    <row r="384" spans="1:10" x14ac:dyDescent="0.3">
      <c r="A384" t="s">
        <v>4110</v>
      </c>
      <c r="B384">
        <v>8</v>
      </c>
      <c r="C384">
        <v>12</v>
      </c>
      <c r="D384" s="7">
        <v>320.27</v>
      </c>
      <c r="E384" t="s">
        <v>3041</v>
      </c>
      <c r="F384" t="s">
        <v>4060</v>
      </c>
      <c r="H384" t="s">
        <v>3043</v>
      </c>
      <c r="I384" t="s">
        <v>4121</v>
      </c>
      <c r="J384">
        <v>2145</v>
      </c>
    </row>
    <row r="385" spans="1:10" x14ac:dyDescent="0.3">
      <c r="A385" t="s">
        <v>4110</v>
      </c>
      <c r="B385">
        <v>8</v>
      </c>
      <c r="C385">
        <v>13</v>
      </c>
      <c r="D385" s="7">
        <v>93.75</v>
      </c>
      <c r="E385" t="s">
        <v>3054</v>
      </c>
      <c r="F385" t="s">
        <v>4060</v>
      </c>
      <c r="I385" t="s">
        <v>4122</v>
      </c>
      <c r="J385">
        <v>2148</v>
      </c>
    </row>
    <row r="386" spans="1:10" x14ac:dyDescent="0.3">
      <c r="A386" t="s">
        <v>4110</v>
      </c>
      <c r="B386">
        <v>8</v>
      </c>
      <c r="C386">
        <v>14</v>
      </c>
      <c r="D386" s="7">
        <v>426.16</v>
      </c>
      <c r="E386" t="s">
        <v>3075</v>
      </c>
      <c r="F386" t="s">
        <v>4060</v>
      </c>
      <c r="I386" t="s">
        <v>4123</v>
      </c>
      <c r="J386">
        <v>2154</v>
      </c>
    </row>
    <row r="387" spans="1:10" x14ac:dyDescent="0.3">
      <c r="A387" t="s">
        <v>4110</v>
      </c>
      <c r="B387">
        <v>8</v>
      </c>
      <c r="C387">
        <v>15</v>
      </c>
      <c r="D387" s="7">
        <v>123.39</v>
      </c>
      <c r="E387" t="s">
        <v>3079</v>
      </c>
      <c r="F387" t="s">
        <v>4060</v>
      </c>
      <c r="H387" t="s">
        <v>3081</v>
      </c>
      <c r="I387" t="s">
        <v>4124</v>
      </c>
      <c r="J387">
        <v>2155</v>
      </c>
    </row>
    <row r="388" spans="1:10" x14ac:dyDescent="0.3">
      <c r="A388" t="s">
        <v>4110</v>
      </c>
      <c r="B388">
        <v>8</v>
      </c>
      <c r="C388">
        <v>16</v>
      </c>
      <c r="D388" s="7">
        <v>488.04</v>
      </c>
      <c r="E388" t="s">
        <v>3103</v>
      </c>
      <c r="F388" t="s">
        <v>4060</v>
      </c>
      <c r="I388" t="s">
        <v>4125</v>
      </c>
      <c r="J388">
        <v>2161</v>
      </c>
    </row>
    <row r="389" spans="1:10" x14ac:dyDescent="0.3">
      <c r="A389" t="s">
        <v>4110</v>
      </c>
      <c r="B389">
        <v>8</v>
      </c>
      <c r="C389">
        <v>17</v>
      </c>
      <c r="D389" s="7">
        <v>410</v>
      </c>
      <c r="E389" t="s">
        <v>3122</v>
      </c>
      <c r="F389" t="s">
        <v>4060</v>
      </c>
      <c r="I389" t="s">
        <v>4126</v>
      </c>
      <c r="J389">
        <v>2166</v>
      </c>
    </row>
    <row r="390" spans="1:10" x14ac:dyDescent="0.3">
      <c r="A390" t="s">
        <v>4110</v>
      </c>
      <c r="B390">
        <v>8</v>
      </c>
      <c r="C390">
        <v>18</v>
      </c>
      <c r="D390" s="7">
        <v>443.04</v>
      </c>
      <c r="E390" t="s">
        <v>3126</v>
      </c>
      <c r="F390" t="s">
        <v>4060</v>
      </c>
      <c r="I390" t="s">
        <v>4127</v>
      </c>
      <c r="J390">
        <v>2167</v>
      </c>
    </row>
    <row r="391" spans="1:10" x14ac:dyDescent="0.3">
      <c r="A391" t="s">
        <v>4110</v>
      </c>
      <c r="B391">
        <v>8</v>
      </c>
      <c r="C391">
        <v>19</v>
      </c>
      <c r="D391" s="7">
        <v>297.95</v>
      </c>
      <c r="E391" t="s">
        <v>3138</v>
      </c>
      <c r="F391" t="s">
        <v>4060</v>
      </c>
      <c r="H391" t="s">
        <v>3140</v>
      </c>
      <c r="I391" t="s">
        <v>4128</v>
      </c>
      <c r="J391">
        <v>2170</v>
      </c>
    </row>
    <row r="392" spans="1:10" x14ac:dyDescent="0.3">
      <c r="A392" t="s">
        <v>4110</v>
      </c>
      <c r="B392">
        <v>8</v>
      </c>
      <c r="C392">
        <v>20</v>
      </c>
      <c r="D392" s="7">
        <v>257.5</v>
      </c>
      <c r="E392" t="s">
        <v>3151</v>
      </c>
      <c r="F392" t="s">
        <v>4060</v>
      </c>
      <c r="I392" t="s">
        <v>4129</v>
      </c>
      <c r="J392">
        <v>2173</v>
      </c>
    </row>
    <row r="393" spans="1:10" x14ac:dyDescent="0.3">
      <c r="A393" t="s">
        <v>4110</v>
      </c>
      <c r="B393">
        <v>8</v>
      </c>
      <c r="C393">
        <v>21</v>
      </c>
      <c r="D393" s="7">
        <v>155.80000000000001</v>
      </c>
      <c r="E393" t="s">
        <v>3155</v>
      </c>
      <c r="F393" t="s">
        <v>4060</v>
      </c>
      <c r="I393" t="s">
        <v>4130</v>
      </c>
      <c r="J393">
        <v>2174</v>
      </c>
    </row>
    <row r="394" spans="1:10" x14ac:dyDescent="0.3">
      <c r="A394" t="s">
        <v>4110</v>
      </c>
      <c r="B394">
        <v>8</v>
      </c>
      <c r="C394">
        <v>22</v>
      </c>
      <c r="D394" s="7">
        <v>335</v>
      </c>
      <c r="E394" t="s">
        <v>3163</v>
      </c>
      <c r="F394" t="s">
        <v>4060</v>
      </c>
      <c r="H394" t="s">
        <v>3165</v>
      </c>
      <c r="I394" t="s">
        <v>4131</v>
      </c>
      <c r="J394">
        <v>2176</v>
      </c>
    </row>
    <row r="395" spans="1:10" x14ac:dyDescent="0.3">
      <c r="A395" t="s">
        <v>4110</v>
      </c>
      <c r="B395">
        <v>8</v>
      </c>
      <c r="C395">
        <v>23</v>
      </c>
      <c r="D395" s="7">
        <v>690</v>
      </c>
      <c r="E395" t="s">
        <v>3168</v>
      </c>
      <c r="F395" t="s">
        <v>4060</v>
      </c>
      <c r="H395" t="s">
        <v>3170</v>
      </c>
      <c r="I395" t="s">
        <v>4132</v>
      </c>
      <c r="J395">
        <v>2177</v>
      </c>
    </row>
    <row r="396" spans="1:10" x14ac:dyDescent="0.3">
      <c r="A396" t="s">
        <v>4110</v>
      </c>
      <c r="B396">
        <v>8</v>
      </c>
      <c r="C396">
        <v>24</v>
      </c>
      <c r="D396" s="7">
        <v>790</v>
      </c>
      <c r="E396" t="s">
        <v>3173</v>
      </c>
      <c r="F396" t="s">
        <v>4060</v>
      </c>
      <c r="H396" t="s">
        <v>3175</v>
      </c>
      <c r="I396" t="s">
        <v>4133</v>
      </c>
      <c r="J396">
        <v>2178</v>
      </c>
    </row>
    <row r="397" spans="1:10" x14ac:dyDescent="0.3">
      <c r="A397" t="s">
        <v>4110</v>
      </c>
      <c r="B397">
        <v>8</v>
      </c>
      <c r="C397">
        <v>25</v>
      </c>
      <c r="D397" s="7">
        <v>380</v>
      </c>
      <c r="E397" t="s">
        <v>3178</v>
      </c>
      <c r="F397" t="s">
        <v>4060</v>
      </c>
      <c r="I397" t="s">
        <v>4134</v>
      </c>
      <c r="J397">
        <v>2179</v>
      </c>
    </row>
    <row r="398" spans="1:10" x14ac:dyDescent="0.3">
      <c r="A398" t="s">
        <v>4110</v>
      </c>
      <c r="B398">
        <v>8</v>
      </c>
      <c r="C398">
        <v>26</v>
      </c>
      <c r="D398" s="7">
        <v>295</v>
      </c>
      <c r="E398" t="s">
        <v>3182</v>
      </c>
      <c r="F398" t="s">
        <v>4060</v>
      </c>
      <c r="I398" t="s">
        <v>4135</v>
      </c>
      <c r="J398">
        <v>2180</v>
      </c>
    </row>
    <row r="399" spans="1:10" x14ac:dyDescent="0.3">
      <c r="A399" t="s">
        <v>4110</v>
      </c>
      <c r="B399">
        <v>8</v>
      </c>
      <c r="C399">
        <v>27</v>
      </c>
      <c r="D399" s="7">
        <v>800</v>
      </c>
      <c r="E399" t="s">
        <v>3186</v>
      </c>
      <c r="F399" t="s">
        <v>4060</v>
      </c>
      <c r="H399" t="s">
        <v>3188</v>
      </c>
      <c r="I399" t="s">
        <v>4136</v>
      </c>
      <c r="J399">
        <v>2181</v>
      </c>
    </row>
    <row r="400" spans="1:10" x14ac:dyDescent="0.3">
      <c r="A400" t="s">
        <v>4110</v>
      </c>
      <c r="B400">
        <v>8</v>
      </c>
      <c r="C400">
        <v>28</v>
      </c>
      <c r="D400" s="7">
        <v>116.07</v>
      </c>
      <c r="E400" t="s">
        <v>3191</v>
      </c>
      <c r="F400" t="s">
        <v>4060</v>
      </c>
      <c r="I400" t="s">
        <v>4137</v>
      </c>
      <c r="J400">
        <v>2182</v>
      </c>
    </row>
    <row r="401" spans="1:10" x14ac:dyDescent="0.3">
      <c r="A401" t="s">
        <v>4110</v>
      </c>
      <c r="B401">
        <v>8</v>
      </c>
      <c r="C401">
        <v>29</v>
      </c>
      <c r="D401" s="7">
        <v>406.34</v>
      </c>
      <c r="E401" t="s">
        <v>3195</v>
      </c>
      <c r="F401" t="s">
        <v>4060</v>
      </c>
      <c r="I401" t="s">
        <v>4138</v>
      </c>
      <c r="J401">
        <v>2183</v>
      </c>
    </row>
    <row r="402" spans="1:10" x14ac:dyDescent="0.3">
      <c r="A402" t="s">
        <v>4110</v>
      </c>
      <c r="B402">
        <v>8</v>
      </c>
      <c r="C402">
        <v>30</v>
      </c>
      <c r="D402" s="7">
        <v>431.07</v>
      </c>
      <c r="E402" t="s">
        <v>3199</v>
      </c>
      <c r="F402" t="s">
        <v>4060</v>
      </c>
      <c r="I402" t="s">
        <v>4139</v>
      </c>
      <c r="J402">
        <v>2184</v>
      </c>
    </row>
    <row r="403" spans="1:10" x14ac:dyDescent="0.3">
      <c r="A403" t="s">
        <v>4110</v>
      </c>
      <c r="B403">
        <v>8</v>
      </c>
      <c r="C403">
        <v>31</v>
      </c>
      <c r="D403" s="7">
        <v>282.5</v>
      </c>
      <c r="E403" t="s">
        <v>3202</v>
      </c>
      <c r="F403" t="s">
        <v>4060</v>
      </c>
      <c r="I403" t="s">
        <v>4140</v>
      </c>
      <c r="J403">
        <v>2185</v>
      </c>
    </row>
    <row r="404" spans="1:10" x14ac:dyDescent="0.3">
      <c r="A404" t="s">
        <v>4110</v>
      </c>
      <c r="B404">
        <v>8</v>
      </c>
      <c r="C404">
        <v>32</v>
      </c>
      <c r="D404" s="7">
        <v>263.81</v>
      </c>
      <c r="E404" t="s">
        <v>3213</v>
      </c>
      <c r="F404" t="s">
        <v>4060</v>
      </c>
      <c r="I404" t="s">
        <v>4141</v>
      </c>
      <c r="J404">
        <v>2188</v>
      </c>
    </row>
    <row r="405" spans="1:10" x14ac:dyDescent="0.3">
      <c r="A405" t="s">
        <v>4110</v>
      </c>
      <c r="B405">
        <v>8</v>
      </c>
      <c r="C405">
        <v>33</v>
      </c>
      <c r="D405" s="7">
        <v>460</v>
      </c>
      <c r="E405" t="s">
        <v>3221</v>
      </c>
      <c r="F405" t="s">
        <v>4060</v>
      </c>
      <c r="I405" t="s">
        <v>4142</v>
      </c>
      <c r="J405">
        <v>2190</v>
      </c>
    </row>
    <row r="406" spans="1:10" x14ac:dyDescent="0.3">
      <c r="A406" t="s">
        <v>4110</v>
      </c>
      <c r="B406">
        <v>8</v>
      </c>
      <c r="C406">
        <v>34</v>
      </c>
      <c r="D406" s="7">
        <v>837.05</v>
      </c>
      <c r="E406" t="s">
        <v>3229</v>
      </c>
      <c r="F406" t="s">
        <v>4060</v>
      </c>
      <c r="H406" t="s">
        <v>3231</v>
      </c>
      <c r="I406" t="s">
        <v>4143</v>
      </c>
      <c r="J406">
        <v>2192</v>
      </c>
    </row>
    <row r="407" spans="1:10" x14ac:dyDescent="0.3">
      <c r="A407" t="s">
        <v>4110</v>
      </c>
      <c r="B407">
        <v>8</v>
      </c>
      <c r="C407">
        <v>35</v>
      </c>
      <c r="D407" s="7">
        <v>760</v>
      </c>
      <c r="E407" t="s">
        <v>3234</v>
      </c>
      <c r="F407" t="s">
        <v>4060</v>
      </c>
      <c r="H407" t="s">
        <v>3236</v>
      </c>
      <c r="I407" t="s">
        <v>4144</v>
      </c>
      <c r="J407">
        <v>2193</v>
      </c>
    </row>
    <row r="408" spans="1:10" x14ac:dyDescent="0.3">
      <c r="A408" t="s">
        <v>4110</v>
      </c>
      <c r="B408">
        <v>8</v>
      </c>
      <c r="C408">
        <v>36</v>
      </c>
      <c r="D408" s="7">
        <v>190</v>
      </c>
      <c r="E408" t="s">
        <v>3239</v>
      </c>
      <c r="F408" t="s">
        <v>4060</v>
      </c>
      <c r="I408" t="s">
        <v>4145</v>
      </c>
    </row>
    <row r="409" spans="1:10" x14ac:dyDescent="0.3">
      <c r="A409" t="s">
        <v>4110</v>
      </c>
      <c r="B409">
        <v>8</v>
      </c>
      <c r="C409">
        <v>37</v>
      </c>
      <c r="D409" s="7">
        <v>257.86</v>
      </c>
      <c r="E409" t="s">
        <v>3241</v>
      </c>
      <c r="F409" t="s">
        <v>4060</v>
      </c>
      <c r="I409" t="s">
        <v>4146</v>
      </c>
      <c r="J409">
        <v>2195</v>
      </c>
    </row>
    <row r="410" spans="1:10" x14ac:dyDescent="0.3">
      <c r="A410" t="s">
        <v>4110</v>
      </c>
      <c r="B410">
        <v>8</v>
      </c>
      <c r="C410">
        <v>38</v>
      </c>
      <c r="D410" s="7">
        <v>370</v>
      </c>
      <c r="E410" t="s">
        <v>3245</v>
      </c>
      <c r="F410" t="s">
        <v>4060</v>
      </c>
      <c r="I410" t="s">
        <v>4147</v>
      </c>
      <c r="J410">
        <v>2196</v>
      </c>
    </row>
    <row r="411" spans="1:10" x14ac:dyDescent="0.3">
      <c r="A411" t="s">
        <v>4110</v>
      </c>
      <c r="B411">
        <v>8</v>
      </c>
      <c r="C411">
        <v>39</v>
      </c>
      <c r="D411" s="7">
        <v>129.72999999999999</v>
      </c>
      <c r="E411" t="s">
        <v>3249</v>
      </c>
      <c r="F411" t="s">
        <v>4060</v>
      </c>
      <c r="I411" t="s">
        <v>4148</v>
      </c>
    </row>
    <row r="412" spans="1:10" x14ac:dyDescent="0.3">
      <c r="A412" t="s">
        <v>4110</v>
      </c>
      <c r="B412">
        <v>8</v>
      </c>
      <c r="C412">
        <v>40</v>
      </c>
      <c r="D412" s="7">
        <v>415</v>
      </c>
      <c r="E412" t="s">
        <v>3256</v>
      </c>
      <c r="F412" t="s">
        <v>4060</v>
      </c>
      <c r="I412" t="s">
        <v>4149</v>
      </c>
      <c r="J412">
        <v>2199</v>
      </c>
    </row>
    <row r="413" spans="1:10" x14ac:dyDescent="0.3">
      <c r="A413" t="s">
        <v>4110</v>
      </c>
      <c r="B413">
        <v>8</v>
      </c>
      <c r="C413">
        <v>41</v>
      </c>
      <c r="D413" s="7">
        <v>315</v>
      </c>
      <c r="E413" t="s">
        <v>3260</v>
      </c>
      <c r="F413" t="s">
        <v>4060</v>
      </c>
      <c r="I413" t="s">
        <v>4150</v>
      </c>
      <c r="J413">
        <v>2200</v>
      </c>
    </row>
    <row r="414" spans="1:10" x14ac:dyDescent="0.3">
      <c r="A414" t="s">
        <v>4110</v>
      </c>
      <c r="B414">
        <v>8</v>
      </c>
      <c r="C414">
        <v>42</v>
      </c>
      <c r="D414" s="7">
        <v>315</v>
      </c>
      <c r="E414" t="s">
        <v>3260</v>
      </c>
      <c r="F414" t="s">
        <v>4060</v>
      </c>
      <c r="I414" t="s">
        <v>4150</v>
      </c>
      <c r="J414">
        <v>2200</v>
      </c>
    </row>
    <row r="415" spans="1:10" x14ac:dyDescent="0.3">
      <c r="A415" t="s">
        <v>4110</v>
      </c>
      <c r="B415">
        <v>8</v>
      </c>
      <c r="C415">
        <v>43</v>
      </c>
      <c r="D415" s="7">
        <v>812.05</v>
      </c>
      <c r="E415" t="s">
        <v>3268</v>
      </c>
      <c r="F415" t="s">
        <v>4060</v>
      </c>
      <c r="H415" t="s">
        <v>3270</v>
      </c>
      <c r="I415" t="s">
        <v>4151</v>
      </c>
      <c r="J415">
        <v>2203</v>
      </c>
    </row>
    <row r="416" spans="1:10" x14ac:dyDescent="0.3">
      <c r="A416" t="s">
        <v>4110</v>
      </c>
      <c r="B416">
        <v>8</v>
      </c>
      <c r="C416">
        <v>44</v>
      </c>
      <c r="D416" s="7">
        <v>116.07</v>
      </c>
      <c r="E416" t="s">
        <v>3293</v>
      </c>
      <c r="F416" t="s">
        <v>4060</v>
      </c>
      <c r="I416" t="s">
        <v>4152</v>
      </c>
    </row>
    <row r="417" spans="1:10" x14ac:dyDescent="0.3">
      <c r="A417" t="s">
        <v>4110</v>
      </c>
      <c r="B417">
        <v>8</v>
      </c>
      <c r="C417">
        <v>45</v>
      </c>
      <c r="D417" s="7">
        <v>376.07</v>
      </c>
      <c r="E417" t="s">
        <v>3295</v>
      </c>
      <c r="F417" t="s">
        <v>4060</v>
      </c>
      <c r="I417" t="s">
        <v>4153</v>
      </c>
      <c r="J417">
        <v>2210</v>
      </c>
    </row>
    <row r="418" spans="1:10" x14ac:dyDescent="0.3">
      <c r="A418" t="s">
        <v>4110</v>
      </c>
      <c r="B418">
        <v>8</v>
      </c>
      <c r="C418">
        <v>46</v>
      </c>
      <c r="D418" s="7">
        <v>155</v>
      </c>
      <c r="E418" t="s">
        <v>3320</v>
      </c>
      <c r="F418" t="s">
        <v>4060</v>
      </c>
      <c r="I418" t="s">
        <v>4154</v>
      </c>
      <c r="J418">
        <v>2217</v>
      </c>
    </row>
    <row r="419" spans="1:10" x14ac:dyDescent="0.3">
      <c r="A419" t="s">
        <v>4110</v>
      </c>
      <c r="B419">
        <v>8</v>
      </c>
      <c r="C419">
        <v>47</v>
      </c>
      <c r="D419" s="7">
        <v>278.04000000000002</v>
      </c>
      <c r="E419" t="s">
        <v>3332</v>
      </c>
      <c r="F419" t="s">
        <v>4060</v>
      </c>
      <c r="I419" t="s">
        <v>4155</v>
      </c>
      <c r="J419">
        <v>2220</v>
      </c>
    </row>
    <row r="420" spans="1:10" x14ac:dyDescent="0.3">
      <c r="A420" t="s">
        <v>4110</v>
      </c>
      <c r="B420">
        <v>8</v>
      </c>
      <c r="C420">
        <v>48</v>
      </c>
      <c r="D420" s="7">
        <v>730</v>
      </c>
      <c r="E420" t="s">
        <v>3336</v>
      </c>
      <c r="F420" t="s">
        <v>4060</v>
      </c>
      <c r="H420" t="s">
        <v>3338</v>
      </c>
      <c r="I420" t="s">
        <v>4156</v>
      </c>
      <c r="J420">
        <v>2221</v>
      </c>
    </row>
    <row r="421" spans="1:10" x14ac:dyDescent="0.3">
      <c r="A421" t="s">
        <v>4110</v>
      </c>
      <c r="B421">
        <v>8</v>
      </c>
      <c r="C421">
        <v>49</v>
      </c>
      <c r="D421" s="7">
        <v>387.05</v>
      </c>
      <c r="E421" t="s">
        <v>3359</v>
      </c>
      <c r="F421" t="s">
        <v>4060</v>
      </c>
      <c r="I421" t="s">
        <v>4157</v>
      </c>
      <c r="J421">
        <v>2227</v>
      </c>
    </row>
    <row r="422" spans="1:10" x14ac:dyDescent="0.3">
      <c r="A422" t="s">
        <v>4110</v>
      </c>
      <c r="B422">
        <v>8</v>
      </c>
      <c r="C422">
        <v>50</v>
      </c>
      <c r="D422" s="7">
        <v>453.39</v>
      </c>
      <c r="E422" t="s">
        <v>3363</v>
      </c>
      <c r="F422" t="s">
        <v>4060</v>
      </c>
      <c r="I422" t="s">
        <v>4158</v>
      </c>
      <c r="J422">
        <v>2228</v>
      </c>
    </row>
    <row r="423" spans="1:10" x14ac:dyDescent="0.3">
      <c r="A423" t="s">
        <v>4110</v>
      </c>
      <c r="B423">
        <v>8</v>
      </c>
      <c r="C423">
        <v>51</v>
      </c>
      <c r="D423" s="7">
        <v>298.04000000000002</v>
      </c>
      <c r="E423" t="s">
        <v>3371</v>
      </c>
      <c r="F423" t="s">
        <v>4060</v>
      </c>
      <c r="I423" t="s">
        <v>4159</v>
      </c>
      <c r="J423">
        <v>2230</v>
      </c>
    </row>
    <row r="424" spans="1:10" x14ac:dyDescent="0.3">
      <c r="A424" t="s">
        <v>4110</v>
      </c>
      <c r="B424">
        <v>8</v>
      </c>
      <c r="C424">
        <v>52</v>
      </c>
      <c r="D424" s="7">
        <v>1929.55</v>
      </c>
      <c r="E424" t="s">
        <v>3375</v>
      </c>
      <c r="F424" t="s">
        <v>4060</v>
      </c>
      <c r="I424" t="s">
        <v>4160</v>
      </c>
    </row>
    <row r="425" spans="1:10" x14ac:dyDescent="0.3">
      <c r="A425" t="s">
        <v>4110</v>
      </c>
      <c r="B425">
        <v>8</v>
      </c>
      <c r="C425">
        <v>53</v>
      </c>
      <c r="D425" s="7">
        <v>484.02</v>
      </c>
      <c r="E425" t="s">
        <v>3377</v>
      </c>
      <c r="F425" t="s">
        <v>4060</v>
      </c>
      <c r="I425" t="s">
        <v>4161</v>
      </c>
      <c r="J425">
        <v>2232</v>
      </c>
    </row>
    <row r="426" spans="1:10" x14ac:dyDescent="0.3">
      <c r="A426" t="s">
        <v>4110</v>
      </c>
      <c r="B426">
        <v>8</v>
      </c>
      <c r="C426">
        <v>54</v>
      </c>
      <c r="D426" s="7">
        <v>650</v>
      </c>
      <c r="E426" t="s">
        <v>3383</v>
      </c>
      <c r="F426" t="s">
        <v>4060</v>
      </c>
      <c r="I426" t="s">
        <v>4162</v>
      </c>
    </row>
    <row r="427" spans="1:10" x14ac:dyDescent="0.3">
      <c r="A427" t="s">
        <v>4110</v>
      </c>
      <c r="B427">
        <v>8</v>
      </c>
      <c r="C427">
        <v>55</v>
      </c>
      <c r="D427" s="7">
        <v>476.07</v>
      </c>
      <c r="E427" t="s">
        <v>3385</v>
      </c>
      <c r="F427" t="s">
        <v>4060</v>
      </c>
      <c r="I427" t="s">
        <v>4163</v>
      </c>
      <c r="J427">
        <v>2235</v>
      </c>
    </row>
    <row r="428" spans="1:10" x14ac:dyDescent="0.3">
      <c r="A428" t="s">
        <v>4110</v>
      </c>
      <c r="B428">
        <v>8</v>
      </c>
      <c r="C428">
        <v>56</v>
      </c>
      <c r="D428" s="7">
        <v>313.83999999999997</v>
      </c>
      <c r="E428" t="s">
        <v>3389</v>
      </c>
      <c r="F428" t="s">
        <v>4060</v>
      </c>
      <c r="H428" t="s">
        <v>3391</v>
      </c>
      <c r="I428" t="s">
        <v>4164</v>
      </c>
      <c r="J428">
        <v>2236</v>
      </c>
    </row>
    <row r="429" spans="1:10" x14ac:dyDescent="0.3">
      <c r="A429" t="s">
        <v>4110</v>
      </c>
      <c r="B429">
        <v>8</v>
      </c>
      <c r="C429">
        <v>57</v>
      </c>
      <c r="D429" s="7">
        <v>2460</v>
      </c>
      <c r="E429" t="s">
        <v>3394</v>
      </c>
      <c r="F429" t="s">
        <v>4060</v>
      </c>
      <c r="H429" t="s">
        <v>3396</v>
      </c>
      <c r="I429" t="s">
        <v>4165</v>
      </c>
    </row>
    <row r="430" spans="1:10" x14ac:dyDescent="0.3">
      <c r="A430" t="s">
        <v>4110</v>
      </c>
      <c r="B430">
        <v>8</v>
      </c>
      <c r="C430">
        <v>58</v>
      </c>
      <c r="D430" s="7">
        <v>798.04</v>
      </c>
      <c r="E430" t="s">
        <v>3404</v>
      </c>
      <c r="F430" t="s">
        <v>4060</v>
      </c>
      <c r="H430" t="s">
        <v>3406</v>
      </c>
      <c r="I430" t="s">
        <v>4166</v>
      </c>
    </row>
    <row r="431" spans="1:10" x14ac:dyDescent="0.3">
      <c r="A431" t="s">
        <v>4110</v>
      </c>
      <c r="B431">
        <v>8</v>
      </c>
      <c r="C431">
        <v>59</v>
      </c>
      <c r="D431" s="7">
        <v>798.04</v>
      </c>
      <c r="E431" t="s">
        <v>3404</v>
      </c>
      <c r="F431" t="s">
        <v>4060</v>
      </c>
      <c r="H431" t="s">
        <v>3406</v>
      </c>
      <c r="I431" t="s">
        <v>4166</v>
      </c>
    </row>
    <row r="432" spans="1:10" x14ac:dyDescent="0.3">
      <c r="A432" t="s">
        <v>4110</v>
      </c>
      <c r="B432">
        <v>8</v>
      </c>
      <c r="C432">
        <v>60</v>
      </c>
      <c r="D432" s="7">
        <v>350</v>
      </c>
      <c r="E432" t="s">
        <v>3427</v>
      </c>
      <c r="F432" t="s">
        <v>4060</v>
      </c>
      <c r="I432" t="s">
        <v>4167</v>
      </c>
    </row>
    <row r="433" spans="1:10" x14ac:dyDescent="0.3">
      <c r="A433" t="s">
        <v>4110</v>
      </c>
      <c r="B433">
        <v>8</v>
      </c>
      <c r="C433">
        <v>61</v>
      </c>
      <c r="D433" s="7">
        <v>200</v>
      </c>
      <c r="E433" t="s">
        <v>3443</v>
      </c>
      <c r="F433" t="s">
        <v>4060</v>
      </c>
      <c r="I433" t="s">
        <v>4168</v>
      </c>
    </row>
    <row r="434" spans="1:10" x14ac:dyDescent="0.3">
      <c r="A434" t="s">
        <v>4110</v>
      </c>
      <c r="B434">
        <v>8</v>
      </c>
      <c r="C434">
        <v>62</v>
      </c>
      <c r="D434" s="7">
        <v>119.2</v>
      </c>
      <c r="E434" t="s">
        <v>3449</v>
      </c>
      <c r="F434" t="s">
        <v>4060</v>
      </c>
      <c r="I434" t="s">
        <v>4169</v>
      </c>
    </row>
    <row r="435" spans="1:10" x14ac:dyDescent="0.3">
      <c r="A435" t="s">
        <v>4110</v>
      </c>
      <c r="B435">
        <v>8</v>
      </c>
      <c r="C435">
        <v>63</v>
      </c>
      <c r="D435" s="7">
        <v>119.2</v>
      </c>
      <c r="E435" t="s">
        <v>3460</v>
      </c>
      <c r="F435" t="s">
        <v>4060</v>
      </c>
      <c r="I435" t="s">
        <v>4170</v>
      </c>
    </row>
    <row r="436" spans="1:10" x14ac:dyDescent="0.3">
      <c r="A436" t="s">
        <v>4110</v>
      </c>
      <c r="B436">
        <v>8</v>
      </c>
      <c r="C436">
        <v>64</v>
      </c>
      <c r="D436" s="7">
        <v>186.7</v>
      </c>
      <c r="E436" t="s">
        <v>3472</v>
      </c>
      <c r="F436" t="s">
        <v>4060</v>
      </c>
      <c r="I436" t="s">
        <v>4171</v>
      </c>
    </row>
    <row r="437" spans="1:10" x14ac:dyDescent="0.3">
      <c r="A437" t="s">
        <v>4110</v>
      </c>
      <c r="B437">
        <v>8</v>
      </c>
      <c r="C437">
        <v>65</v>
      </c>
      <c r="D437" s="7">
        <v>186.7</v>
      </c>
      <c r="E437" t="s">
        <v>3474</v>
      </c>
      <c r="F437" t="s">
        <v>4060</v>
      </c>
      <c r="I437" t="s">
        <v>4172</v>
      </c>
    </row>
    <row r="438" spans="1:10" x14ac:dyDescent="0.3">
      <c r="A438" t="s">
        <v>4110</v>
      </c>
      <c r="B438">
        <v>8</v>
      </c>
      <c r="C438">
        <v>66</v>
      </c>
      <c r="D438" s="7">
        <v>204.64</v>
      </c>
      <c r="E438" t="s">
        <v>3478</v>
      </c>
      <c r="F438" t="s">
        <v>4060</v>
      </c>
      <c r="I438" t="s">
        <v>4173</v>
      </c>
    </row>
    <row r="439" spans="1:10" x14ac:dyDescent="0.3">
      <c r="A439" t="s">
        <v>4110</v>
      </c>
      <c r="B439">
        <v>8</v>
      </c>
      <c r="C439">
        <v>67</v>
      </c>
      <c r="D439" s="7">
        <v>13195.36</v>
      </c>
      <c r="E439" t="s">
        <v>3480</v>
      </c>
      <c r="F439" t="s">
        <v>4060</v>
      </c>
      <c r="H439" t="s">
        <v>3482</v>
      </c>
      <c r="I439" t="s">
        <v>4174</v>
      </c>
    </row>
    <row r="440" spans="1:10" x14ac:dyDescent="0.3">
      <c r="A440" t="s">
        <v>4110</v>
      </c>
      <c r="B440">
        <v>8</v>
      </c>
      <c r="C440">
        <v>68</v>
      </c>
      <c r="D440" s="7">
        <v>418.04</v>
      </c>
      <c r="E440" t="s">
        <v>3486</v>
      </c>
      <c r="F440" t="s">
        <v>4060</v>
      </c>
      <c r="I440" t="s">
        <v>4175</v>
      </c>
    </row>
    <row r="441" spans="1:10" x14ac:dyDescent="0.3">
      <c r="A441" t="s">
        <v>4110</v>
      </c>
      <c r="B441">
        <v>8</v>
      </c>
      <c r="C441">
        <v>69</v>
      </c>
      <c r="D441" s="7">
        <v>475</v>
      </c>
      <c r="E441" t="s">
        <v>3488</v>
      </c>
      <c r="F441" t="s">
        <v>4060</v>
      </c>
      <c r="I441" t="s">
        <v>4176</v>
      </c>
    </row>
    <row r="442" spans="1:10" x14ac:dyDescent="0.3">
      <c r="A442" t="s">
        <v>4110</v>
      </c>
      <c r="B442">
        <v>8</v>
      </c>
      <c r="C442">
        <v>70</v>
      </c>
      <c r="D442" s="7">
        <v>150</v>
      </c>
      <c r="E442" t="s">
        <v>3490</v>
      </c>
      <c r="F442" t="s">
        <v>4060</v>
      </c>
      <c r="I442" t="s">
        <v>4177</v>
      </c>
    </row>
    <row r="443" spans="1:10" x14ac:dyDescent="0.3">
      <c r="A443" t="s">
        <v>4110</v>
      </c>
      <c r="B443">
        <v>8</v>
      </c>
      <c r="C443">
        <v>71</v>
      </c>
      <c r="D443" s="7">
        <v>195</v>
      </c>
      <c r="E443" t="s">
        <v>3492</v>
      </c>
      <c r="F443" t="s">
        <v>4060</v>
      </c>
      <c r="I443" t="s">
        <v>4178</v>
      </c>
    </row>
    <row r="444" spans="1:10" x14ac:dyDescent="0.3">
      <c r="A444" t="s">
        <v>4110</v>
      </c>
      <c r="B444">
        <v>8</v>
      </c>
      <c r="C444">
        <v>72</v>
      </c>
      <c r="D444" s="7">
        <v>195</v>
      </c>
      <c r="E444" t="s">
        <v>3494</v>
      </c>
      <c r="F444" t="s">
        <v>4060</v>
      </c>
      <c r="I444" t="s">
        <v>4179</v>
      </c>
    </row>
    <row r="445" spans="1:10" x14ac:dyDescent="0.3">
      <c r="A445" t="s">
        <v>4110</v>
      </c>
      <c r="B445">
        <v>8</v>
      </c>
      <c r="C445">
        <v>73</v>
      </c>
      <c r="D445" s="7">
        <v>645</v>
      </c>
      <c r="E445" t="s">
        <v>3496</v>
      </c>
      <c r="F445" t="s">
        <v>4060</v>
      </c>
      <c r="I445" t="s">
        <v>4180</v>
      </c>
    </row>
    <row r="446" spans="1:10" x14ac:dyDescent="0.3">
      <c r="A446" t="s">
        <v>4110</v>
      </c>
      <c r="B446">
        <v>8</v>
      </c>
      <c r="C446">
        <v>74</v>
      </c>
      <c r="D446" s="7">
        <v>792.05</v>
      </c>
      <c r="E446" t="s">
        <v>3503</v>
      </c>
      <c r="F446" t="s">
        <v>4060</v>
      </c>
      <c r="H446" t="s">
        <v>3505</v>
      </c>
      <c r="I446" t="s">
        <v>4181</v>
      </c>
    </row>
    <row r="447" spans="1:10" x14ac:dyDescent="0.3">
      <c r="A447" t="s">
        <v>4110</v>
      </c>
      <c r="B447">
        <v>8</v>
      </c>
      <c r="C447">
        <v>75</v>
      </c>
      <c r="D447" s="7">
        <v>370</v>
      </c>
      <c r="E447" t="s">
        <v>3510</v>
      </c>
      <c r="F447" t="s">
        <v>4060</v>
      </c>
      <c r="I447" t="s">
        <v>4182</v>
      </c>
      <c r="J447">
        <v>2281</v>
      </c>
    </row>
    <row r="448" spans="1:10" x14ac:dyDescent="0.3">
      <c r="A448" t="s">
        <v>4110</v>
      </c>
      <c r="B448">
        <v>8</v>
      </c>
      <c r="C448">
        <v>76</v>
      </c>
      <c r="D448" s="7">
        <v>277.77</v>
      </c>
      <c r="E448" t="s">
        <v>3514</v>
      </c>
      <c r="F448" t="s">
        <v>4060</v>
      </c>
      <c r="I448" t="s">
        <v>4183</v>
      </c>
      <c r="J448">
        <v>2282</v>
      </c>
    </row>
    <row r="449" spans="1:10" x14ac:dyDescent="0.3">
      <c r="A449" t="s">
        <v>4110</v>
      </c>
      <c r="B449">
        <v>8</v>
      </c>
      <c r="C449">
        <v>77</v>
      </c>
      <c r="D449" s="7">
        <v>399.82</v>
      </c>
      <c r="E449" t="s">
        <v>3533</v>
      </c>
      <c r="F449" t="s">
        <v>4060</v>
      </c>
      <c r="I449" t="s">
        <v>4184</v>
      </c>
    </row>
    <row r="450" spans="1:10" x14ac:dyDescent="0.3">
      <c r="A450" t="s">
        <v>4110</v>
      </c>
      <c r="B450">
        <v>8</v>
      </c>
      <c r="C450">
        <v>78</v>
      </c>
      <c r="D450" s="7">
        <v>380</v>
      </c>
      <c r="E450" t="s">
        <v>3585</v>
      </c>
      <c r="F450" t="s">
        <v>4060</v>
      </c>
      <c r="I450" t="s">
        <v>4185</v>
      </c>
    </row>
    <row r="451" spans="1:10" x14ac:dyDescent="0.3">
      <c r="A451" t="s">
        <v>4110</v>
      </c>
      <c r="B451">
        <v>8</v>
      </c>
      <c r="C451">
        <v>79</v>
      </c>
      <c r="D451" s="7">
        <v>78.12</v>
      </c>
      <c r="E451" t="s">
        <v>3597</v>
      </c>
      <c r="F451" t="s">
        <v>4060</v>
      </c>
      <c r="I451" t="s">
        <v>4186</v>
      </c>
    </row>
    <row r="452" spans="1:10" x14ac:dyDescent="0.3">
      <c r="A452" t="s">
        <v>4110</v>
      </c>
      <c r="B452">
        <v>8</v>
      </c>
      <c r="C452">
        <v>80</v>
      </c>
      <c r="D452" s="7">
        <v>800</v>
      </c>
      <c r="E452" t="s">
        <v>3601</v>
      </c>
      <c r="F452" t="s">
        <v>4060</v>
      </c>
      <c r="H452" t="s">
        <v>3188</v>
      </c>
      <c r="I452" t="s">
        <v>4187</v>
      </c>
    </row>
    <row r="453" spans="1:10" x14ac:dyDescent="0.3">
      <c r="A453" t="s">
        <v>4110</v>
      </c>
      <c r="B453">
        <v>8</v>
      </c>
      <c r="C453">
        <v>81</v>
      </c>
      <c r="D453" s="7">
        <v>111.07</v>
      </c>
      <c r="E453" t="s">
        <v>3617</v>
      </c>
      <c r="F453" t="s">
        <v>4060</v>
      </c>
      <c r="I453" t="s">
        <v>4188</v>
      </c>
    </row>
    <row r="454" spans="1:10" x14ac:dyDescent="0.3">
      <c r="A454" t="s">
        <v>4110</v>
      </c>
      <c r="B454">
        <v>8</v>
      </c>
      <c r="C454">
        <v>82</v>
      </c>
      <c r="D454" s="7">
        <v>416.96</v>
      </c>
      <c r="E454" t="s">
        <v>3649</v>
      </c>
      <c r="F454" t="s">
        <v>4060</v>
      </c>
      <c r="I454" t="s">
        <v>4189</v>
      </c>
      <c r="J454">
        <v>2327</v>
      </c>
    </row>
    <row r="455" spans="1:10" x14ac:dyDescent="0.3">
      <c r="A455" t="s">
        <v>4110</v>
      </c>
      <c r="B455">
        <v>8</v>
      </c>
      <c r="C455">
        <v>83</v>
      </c>
      <c r="D455" s="7">
        <v>309.2</v>
      </c>
      <c r="E455" t="s">
        <v>3675</v>
      </c>
      <c r="F455" t="s">
        <v>4060</v>
      </c>
      <c r="H455" t="s">
        <v>3677</v>
      </c>
      <c r="I455" t="s">
        <v>4190</v>
      </c>
      <c r="J455">
        <v>2334</v>
      </c>
    </row>
    <row r="456" spans="1:10" x14ac:dyDescent="0.3">
      <c r="A456" t="s">
        <v>4110</v>
      </c>
      <c r="B456">
        <v>8</v>
      </c>
      <c r="C456">
        <v>84</v>
      </c>
      <c r="D456" s="7">
        <v>132.41</v>
      </c>
      <c r="E456" t="s">
        <v>3695</v>
      </c>
      <c r="F456" t="s">
        <v>4060</v>
      </c>
      <c r="I456" t="s">
        <v>4191</v>
      </c>
      <c r="J456">
        <v>2339</v>
      </c>
    </row>
    <row r="457" spans="1:10" x14ac:dyDescent="0.3">
      <c r="A457" t="s">
        <v>4110</v>
      </c>
      <c r="B457">
        <v>8</v>
      </c>
      <c r="C457">
        <v>85</v>
      </c>
      <c r="D457" s="7">
        <v>133.66</v>
      </c>
      <c r="E457" t="s">
        <v>3699</v>
      </c>
      <c r="F457" t="s">
        <v>4060</v>
      </c>
      <c r="I457" t="s">
        <v>4192</v>
      </c>
      <c r="J457">
        <v>2340</v>
      </c>
    </row>
    <row r="458" spans="1:10" x14ac:dyDescent="0.3">
      <c r="A458" t="s">
        <v>4110</v>
      </c>
      <c r="B458">
        <v>8</v>
      </c>
      <c r="C458">
        <v>86</v>
      </c>
      <c r="D458" s="7">
        <v>135.80000000000001</v>
      </c>
      <c r="E458" t="s">
        <v>3703</v>
      </c>
      <c r="F458" t="s">
        <v>4060</v>
      </c>
      <c r="I458" t="s">
        <v>4193</v>
      </c>
      <c r="J458">
        <v>2341</v>
      </c>
    </row>
    <row r="459" spans="1:10" x14ac:dyDescent="0.3">
      <c r="A459" t="s">
        <v>4110</v>
      </c>
      <c r="B459">
        <v>8</v>
      </c>
      <c r="C459">
        <v>87</v>
      </c>
      <c r="D459" s="7">
        <v>135.80000000000001</v>
      </c>
      <c r="E459" t="s">
        <v>3707</v>
      </c>
      <c r="F459" t="s">
        <v>4060</v>
      </c>
      <c r="I459" t="s">
        <v>4194</v>
      </c>
      <c r="J459">
        <v>2342</v>
      </c>
    </row>
    <row r="460" spans="1:10" x14ac:dyDescent="0.3">
      <c r="A460" t="s">
        <v>4110</v>
      </c>
      <c r="B460">
        <v>8</v>
      </c>
      <c r="C460">
        <v>88</v>
      </c>
      <c r="D460" s="7">
        <v>135.80000000000001</v>
      </c>
      <c r="E460" t="s">
        <v>3711</v>
      </c>
      <c r="F460" t="s">
        <v>4060</v>
      </c>
      <c r="I460" t="s">
        <v>4195</v>
      </c>
      <c r="J460">
        <v>2343</v>
      </c>
    </row>
    <row r="461" spans="1:10" x14ac:dyDescent="0.3">
      <c r="A461" t="s">
        <v>4110</v>
      </c>
      <c r="B461">
        <v>8</v>
      </c>
      <c r="C461">
        <v>89</v>
      </c>
      <c r="D461" s="7">
        <v>135.80000000000001</v>
      </c>
      <c r="E461" t="s">
        <v>3713</v>
      </c>
      <c r="F461" t="s">
        <v>4060</v>
      </c>
      <c r="I461" t="s">
        <v>4196</v>
      </c>
      <c r="J461">
        <v>2344</v>
      </c>
    </row>
    <row r="462" spans="1:10" x14ac:dyDescent="0.3">
      <c r="A462" t="s">
        <v>4110</v>
      </c>
      <c r="B462">
        <v>8</v>
      </c>
      <c r="C462">
        <v>90</v>
      </c>
      <c r="D462" s="7">
        <v>116.07</v>
      </c>
      <c r="E462" t="s">
        <v>3722</v>
      </c>
      <c r="F462" t="s">
        <v>4060</v>
      </c>
      <c r="I462" t="s">
        <v>4197</v>
      </c>
    </row>
    <row r="463" spans="1:10" x14ac:dyDescent="0.3">
      <c r="A463" t="s">
        <v>4110</v>
      </c>
      <c r="B463">
        <v>8</v>
      </c>
      <c r="C463">
        <v>91</v>
      </c>
      <c r="D463" s="7">
        <v>178.04</v>
      </c>
      <c r="E463" t="s">
        <v>3724</v>
      </c>
      <c r="F463" t="s">
        <v>4060</v>
      </c>
      <c r="I463" t="s">
        <v>4198</v>
      </c>
    </row>
    <row r="464" spans="1:10" x14ac:dyDescent="0.3">
      <c r="A464" t="s">
        <v>4110</v>
      </c>
      <c r="B464">
        <v>8</v>
      </c>
      <c r="C464">
        <v>92</v>
      </c>
      <c r="D464" s="7">
        <v>201.87</v>
      </c>
      <c r="E464" t="s">
        <v>3775</v>
      </c>
      <c r="F464" t="s">
        <v>4060</v>
      </c>
      <c r="I464" t="s">
        <v>4199</v>
      </c>
    </row>
    <row r="465" spans="1:10" x14ac:dyDescent="0.3">
      <c r="A465" t="s">
        <v>4110</v>
      </c>
      <c r="B465">
        <v>8</v>
      </c>
      <c r="C465">
        <v>93</v>
      </c>
      <c r="D465" s="7">
        <v>380</v>
      </c>
      <c r="E465" t="s">
        <v>3797</v>
      </c>
      <c r="F465" t="s">
        <v>4060</v>
      </c>
      <c r="I465" t="s">
        <v>4200</v>
      </c>
    </row>
    <row r="466" spans="1:10" x14ac:dyDescent="0.3">
      <c r="A466" t="s">
        <v>4110</v>
      </c>
      <c r="B466">
        <v>8</v>
      </c>
      <c r="C466">
        <v>94</v>
      </c>
      <c r="D466" s="7">
        <v>137.05000000000001</v>
      </c>
      <c r="E466" t="s">
        <v>3805</v>
      </c>
      <c r="F466" t="s">
        <v>4060</v>
      </c>
      <c r="I466" t="s">
        <v>4201</v>
      </c>
    </row>
    <row r="467" spans="1:10" x14ac:dyDescent="0.3">
      <c r="A467" t="s">
        <v>4110</v>
      </c>
      <c r="B467">
        <v>8</v>
      </c>
      <c r="C467">
        <v>95</v>
      </c>
      <c r="D467" s="7">
        <v>270.08999999999997</v>
      </c>
      <c r="E467" t="s">
        <v>3812</v>
      </c>
      <c r="F467" t="s">
        <v>4060</v>
      </c>
      <c r="H467" t="s">
        <v>3814</v>
      </c>
      <c r="I467" t="s">
        <v>4202</v>
      </c>
    </row>
    <row r="468" spans="1:10" x14ac:dyDescent="0.3">
      <c r="A468" t="s">
        <v>4110</v>
      </c>
      <c r="B468">
        <v>8</v>
      </c>
      <c r="C468">
        <v>96</v>
      </c>
      <c r="D468" s="7">
        <v>506.07</v>
      </c>
      <c r="E468" t="s">
        <v>3815</v>
      </c>
      <c r="F468" t="s">
        <v>4060</v>
      </c>
      <c r="I468" t="s">
        <v>4203</v>
      </c>
      <c r="J468">
        <v>2381</v>
      </c>
    </row>
    <row r="469" spans="1:10" x14ac:dyDescent="0.3">
      <c r="A469" t="s">
        <v>4110</v>
      </c>
      <c r="B469">
        <v>8</v>
      </c>
      <c r="C469">
        <v>97</v>
      </c>
      <c r="D469" s="7">
        <v>362.05</v>
      </c>
      <c r="E469" t="s">
        <v>3821</v>
      </c>
      <c r="F469" t="s">
        <v>4060</v>
      </c>
      <c r="I469" t="s">
        <v>4204</v>
      </c>
      <c r="J469">
        <v>2383</v>
      </c>
    </row>
    <row r="470" spans="1:10" x14ac:dyDescent="0.3">
      <c r="A470" t="s">
        <v>4110</v>
      </c>
      <c r="B470">
        <v>8</v>
      </c>
      <c r="C470">
        <v>98</v>
      </c>
      <c r="D470" s="7">
        <v>385</v>
      </c>
      <c r="E470" t="s">
        <v>3849</v>
      </c>
      <c r="F470" t="s">
        <v>4060</v>
      </c>
      <c r="I470" t="s">
        <v>4205</v>
      </c>
      <c r="J470">
        <v>2390</v>
      </c>
    </row>
    <row r="471" spans="1:10" x14ac:dyDescent="0.3">
      <c r="A471" t="s">
        <v>4110</v>
      </c>
      <c r="B471">
        <v>8</v>
      </c>
      <c r="C471">
        <v>99</v>
      </c>
      <c r="D471" s="7">
        <v>372.05</v>
      </c>
      <c r="E471" t="s">
        <v>3856</v>
      </c>
      <c r="F471" t="s">
        <v>4060</v>
      </c>
      <c r="I471" t="s">
        <v>4206</v>
      </c>
      <c r="J471">
        <v>2392</v>
      </c>
    </row>
    <row r="472" spans="1:10" x14ac:dyDescent="0.3">
      <c r="A472" t="s">
        <v>4110</v>
      </c>
      <c r="B472">
        <v>8</v>
      </c>
      <c r="C472">
        <v>100</v>
      </c>
      <c r="D472" s="7">
        <v>349.02</v>
      </c>
      <c r="E472" t="s">
        <v>3860</v>
      </c>
      <c r="F472" t="s">
        <v>4060</v>
      </c>
      <c r="I472" t="s">
        <v>4207</v>
      </c>
      <c r="J472">
        <v>2393</v>
      </c>
    </row>
    <row r="473" spans="1:10" x14ac:dyDescent="0.3">
      <c r="A473" t="s">
        <v>4110</v>
      </c>
      <c r="B473">
        <v>8</v>
      </c>
      <c r="C473">
        <v>101</v>
      </c>
      <c r="D473" s="7">
        <v>298.04000000000002</v>
      </c>
      <c r="E473" t="s">
        <v>3864</v>
      </c>
      <c r="F473" t="s">
        <v>4060</v>
      </c>
      <c r="H473" t="s">
        <v>3866</v>
      </c>
      <c r="I473" t="s">
        <v>4208</v>
      </c>
      <c r="J473">
        <v>2394</v>
      </c>
    </row>
    <row r="474" spans="1:10" x14ac:dyDescent="0.3">
      <c r="A474" t="s">
        <v>4110</v>
      </c>
      <c r="B474">
        <v>8</v>
      </c>
      <c r="C474">
        <v>102</v>
      </c>
      <c r="D474" s="7">
        <v>382.05</v>
      </c>
      <c r="E474" t="s">
        <v>3869</v>
      </c>
      <c r="F474" t="s">
        <v>4060</v>
      </c>
      <c r="I474" t="s">
        <v>4209</v>
      </c>
      <c r="J474">
        <v>2395</v>
      </c>
    </row>
    <row r="475" spans="1:10" x14ac:dyDescent="0.3">
      <c r="A475" t="s">
        <v>4110</v>
      </c>
      <c r="B475">
        <v>8</v>
      </c>
      <c r="C475">
        <v>103</v>
      </c>
      <c r="D475" s="7">
        <v>374.02</v>
      </c>
      <c r="E475" t="s">
        <v>3873</v>
      </c>
      <c r="F475" t="s">
        <v>4060</v>
      </c>
      <c r="I475" t="s">
        <v>4210</v>
      </c>
      <c r="J475">
        <v>2396</v>
      </c>
    </row>
    <row r="476" spans="1:10" x14ac:dyDescent="0.3">
      <c r="A476" t="s">
        <v>4110</v>
      </c>
      <c r="B476">
        <v>8</v>
      </c>
      <c r="C476">
        <v>104</v>
      </c>
      <c r="D476" s="7">
        <v>370</v>
      </c>
      <c r="E476" t="s">
        <v>3889</v>
      </c>
      <c r="F476" t="s">
        <v>4060</v>
      </c>
      <c r="I476" t="s">
        <v>4211</v>
      </c>
    </row>
    <row r="477" spans="1:10" x14ac:dyDescent="0.3">
      <c r="A477" t="s">
        <v>4110</v>
      </c>
      <c r="B477">
        <v>8</v>
      </c>
      <c r="C477">
        <v>105</v>
      </c>
      <c r="D477" s="7">
        <v>400.09</v>
      </c>
      <c r="E477" t="s">
        <v>3893</v>
      </c>
      <c r="F477" t="s">
        <v>4060</v>
      </c>
      <c r="I477" t="s">
        <v>4212</v>
      </c>
    </row>
    <row r="478" spans="1:10" x14ac:dyDescent="0.3">
      <c r="A478" t="s">
        <v>4110</v>
      </c>
      <c r="B478">
        <v>8</v>
      </c>
      <c r="C478">
        <v>106</v>
      </c>
      <c r="D478" s="7">
        <v>301.79000000000002</v>
      </c>
      <c r="E478" t="s">
        <v>3895</v>
      </c>
      <c r="F478" t="s">
        <v>4060</v>
      </c>
      <c r="H478" t="s">
        <v>3897</v>
      </c>
      <c r="I478" t="s">
        <v>4213</v>
      </c>
    </row>
    <row r="479" spans="1:10" x14ac:dyDescent="0.3">
      <c r="A479" t="s">
        <v>4110</v>
      </c>
      <c r="B479">
        <v>8</v>
      </c>
      <c r="C479">
        <v>107</v>
      </c>
      <c r="D479" s="7">
        <v>310</v>
      </c>
      <c r="E479" t="s">
        <v>3902</v>
      </c>
      <c r="F479" t="s">
        <v>4060</v>
      </c>
      <c r="I479" t="s">
        <v>4214</v>
      </c>
    </row>
    <row r="480" spans="1:10" x14ac:dyDescent="0.3">
      <c r="A480" t="s">
        <v>4110</v>
      </c>
      <c r="B480">
        <v>8</v>
      </c>
      <c r="C480">
        <v>108</v>
      </c>
      <c r="D480" s="7">
        <v>794.02</v>
      </c>
      <c r="E480" t="s">
        <v>3904</v>
      </c>
      <c r="F480" t="s">
        <v>4060</v>
      </c>
      <c r="H480" t="s">
        <v>3906</v>
      </c>
      <c r="I480" t="s">
        <v>4215</v>
      </c>
    </row>
    <row r="481" spans="1:10" x14ac:dyDescent="0.3">
      <c r="A481" t="s">
        <v>4110</v>
      </c>
      <c r="B481">
        <v>8</v>
      </c>
      <c r="C481">
        <v>109</v>
      </c>
      <c r="D481" s="7">
        <v>459.02</v>
      </c>
      <c r="E481" t="s">
        <v>3913</v>
      </c>
      <c r="F481" t="s">
        <v>4060</v>
      </c>
      <c r="I481" t="s">
        <v>4216</v>
      </c>
    </row>
    <row r="482" spans="1:10" x14ac:dyDescent="0.3">
      <c r="A482" t="s">
        <v>4110</v>
      </c>
      <c r="B482">
        <v>8</v>
      </c>
      <c r="C482">
        <v>110</v>
      </c>
      <c r="D482" s="7">
        <v>361.34</v>
      </c>
      <c r="E482" t="s">
        <v>3927</v>
      </c>
      <c r="F482" t="s">
        <v>4060</v>
      </c>
      <c r="H482" t="s">
        <v>3929</v>
      </c>
      <c r="I482" t="s">
        <v>4217</v>
      </c>
    </row>
    <row r="483" spans="1:10" x14ac:dyDescent="0.3">
      <c r="A483" t="s">
        <v>4110</v>
      </c>
      <c r="B483">
        <v>8</v>
      </c>
      <c r="C483">
        <v>111</v>
      </c>
      <c r="D483" s="7">
        <v>442.14</v>
      </c>
      <c r="E483" t="s">
        <v>3950</v>
      </c>
      <c r="F483" t="s">
        <v>4060</v>
      </c>
      <c r="I483" t="s">
        <v>4218</v>
      </c>
    </row>
    <row r="484" spans="1:10" x14ac:dyDescent="0.3">
      <c r="A484" t="s">
        <v>4110</v>
      </c>
      <c r="B484">
        <v>8</v>
      </c>
      <c r="C484">
        <v>112</v>
      </c>
      <c r="D484" s="7">
        <v>472.05</v>
      </c>
      <c r="E484" t="s">
        <v>3952</v>
      </c>
      <c r="F484" t="s">
        <v>4060</v>
      </c>
      <c r="I484" t="s">
        <v>4219</v>
      </c>
    </row>
    <row r="485" spans="1:10" x14ac:dyDescent="0.3">
      <c r="A485" t="s">
        <v>4110</v>
      </c>
      <c r="B485">
        <v>8</v>
      </c>
      <c r="C485">
        <v>113</v>
      </c>
      <c r="D485" s="7">
        <v>854.02</v>
      </c>
      <c r="E485" t="s">
        <v>3954</v>
      </c>
      <c r="F485" t="s">
        <v>4060</v>
      </c>
      <c r="H485" t="s">
        <v>3956</v>
      </c>
      <c r="I485" t="s">
        <v>4220</v>
      </c>
    </row>
    <row r="486" spans="1:10" x14ac:dyDescent="0.3">
      <c r="A486" t="s">
        <v>4110</v>
      </c>
      <c r="B486">
        <v>8</v>
      </c>
      <c r="C486">
        <v>114</v>
      </c>
      <c r="D486" s="7">
        <v>810</v>
      </c>
      <c r="E486" t="s">
        <v>3957</v>
      </c>
      <c r="F486" t="s">
        <v>4060</v>
      </c>
      <c r="H486" t="s">
        <v>3959</v>
      </c>
      <c r="I486" t="s">
        <v>4221</v>
      </c>
    </row>
    <row r="487" spans="1:10" x14ac:dyDescent="0.3">
      <c r="A487" t="s">
        <v>4110</v>
      </c>
      <c r="B487">
        <v>8</v>
      </c>
      <c r="C487">
        <v>115</v>
      </c>
      <c r="D487" s="7">
        <v>790</v>
      </c>
      <c r="E487" t="s">
        <v>3960</v>
      </c>
      <c r="F487" t="s">
        <v>4060</v>
      </c>
      <c r="H487" t="s">
        <v>3175</v>
      </c>
      <c r="I487" t="s">
        <v>4222</v>
      </c>
    </row>
    <row r="488" spans="1:10" x14ac:dyDescent="0.3">
      <c r="A488" t="s">
        <v>4110</v>
      </c>
      <c r="B488">
        <v>8</v>
      </c>
      <c r="C488">
        <v>116</v>
      </c>
      <c r="D488" s="7">
        <v>764.02</v>
      </c>
      <c r="E488" t="s">
        <v>3975</v>
      </c>
      <c r="F488" t="s">
        <v>4060</v>
      </c>
      <c r="H488" t="s">
        <v>2930</v>
      </c>
      <c r="I488" t="s">
        <v>4223</v>
      </c>
    </row>
    <row r="489" spans="1:10" x14ac:dyDescent="0.3">
      <c r="A489" t="s">
        <v>4110</v>
      </c>
      <c r="B489">
        <v>8</v>
      </c>
      <c r="C489">
        <v>117</v>
      </c>
      <c r="D489" s="7">
        <v>412.95</v>
      </c>
      <c r="E489" t="s">
        <v>3992</v>
      </c>
      <c r="F489" t="s">
        <v>4060</v>
      </c>
      <c r="I489" t="s">
        <v>4224</v>
      </c>
      <c r="J489">
        <v>2446</v>
      </c>
    </row>
    <row r="490" spans="1:10" x14ac:dyDescent="0.3">
      <c r="A490" t="s">
        <v>4110</v>
      </c>
      <c r="B490">
        <v>8</v>
      </c>
      <c r="C490">
        <v>118</v>
      </c>
      <c r="D490" s="7">
        <v>830</v>
      </c>
      <c r="E490" t="s">
        <v>4021</v>
      </c>
      <c r="F490" t="s">
        <v>4060</v>
      </c>
      <c r="H490" t="s">
        <v>4023</v>
      </c>
      <c r="I490" t="s">
        <v>4225</v>
      </c>
      <c r="J490">
        <v>2454</v>
      </c>
    </row>
    <row r="491" spans="1:10" x14ac:dyDescent="0.3">
      <c r="A491" t="s">
        <v>4110</v>
      </c>
      <c r="B491">
        <v>8</v>
      </c>
      <c r="C491">
        <v>119</v>
      </c>
      <c r="D491" s="7">
        <v>1248.75</v>
      </c>
      <c r="E491" t="s">
        <v>4050</v>
      </c>
      <c r="F491" t="s">
        <v>4060</v>
      </c>
      <c r="H491" t="s">
        <v>4052</v>
      </c>
      <c r="I491" t="s">
        <v>4226</v>
      </c>
    </row>
    <row r="492" spans="1:10" x14ac:dyDescent="0.3">
      <c r="A492" t="s">
        <v>4227</v>
      </c>
      <c r="B492">
        <v>9</v>
      </c>
      <c r="C492">
        <v>1</v>
      </c>
      <c r="D492" s="7">
        <v>205</v>
      </c>
      <c r="E492" t="s">
        <v>2872</v>
      </c>
      <c r="F492" t="s">
        <v>4060</v>
      </c>
      <c r="I492" t="s">
        <v>4228</v>
      </c>
    </row>
    <row r="493" spans="1:10" x14ac:dyDescent="0.3">
      <c r="A493" t="s">
        <v>4227</v>
      </c>
      <c r="B493">
        <v>9</v>
      </c>
      <c r="C493">
        <v>2</v>
      </c>
      <c r="D493" s="7">
        <v>183</v>
      </c>
      <c r="E493" t="s">
        <v>2895</v>
      </c>
      <c r="F493" t="s">
        <v>4060</v>
      </c>
      <c r="I493" t="s">
        <v>4229</v>
      </c>
    </row>
    <row r="494" spans="1:10" x14ac:dyDescent="0.3">
      <c r="A494" t="s">
        <v>4227</v>
      </c>
      <c r="B494">
        <v>9</v>
      </c>
      <c r="C494">
        <v>3</v>
      </c>
      <c r="D494" s="7">
        <v>73.05</v>
      </c>
      <c r="E494" t="s">
        <v>2901</v>
      </c>
      <c r="F494" t="s">
        <v>4060</v>
      </c>
      <c r="I494" t="s">
        <v>4230</v>
      </c>
      <c r="J494">
        <v>2110</v>
      </c>
    </row>
    <row r="495" spans="1:10" x14ac:dyDescent="0.3">
      <c r="A495" t="s">
        <v>4227</v>
      </c>
      <c r="B495">
        <v>9</v>
      </c>
      <c r="C495">
        <v>4</v>
      </c>
      <c r="D495" s="7">
        <v>175</v>
      </c>
      <c r="E495" t="s">
        <v>2952</v>
      </c>
      <c r="F495" t="s">
        <v>4060</v>
      </c>
      <c r="I495" t="s">
        <v>4231</v>
      </c>
      <c r="J495">
        <v>2124</v>
      </c>
    </row>
    <row r="496" spans="1:10" x14ac:dyDescent="0.3">
      <c r="A496" t="s">
        <v>4227</v>
      </c>
      <c r="B496">
        <v>9</v>
      </c>
      <c r="C496">
        <v>5</v>
      </c>
      <c r="D496" s="7">
        <v>205.05</v>
      </c>
      <c r="E496" t="s">
        <v>3092</v>
      </c>
      <c r="F496" t="s">
        <v>4060</v>
      </c>
      <c r="I496" t="s">
        <v>4232</v>
      </c>
      <c r="J496">
        <v>2158</v>
      </c>
    </row>
    <row r="497" spans="1:10" x14ac:dyDescent="0.3">
      <c r="A497" t="s">
        <v>4227</v>
      </c>
      <c r="B497">
        <v>9</v>
      </c>
      <c r="C497">
        <v>6</v>
      </c>
      <c r="D497" s="7">
        <v>191</v>
      </c>
      <c r="E497" t="s">
        <v>3107</v>
      </c>
      <c r="F497" t="s">
        <v>4060</v>
      </c>
      <c r="I497" t="s">
        <v>4233</v>
      </c>
      <c r="J497">
        <v>2162</v>
      </c>
    </row>
    <row r="498" spans="1:10" x14ac:dyDescent="0.3">
      <c r="A498" t="s">
        <v>4227</v>
      </c>
      <c r="B498">
        <v>9</v>
      </c>
      <c r="C498">
        <v>7</v>
      </c>
      <c r="D498" s="7">
        <v>64</v>
      </c>
      <c r="E498" t="s">
        <v>3305</v>
      </c>
      <c r="F498" t="s">
        <v>4060</v>
      </c>
      <c r="I498" t="s">
        <v>4234</v>
      </c>
    </row>
    <row r="499" spans="1:10" x14ac:dyDescent="0.3">
      <c r="A499" t="s">
        <v>4227</v>
      </c>
      <c r="B499">
        <v>9</v>
      </c>
      <c r="C499">
        <v>8</v>
      </c>
      <c r="D499" s="7">
        <v>205</v>
      </c>
      <c r="E499" t="s">
        <v>3498</v>
      </c>
      <c r="F499" t="s">
        <v>4060</v>
      </c>
      <c r="I499" t="s">
        <v>4235</v>
      </c>
    </row>
    <row r="500" spans="1:10" x14ac:dyDescent="0.3">
      <c r="A500" t="s">
        <v>4227</v>
      </c>
      <c r="B500">
        <v>9</v>
      </c>
      <c r="C500">
        <v>9</v>
      </c>
      <c r="D500" s="7">
        <v>187</v>
      </c>
      <c r="E500" t="s">
        <v>3529</v>
      </c>
      <c r="F500" t="s">
        <v>4060</v>
      </c>
      <c r="I500" t="s">
        <v>4236</v>
      </c>
      <c r="J500">
        <v>2286</v>
      </c>
    </row>
    <row r="501" spans="1:10" x14ac:dyDescent="0.3">
      <c r="A501" t="s">
        <v>4227</v>
      </c>
      <c r="B501">
        <v>9</v>
      </c>
      <c r="C501">
        <v>10</v>
      </c>
      <c r="D501" s="7">
        <v>65</v>
      </c>
      <c r="E501" t="s">
        <v>3673</v>
      </c>
      <c r="F501" t="s">
        <v>4060</v>
      </c>
      <c r="I501" t="s">
        <v>4237</v>
      </c>
    </row>
    <row r="502" spans="1:10" x14ac:dyDescent="0.3">
      <c r="A502" t="s">
        <v>4227</v>
      </c>
      <c r="B502">
        <v>9</v>
      </c>
      <c r="C502">
        <v>11</v>
      </c>
      <c r="D502" s="7">
        <v>174.8</v>
      </c>
      <c r="E502" t="s">
        <v>3885</v>
      </c>
      <c r="F502" t="s">
        <v>4060</v>
      </c>
      <c r="I502" t="s">
        <v>4238</v>
      </c>
      <c r="J502">
        <v>2399</v>
      </c>
    </row>
    <row r="503" spans="1:10" x14ac:dyDescent="0.3">
      <c r="A503" t="s">
        <v>4227</v>
      </c>
      <c r="B503">
        <v>9</v>
      </c>
      <c r="C503">
        <v>12</v>
      </c>
      <c r="D503" s="7">
        <v>208</v>
      </c>
      <c r="E503" t="s">
        <v>3898</v>
      </c>
      <c r="F503" t="s">
        <v>4060</v>
      </c>
      <c r="I503" t="s">
        <v>4239</v>
      </c>
    </row>
    <row r="504" spans="1:10" x14ac:dyDescent="0.3">
      <c r="A504" t="s">
        <v>4227</v>
      </c>
      <c r="B504">
        <v>9</v>
      </c>
      <c r="C504">
        <v>13</v>
      </c>
      <c r="D504" s="7">
        <v>203</v>
      </c>
      <c r="E504" t="s">
        <v>3940</v>
      </c>
      <c r="F504" t="s">
        <v>4060</v>
      </c>
      <c r="I504" t="s">
        <v>4240</v>
      </c>
    </row>
    <row r="505" spans="1:10" x14ac:dyDescent="0.3">
      <c r="A505" t="s">
        <v>4227</v>
      </c>
      <c r="B505">
        <v>9</v>
      </c>
      <c r="C505">
        <v>14</v>
      </c>
      <c r="D505" s="7">
        <v>204</v>
      </c>
      <c r="E505" t="s">
        <v>3946</v>
      </c>
      <c r="F505" t="s">
        <v>4060</v>
      </c>
      <c r="I505" t="s">
        <v>4241</v>
      </c>
    </row>
    <row r="506" spans="1:10" x14ac:dyDescent="0.3">
      <c r="A506" t="s">
        <v>4227</v>
      </c>
      <c r="B506">
        <v>9</v>
      </c>
      <c r="C506">
        <v>15</v>
      </c>
      <c r="D506" s="7">
        <v>149.07</v>
      </c>
      <c r="E506" t="s">
        <v>3948</v>
      </c>
      <c r="F506" t="s">
        <v>4060</v>
      </c>
      <c r="I506" t="s">
        <v>4242</v>
      </c>
    </row>
    <row r="507" spans="1:10" x14ac:dyDescent="0.3">
      <c r="A507" t="s">
        <v>4227</v>
      </c>
      <c r="B507">
        <v>9</v>
      </c>
      <c r="C507">
        <v>16</v>
      </c>
      <c r="D507" s="7">
        <v>224</v>
      </c>
      <c r="E507" t="s">
        <v>4053</v>
      </c>
      <c r="F507" t="s">
        <v>4060</v>
      </c>
      <c r="I507" t="s">
        <v>4243</v>
      </c>
    </row>
    <row r="508" spans="1:10" x14ac:dyDescent="0.3">
      <c r="A508" t="s">
        <v>4244</v>
      </c>
      <c r="B508">
        <v>10</v>
      </c>
      <c r="C508">
        <v>1</v>
      </c>
      <c r="D508" s="7">
        <v>311.43</v>
      </c>
      <c r="E508" t="s">
        <v>2874</v>
      </c>
      <c r="F508" t="s">
        <v>4060</v>
      </c>
      <c r="H508" t="s">
        <v>2876</v>
      </c>
      <c r="I508" t="s">
        <v>4245</v>
      </c>
      <c r="J508">
        <v>2103</v>
      </c>
    </row>
    <row r="509" spans="1:10" x14ac:dyDescent="0.3">
      <c r="A509" t="s">
        <v>4244</v>
      </c>
      <c r="B509">
        <v>10</v>
      </c>
      <c r="C509">
        <v>2</v>
      </c>
      <c r="D509" s="7">
        <v>52.38</v>
      </c>
      <c r="E509" t="s">
        <v>2891</v>
      </c>
      <c r="F509" t="s">
        <v>4060</v>
      </c>
      <c r="I509" t="s">
        <v>4246</v>
      </c>
      <c r="J509">
        <v>2107</v>
      </c>
    </row>
    <row r="510" spans="1:10" x14ac:dyDescent="0.3">
      <c r="A510" t="s">
        <v>4244</v>
      </c>
      <c r="B510">
        <v>10</v>
      </c>
      <c r="C510">
        <v>3</v>
      </c>
      <c r="D510" s="7">
        <v>66.19</v>
      </c>
      <c r="E510" t="s">
        <v>2913</v>
      </c>
      <c r="F510" t="s">
        <v>4060</v>
      </c>
      <c r="I510" t="s">
        <v>4247</v>
      </c>
      <c r="J510">
        <v>2113</v>
      </c>
    </row>
    <row r="511" spans="1:10" x14ac:dyDescent="0.3">
      <c r="A511" t="s">
        <v>4244</v>
      </c>
      <c r="B511">
        <v>10</v>
      </c>
      <c r="C511">
        <v>4</v>
      </c>
      <c r="D511" s="7">
        <v>359.05</v>
      </c>
      <c r="E511" t="s">
        <v>2964</v>
      </c>
      <c r="F511" t="s">
        <v>4060</v>
      </c>
      <c r="H511" t="s">
        <v>2966</v>
      </c>
      <c r="I511" t="s">
        <v>4248</v>
      </c>
      <c r="J511">
        <v>2127</v>
      </c>
    </row>
    <row r="512" spans="1:10" x14ac:dyDescent="0.3">
      <c r="A512" t="s">
        <v>4244</v>
      </c>
      <c r="B512">
        <v>10</v>
      </c>
      <c r="C512">
        <v>5</v>
      </c>
      <c r="D512" s="7">
        <v>70</v>
      </c>
      <c r="E512" t="s">
        <v>3003</v>
      </c>
      <c r="F512" t="s">
        <v>4060</v>
      </c>
      <c r="I512" t="s">
        <v>4249</v>
      </c>
      <c r="J512">
        <v>2136</v>
      </c>
    </row>
    <row r="513" spans="1:10" x14ac:dyDescent="0.3">
      <c r="A513" t="s">
        <v>4244</v>
      </c>
      <c r="B513">
        <v>10</v>
      </c>
      <c r="C513">
        <v>6</v>
      </c>
      <c r="D513" s="7">
        <v>297.43</v>
      </c>
      <c r="E513" t="s">
        <v>3007</v>
      </c>
      <c r="F513" t="s">
        <v>4060</v>
      </c>
      <c r="H513" t="s">
        <v>3009</v>
      </c>
      <c r="I513" t="s">
        <v>4250</v>
      </c>
      <c r="J513">
        <v>2137</v>
      </c>
    </row>
    <row r="514" spans="1:10" x14ac:dyDescent="0.3">
      <c r="A514" t="s">
        <v>4244</v>
      </c>
      <c r="B514">
        <v>10</v>
      </c>
      <c r="C514">
        <v>7</v>
      </c>
      <c r="D514" s="7">
        <v>910.48</v>
      </c>
      <c r="E514" t="s">
        <v>3031</v>
      </c>
      <c r="F514" t="s">
        <v>4060</v>
      </c>
      <c r="H514" t="s">
        <v>3033</v>
      </c>
      <c r="I514" t="s">
        <v>4251</v>
      </c>
      <c r="J514">
        <v>2143</v>
      </c>
    </row>
    <row r="515" spans="1:10" x14ac:dyDescent="0.3">
      <c r="A515" t="s">
        <v>4244</v>
      </c>
      <c r="B515">
        <v>10</v>
      </c>
      <c r="C515">
        <v>8</v>
      </c>
      <c r="D515" s="7">
        <v>53.52</v>
      </c>
      <c r="E515" t="s">
        <v>3067</v>
      </c>
      <c r="F515" t="s">
        <v>4060</v>
      </c>
      <c r="I515" t="s">
        <v>4252</v>
      </c>
      <c r="J515">
        <v>2152</v>
      </c>
    </row>
    <row r="516" spans="1:10" x14ac:dyDescent="0.3">
      <c r="A516" t="s">
        <v>4244</v>
      </c>
      <c r="B516">
        <v>10</v>
      </c>
      <c r="C516">
        <v>9</v>
      </c>
      <c r="D516" s="7">
        <v>305.52</v>
      </c>
      <c r="E516" t="s">
        <v>3113</v>
      </c>
      <c r="F516" t="s">
        <v>4060</v>
      </c>
      <c r="H516" t="s">
        <v>3115</v>
      </c>
      <c r="I516" t="s">
        <v>4253</v>
      </c>
      <c r="J516">
        <v>2164</v>
      </c>
    </row>
    <row r="517" spans="1:10" x14ac:dyDescent="0.3">
      <c r="A517" t="s">
        <v>4244</v>
      </c>
      <c r="B517">
        <v>10</v>
      </c>
      <c r="C517">
        <v>10</v>
      </c>
      <c r="D517" s="7">
        <v>134</v>
      </c>
      <c r="E517" t="s">
        <v>3147</v>
      </c>
      <c r="F517" t="s">
        <v>4060</v>
      </c>
      <c r="I517" t="s">
        <v>4254</v>
      </c>
      <c r="J517">
        <v>2172</v>
      </c>
    </row>
    <row r="518" spans="1:10" x14ac:dyDescent="0.3">
      <c r="A518" t="s">
        <v>4244</v>
      </c>
      <c r="B518">
        <v>10</v>
      </c>
      <c r="C518">
        <v>11</v>
      </c>
      <c r="D518" s="7">
        <v>664.29</v>
      </c>
      <c r="E518" t="s">
        <v>3324</v>
      </c>
      <c r="F518" t="s">
        <v>4060</v>
      </c>
      <c r="H518" t="s">
        <v>3326</v>
      </c>
      <c r="I518" t="s">
        <v>4255</v>
      </c>
    </row>
    <row r="519" spans="1:10" x14ac:dyDescent="0.3">
      <c r="A519" t="s">
        <v>4244</v>
      </c>
      <c r="B519">
        <v>10</v>
      </c>
      <c r="C519">
        <v>12</v>
      </c>
      <c r="D519" s="7">
        <v>9.52</v>
      </c>
      <c r="E519" t="s">
        <v>3344</v>
      </c>
      <c r="F519" t="s">
        <v>4060</v>
      </c>
      <c r="I519" t="s">
        <v>4256</v>
      </c>
      <c r="J519">
        <v>2223</v>
      </c>
    </row>
    <row r="520" spans="1:10" x14ac:dyDescent="0.3">
      <c r="A520" t="s">
        <v>4244</v>
      </c>
      <c r="B520">
        <v>10</v>
      </c>
      <c r="C520">
        <v>13</v>
      </c>
      <c r="D520" s="7">
        <v>428.57</v>
      </c>
      <c r="E520" t="s">
        <v>3347</v>
      </c>
      <c r="F520" t="s">
        <v>4060</v>
      </c>
      <c r="H520" t="s">
        <v>3349</v>
      </c>
      <c r="I520" t="s">
        <v>4257</v>
      </c>
    </row>
    <row r="521" spans="1:10" x14ac:dyDescent="0.3">
      <c r="A521" t="s">
        <v>4244</v>
      </c>
      <c r="B521">
        <v>10</v>
      </c>
      <c r="C521">
        <v>14</v>
      </c>
      <c r="D521" s="7">
        <v>58.1</v>
      </c>
      <c r="E521" t="s">
        <v>3355</v>
      </c>
      <c r="F521" t="s">
        <v>4060</v>
      </c>
      <c r="I521" t="s">
        <v>4258</v>
      </c>
      <c r="J521">
        <v>2226</v>
      </c>
    </row>
    <row r="522" spans="1:10" x14ac:dyDescent="0.3">
      <c r="A522" t="s">
        <v>4244</v>
      </c>
      <c r="B522">
        <v>10</v>
      </c>
      <c r="C522">
        <v>15</v>
      </c>
      <c r="D522" s="7">
        <v>64.38</v>
      </c>
      <c r="E522" t="s">
        <v>3367</v>
      </c>
      <c r="F522" t="s">
        <v>4060</v>
      </c>
      <c r="I522" t="s">
        <v>4259</v>
      </c>
      <c r="J522">
        <v>2229</v>
      </c>
    </row>
    <row r="523" spans="1:10" x14ac:dyDescent="0.3">
      <c r="A523" t="s">
        <v>4244</v>
      </c>
      <c r="B523">
        <v>10</v>
      </c>
      <c r="C523">
        <v>16</v>
      </c>
      <c r="D523" s="7">
        <v>83.33</v>
      </c>
      <c r="E523" t="s">
        <v>3400</v>
      </c>
      <c r="F523" t="s">
        <v>4060</v>
      </c>
      <c r="I523" t="s">
        <v>4260</v>
      </c>
      <c r="J523">
        <v>2239</v>
      </c>
    </row>
    <row r="524" spans="1:10" x14ac:dyDescent="0.3">
      <c r="A524" t="s">
        <v>4244</v>
      </c>
      <c r="B524">
        <v>10</v>
      </c>
      <c r="C524">
        <v>17</v>
      </c>
      <c r="D524" s="7">
        <v>351.9</v>
      </c>
      <c r="E524" t="s">
        <v>3550</v>
      </c>
      <c r="F524" t="s">
        <v>4060</v>
      </c>
      <c r="H524" t="s">
        <v>3552</v>
      </c>
      <c r="I524" t="s">
        <v>4261</v>
      </c>
      <c r="J524">
        <v>2292</v>
      </c>
    </row>
    <row r="525" spans="1:10" x14ac:dyDescent="0.3">
      <c r="A525" t="s">
        <v>4244</v>
      </c>
      <c r="B525">
        <v>10</v>
      </c>
      <c r="C525">
        <v>18</v>
      </c>
      <c r="D525" s="7">
        <v>66</v>
      </c>
      <c r="E525" t="s">
        <v>3589</v>
      </c>
      <c r="F525" t="s">
        <v>4060</v>
      </c>
      <c r="I525" t="s">
        <v>4262</v>
      </c>
    </row>
    <row r="526" spans="1:10" x14ac:dyDescent="0.3">
      <c r="A526" t="s">
        <v>4244</v>
      </c>
      <c r="B526">
        <v>10</v>
      </c>
      <c r="C526">
        <v>19</v>
      </c>
      <c r="D526" s="7">
        <v>55.14</v>
      </c>
      <c r="E526" t="s">
        <v>3603</v>
      </c>
      <c r="F526" t="s">
        <v>4060</v>
      </c>
      <c r="I526" t="s">
        <v>4263</v>
      </c>
    </row>
    <row r="527" spans="1:10" x14ac:dyDescent="0.3">
      <c r="A527" t="s">
        <v>4244</v>
      </c>
      <c r="B527">
        <v>10</v>
      </c>
      <c r="C527">
        <v>20</v>
      </c>
      <c r="D527" s="7">
        <v>672.38</v>
      </c>
      <c r="E527" t="s">
        <v>3637</v>
      </c>
      <c r="F527" t="s">
        <v>4060</v>
      </c>
      <c r="H527" t="s">
        <v>3639</v>
      </c>
      <c r="I527" t="s">
        <v>4264</v>
      </c>
      <c r="J527">
        <v>2324</v>
      </c>
    </row>
    <row r="528" spans="1:10" x14ac:dyDescent="0.3">
      <c r="A528" t="s">
        <v>4244</v>
      </c>
      <c r="B528">
        <v>10</v>
      </c>
      <c r="C528">
        <v>21</v>
      </c>
      <c r="D528" s="7">
        <v>63.05</v>
      </c>
      <c r="E528" t="s">
        <v>3642</v>
      </c>
      <c r="F528" t="s">
        <v>4060</v>
      </c>
      <c r="I528" t="s">
        <v>4265</v>
      </c>
      <c r="J528">
        <v>2325</v>
      </c>
    </row>
    <row r="529" spans="1:10" x14ac:dyDescent="0.3">
      <c r="A529" t="s">
        <v>4244</v>
      </c>
      <c r="B529">
        <v>10</v>
      </c>
      <c r="C529">
        <v>22</v>
      </c>
      <c r="D529" s="7">
        <v>55.05</v>
      </c>
      <c r="E529" t="s">
        <v>3645</v>
      </c>
      <c r="F529" t="s">
        <v>4060</v>
      </c>
      <c r="I529" t="s">
        <v>4266</v>
      </c>
      <c r="J529">
        <v>2326</v>
      </c>
    </row>
    <row r="530" spans="1:10" x14ac:dyDescent="0.3">
      <c r="A530" t="s">
        <v>4244</v>
      </c>
      <c r="B530">
        <v>10</v>
      </c>
      <c r="C530">
        <v>23</v>
      </c>
      <c r="D530" s="7">
        <v>54.76</v>
      </c>
      <c r="E530" t="s">
        <v>3665</v>
      </c>
      <c r="F530" t="s">
        <v>4060</v>
      </c>
      <c r="I530" t="s">
        <v>4267</v>
      </c>
      <c r="J530">
        <v>2331</v>
      </c>
    </row>
    <row r="531" spans="1:10" x14ac:dyDescent="0.3">
      <c r="A531" t="s">
        <v>4244</v>
      </c>
      <c r="B531">
        <v>10</v>
      </c>
      <c r="C531">
        <v>24</v>
      </c>
      <c r="D531" s="7">
        <v>57.52</v>
      </c>
      <c r="E531" t="s">
        <v>3691</v>
      </c>
      <c r="F531" t="s">
        <v>4060</v>
      </c>
      <c r="I531" t="s">
        <v>4268</v>
      </c>
      <c r="J531">
        <v>2338</v>
      </c>
    </row>
    <row r="532" spans="1:10" x14ac:dyDescent="0.3">
      <c r="A532" t="s">
        <v>4244</v>
      </c>
      <c r="B532">
        <v>10</v>
      </c>
      <c r="C532">
        <v>25</v>
      </c>
      <c r="D532" s="7">
        <v>68</v>
      </c>
      <c r="E532" t="s">
        <v>3726</v>
      </c>
      <c r="F532" t="s">
        <v>4060</v>
      </c>
      <c r="I532" t="s">
        <v>4269</v>
      </c>
      <c r="J532">
        <v>2349</v>
      </c>
    </row>
    <row r="533" spans="1:10" x14ac:dyDescent="0.3">
      <c r="A533" t="s">
        <v>4244</v>
      </c>
      <c r="B533">
        <v>10</v>
      </c>
      <c r="C533">
        <v>26</v>
      </c>
      <c r="D533" s="7">
        <v>63</v>
      </c>
      <c r="E533" t="s">
        <v>3737</v>
      </c>
      <c r="F533" t="s">
        <v>4060</v>
      </c>
      <c r="I533" t="s">
        <v>4270</v>
      </c>
      <c r="J533">
        <v>2352</v>
      </c>
    </row>
    <row r="534" spans="1:10" x14ac:dyDescent="0.3">
      <c r="A534" t="s">
        <v>4244</v>
      </c>
      <c r="B534">
        <v>10</v>
      </c>
      <c r="C534">
        <v>27</v>
      </c>
      <c r="D534" s="7">
        <v>700</v>
      </c>
      <c r="E534" t="s">
        <v>3745</v>
      </c>
      <c r="F534" t="s">
        <v>4060</v>
      </c>
      <c r="H534" t="s">
        <v>3747</v>
      </c>
      <c r="I534" t="s">
        <v>4271</v>
      </c>
      <c r="J534">
        <v>2354</v>
      </c>
    </row>
    <row r="535" spans="1:10" x14ac:dyDescent="0.3">
      <c r="A535" t="s">
        <v>4244</v>
      </c>
      <c r="B535">
        <v>10</v>
      </c>
      <c r="C535">
        <v>28</v>
      </c>
      <c r="D535" s="7">
        <v>57.52</v>
      </c>
      <c r="E535" t="s">
        <v>3757</v>
      </c>
      <c r="F535" t="s">
        <v>4060</v>
      </c>
      <c r="I535" t="s">
        <v>4272</v>
      </c>
      <c r="J535">
        <v>2357</v>
      </c>
    </row>
    <row r="536" spans="1:10" x14ac:dyDescent="0.3">
      <c r="A536" t="s">
        <v>4244</v>
      </c>
      <c r="B536">
        <v>10</v>
      </c>
      <c r="C536">
        <v>29</v>
      </c>
      <c r="D536" s="7">
        <v>100</v>
      </c>
      <c r="E536" t="s">
        <v>3771</v>
      </c>
      <c r="F536" t="s">
        <v>4060</v>
      </c>
      <c r="I536" t="s">
        <v>4273</v>
      </c>
    </row>
    <row r="537" spans="1:10" x14ac:dyDescent="0.3">
      <c r="A537" t="s">
        <v>4244</v>
      </c>
      <c r="B537">
        <v>10</v>
      </c>
      <c r="C537">
        <v>30</v>
      </c>
      <c r="D537" s="7">
        <v>67.239999999999995</v>
      </c>
      <c r="E537" t="s">
        <v>3829</v>
      </c>
      <c r="F537" t="s">
        <v>4060</v>
      </c>
      <c r="I537" t="s">
        <v>4274</v>
      </c>
      <c r="J537">
        <v>2385</v>
      </c>
    </row>
    <row r="538" spans="1:10" x14ac:dyDescent="0.3">
      <c r="A538" t="s">
        <v>4244</v>
      </c>
      <c r="B538">
        <v>10</v>
      </c>
      <c r="C538">
        <v>31</v>
      </c>
      <c r="D538" s="7">
        <v>70.67</v>
      </c>
      <c r="E538" t="s">
        <v>3837</v>
      </c>
      <c r="F538" t="s">
        <v>4060</v>
      </c>
      <c r="I538" t="s">
        <v>4275</v>
      </c>
      <c r="J538">
        <v>2387</v>
      </c>
    </row>
    <row r="539" spans="1:10" x14ac:dyDescent="0.3">
      <c r="A539" t="s">
        <v>4244</v>
      </c>
      <c r="B539">
        <v>10</v>
      </c>
      <c r="C539">
        <v>32</v>
      </c>
      <c r="D539" s="7">
        <v>51.33</v>
      </c>
      <c r="E539" t="s">
        <v>3907</v>
      </c>
      <c r="F539" t="s">
        <v>4060</v>
      </c>
      <c r="I539" t="s">
        <v>4276</v>
      </c>
    </row>
    <row r="540" spans="1:10" x14ac:dyDescent="0.3">
      <c r="A540" t="s">
        <v>4244</v>
      </c>
      <c r="B540">
        <v>10</v>
      </c>
      <c r="C540">
        <v>33</v>
      </c>
      <c r="D540" s="7">
        <v>67.05</v>
      </c>
      <c r="E540" t="s">
        <v>3919</v>
      </c>
      <c r="F540" t="s">
        <v>4060</v>
      </c>
      <c r="I540" t="s">
        <v>4277</v>
      </c>
    </row>
    <row r="541" spans="1:10" x14ac:dyDescent="0.3">
      <c r="A541" t="s">
        <v>4244</v>
      </c>
      <c r="B541">
        <v>10</v>
      </c>
      <c r="C541">
        <v>34</v>
      </c>
      <c r="D541" s="7">
        <v>59.52</v>
      </c>
      <c r="E541" t="s">
        <v>3923</v>
      </c>
      <c r="F541" t="s">
        <v>4060</v>
      </c>
      <c r="I541" t="s">
        <v>4278</v>
      </c>
    </row>
    <row r="542" spans="1:10" x14ac:dyDescent="0.3">
      <c r="A542" t="s">
        <v>4244</v>
      </c>
      <c r="B542">
        <v>10</v>
      </c>
      <c r="C542">
        <v>35</v>
      </c>
      <c r="D542" s="7">
        <v>60.57</v>
      </c>
      <c r="E542" t="s">
        <v>3942</v>
      </c>
      <c r="F542" t="s">
        <v>4060</v>
      </c>
      <c r="I542" t="s">
        <v>4279</v>
      </c>
    </row>
    <row r="543" spans="1:10" x14ac:dyDescent="0.3">
      <c r="A543" t="s">
        <v>4244</v>
      </c>
      <c r="B543">
        <v>10</v>
      </c>
      <c r="C543">
        <v>36</v>
      </c>
      <c r="D543" s="7">
        <v>394.67</v>
      </c>
      <c r="E543" t="s">
        <v>3970</v>
      </c>
      <c r="F543" t="s">
        <v>4060</v>
      </c>
      <c r="H543" t="s">
        <v>3972</v>
      </c>
      <c r="I543" t="s">
        <v>4280</v>
      </c>
    </row>
    <row r="544" spans="1:10" x14ac:dyDescent="0.3">
      <c r="A544" t="s">
        <v>4244</v>
      </c>
      <c r="B544">
        <v>10</v>
      </c>
      <c r="C544">
        <v>37</v>
      </c>
      <c r="D544" s="7">
        <v>70.19</v>
      </c>
      <c r="E544" t="s">
        <v>3977</v>
      </c>
      <c r="F544" t="s">
        <v>4060</v>
      </c>
      <c r="I544" t="s">
        <v>4281</v>
      </c>
      <c r="J544">
        <v>2441</v>
      </c>
    </row>
    <row r="545" spans="1:10" x14ac:dyDescent="0.3">
      <c r="A545" t="s">
        <v>4244</v>
      </c>
      <c r="B545">
        <v>10</v>
      </c>
      <c r="C545">
        <v>38</v>
      </c>
      <c r="D545" s="7">
        <v>55.52</v>
      </c>
      <c r="E545" t="s">
        <v>4007</v>
      </c>
      <c r="F545" t="s">
        <v>4060</v>
      </c>
      <c r="I545" t="s">
        <v>4282</v>
      </c>
      <c r="J545">
        <v>2450</v>
      </c>
    </row>
    <row r="546" spans="1:10" x14ac:dyDescent="0.3">
      <c r="A546" t="s">
        <v>4244</v>
      </c>
      <c r="B546">
        <v>10</v>
      </c>
      <c r="C546">
        <v>39</v>
      </c>
      <c r="D546" s="7">
        <v>447.14</v>
      </c>
      <c r="E546" t="s">
        <v>4031</v>
      </c>
      <c r="F546" t="s">
        <v>4060</v>
      </c>
      <c r="H546" t="s">
        <v>4033</v>
      </c>
      <c r="I546" t="s">
        <v>4283</v>
      </c>
      <c r="J546">
        <v>2456</v>
      </c>
    </row>
    <row r="547" spans="1:10" x14ac:dyDescent="0.3">
      <c r="A547" t="s">
        <v>4244</v>
      </c>
      <c r="B547">
        <v>10</v>
      </c>
      <c r="C547">
        <v>40</v>
      </c>
      <c r="D547" s="7">
        <v>64.67</v>
      </c>
      <c r="E547" t="s">
        <v>4036</v>
      </c>
      <c r="F547" t="s">
        <v>4060</v>
      </c>
      <c r="I547" t="s">
        <v>4284</v>
      </c>
      <c r="J547">
        <v>2457</v>
      </c>
    </row>
    <row r="548" spans="1:10" x14ac:dyDescent="0.3">
      <c r="A548" t="s">
        <v>4285</v>
      </c>
      <c r="B548">
        <v>11</v>
      </c>
      <c r="C548">
        <v>1</v>
      </c>
      <c r="D548" s="7">
        <v>433.39</v>
      </c>
      <c r="E548" t="s">
        <v>2956</v>
      </c>
      <c r="F548" t="s">
        <v>4060</v>
      </c>
      <c r="I548" t="s">
        <v>4286</v>
      </c>
      <c r="J548">
        <v>2125</v>
      </c>
    </row>
    <row r="549" spans="1:10" x14ac:dyDescent="0.3">
      <c r="A549" t="s">
        <v>4285</v>
      </c>
      <c r="B549">
        <v>11</v>
      </c>
      <c r="C549">
        <v>2</v>
      </c>
      <c r="D549" s="7">
        <v>446.7</v>
      </c>
      <c r="E549" t="s">
        <v>3027</v>
      </c>
      <c r="F549" t="s">
        <v>4060</v>
      </c>
      <c r="I549" t="s">
        <v>4287</v>
      </c>
      <c r="J549">
        <v>2142</v>
      </c>
    </row>
    <row r="550" spans="1:10" x14ac:dyDescent="0.3">
      <c r="A550" t="s">
        <v>4285</v>
      </c>
      <c r="B550">
        <v>11</v>
      </c>
      <c r="C550">
        <v>3</v>
      </c>
      <c r="D550" s="7">
        <v>495.36</v>
      </c>
      <c r="E550" t="s">
        <v>3050</v>
      </c>
      <c r="F550" t="s">
        <v>4060</v>
      </c>
      <c r="I550" t="s">
        <v>4288</v>
      </c>
      <c r="J550">
        <v>2147</v>
      </c>
    </row>
    <row r="551" spans="1:10" x14ac:dyDescent="0.3">
      <c r="A551" t="s">
        <v>4285</v>
      </c>
      <c r="B551">
        <v>11</v>
      </c>
      <c r="C551">
        <v>4</v>
      </c>
      <c r="D551" s="7">
        <v>410</v>
      </c>
      <c r="E551" t="s">
        <v>3061</v>
      </c>
      <c r="F551" t="s">
        <v>4060</v>
      </c>
      <c r="I551" t="s">
        <v>4289</v>
      </c>
      <c r="J551">
        <v>2150</v>
      </c>
    </row>
    <row r="552" spans="1:10" x14ac:dyDescent="0.3">
      <c r="A552" t="s">
        <v>4285</v>
      </c>
      <c r="B552">
        <v>11</v>
      </c>
      <c r="C552">
        <v>5</v>
      </c>
      <c r="D552" s="7">
        <v>505.36</v>
      </c>
      <c r="E552" t="s">
        <v>3065</v>
      </c>
      <c r="F552" t="s">
        <v>4060</v>
      </c>
      <c r="I552" t="s">
        <v>4290</v>
      </c>
    </row>
    <row r="553" spans="1:10" x14ac:dyDescent="0.3">
      <c r="A553" t="s">
        <v>4285</v>
      </c>
      <c r="B553">
        <v>11</v>
      </c>
      <c r="C553">
        <v>6</v>
      </c>
      <c r="D553" s="7">
        <v>520.54</v>
      </c>
      <c r="E553" t="s">
        <v>3084</v>
      </c>
      <c r="F553" t="s">
        <v>4060</v>
      </c>
      <c r="I553" t="s">
        <v>4291</v>
      </c>
      <c r="J553">
        <v>2156</v>
      </c>
    </row>
    <row r="554" spans="1:10" x14ac:dyDescent="0.3">
      <c r="A554" t="s">
        <v>4285</v>
      </c>
      <c r="B554">
        <v>11</v>
      </c>
      <c r="C554">
        <v>7</v>
      </c>
      <c r="D554" s="7">
        <v>463.04</v>
      </c>
      <c r="E554" t="s">
        <v>3118</v>
      </c>
      <c r="F554" t="s">
        <v>4060</v>
      </c>
      <c r="I554" t="s">
        <v>4292</v>
      </c>
      <c r="J554">
        <v>2165</v>
      </c>
    </row>
    <row r="555" spans="1:10" x14ac:dyDescent="0.3">
      <c r="A555" t="s">
        <v>4285</v>
      </c>
      <c r="B555">
        <v>11</v>
      </c>
      <c r="C555">
        <v>8</v>
      </c>
      <c r="D555" s="7">
        <v>529.46</v>
      </c>
      <c r="E555" t="s">
        <v>3206</v>
      </c>
      <c r="F555" t="s">
        <v>4060</v>
      </c>
      <c r="I555" t="s">
        <v>4293</v>
      </c>
      <c r="J555">
        <v>2186</v>
      </c>
    </row>
    <row r="556" spans="1:10" x14ac:dyDescent="0.3">
      <c r="A556" t="s">
        <v>4285</v>
      </c>
      <c r="B556">
        <v>11</v>
      </c>
      <c r="C556">
        <v>9</v>
      </c>
      <c r="D556" s="7">
        <v>7678.57</v>
      </c>
      <c r="E556" t="s">
        <v>3282</v>
      </c>
      <c r="F556" t="s">
        <v>4060</v>
      </c>
      <c r="I556" t="s">
        <v>4294</v>
      </c>
    </row>
    <row r="557" spans="1:10" x14ac:dyDescent="0.3">
      <c r="A557" t="s">
        <v>4285</v>
      </c>
      <c r="B557">
        <v>11</v>
      </c>
      <c r="C557">
        <v>10</v>
      </c>
      <c r="D557" s="7">
        <v>464.55</v>
      </c>
      <c r="E557" t="s">
        <v>3301</v>
      </c>
      <c r="F557" t="s">
        <v>4060</v>
      </c>
      <c r="I557" t="s">
        <v>4295</v>
      </c>
      <c r="J557">
        <v>2212</v>
      </c>
    </row>
    <row r="558" spans="1:10" x14ac:dyDescent="0.3">
      <c r="A558" t="s">
        <v>4285</v>
      </c>
      <c r="B558">
        <v>11</v>
      </c>
      <c r="C558">
        <v>11</v>
      </c>
      <c r="D558" s="7">
        <v>411.52</v>
      </c>
      <c r="E558" t="s">
        <v>3407</v>
      </c>
      <c r="F558" t="s">
        <v>4060</v>
      </c>
      <c r="I558" t="s">
        <v>4296</v>
      </c>
      <c r="J558">
        <v>2241</v>
      </c>
    </row>
    <row r="559" spans="1:10" x14ac:dyDescent="0.3">
      <c r="A559" t="s">
        <v>4285</v>
      </c>
      <c r="B559">
        <v>11</v>
      </c>
      <c r="C559">
        <v>12</v>
      </c>
      <c r="D559" s="7">
        <v>6132.86</v>
      </c>
      <c r="E559" t="s">
        <v>3419</v>
      </c>
      <c r="F559" t="s">
        <v>4060</v>
      </c>
      <c r="H559" t="s">
        <v>3421</v>
      </c>
      <c r="I559" t="s">
        <v>4297</v>
      </c>
      <c r="J559">
        <v>2245</v>
      </c>
    </row>
    <row r="560" spans="1:10" x14ac:dyDescent="0.3">
      <c r="A560" t="s">
        <v>4285</v>
      </c>
      <c r="B560">
        <v>11</v>
      </c>
      <c r="C560">
        <v>13</v>
      </c>
      <c r="D560" s="7">
        <v>7235.71</v>
      </c>
      <c r="E560" t="s">
        <v>3423</v>
      </c>
      <c r="F560" t="s">
        <v>4060</v>
      </c>
      <c r="H560" t="s">
        <v>3425</v>
      </c>
      <c r="I560" t="s">
        <v>4298</v>
      </c>
      <c r="J560">
        <v>2246</v>
      </c>
    </row>
    <row r="561" spans="1:10" x14ac:dyDescent="0.3">
      <c r="A561" t="s">
        <v>4285</v>
      </c>
      <c r="B561">
        <v>11</v>
      </c>
      <c r="C561">
        <v>14</v>
      </c>
      <c r="D561" s="7">
        <v>7734.82</v>
      </c>
      <c r="E561" t="s">
        <v>3434</v>
      </c>
      <c r="F561" t="s">
        <v>4060</v>
      </c>
      <c r="H561" t="s">
        <v>3436</v>
      </c>
      <c r="I561" t="s">
        <v>4299</v>
      </c>
      <c r="J561">
        <v>2250</v>
      </c>
    </row>
    <row r="562" spans="1:10" x14ac:dyDescent="0.3">
      <c r="A562" t="s">
        <v>4285</v>
      </c>
      <c r="B562">
        <v>11</v>
      </c>
      <c r="C562">
        <v>15</v>
      </c>
      <c r="D562" s="7">
        <v>491.87</v>
      </c>
      <c r="E562" t="s">
        <v>3445</v>
      </c>
      <c r="F562" t="s">
        <v>4060</v>
      </c>
      <c r="I562" t="s">
        <v>4300</v>
      </c>
      <c r="J562">
        <v>2254</v>
      </c>
    </row>
    <row r="563" spans="1:10" x14ac:dyDescent="0.3">
      <c r="A563" t="s">
        <v>4285</v>
      </c>
      <c r="B563">
        <v>11</v>
      </c>
      <c r="C563">
        <v>16</v>
      </c>
      <c r="D563" s="7">
        <v>7162.5</v>
      </c>
      <c r="E563" t="s">
        <v>3451</v>
      </c>
      <c r="F563" t="s">
        <v>4060</v>
      </c>
      <c r="H563" t="s">
        <v>3453</v>
      </c>
      <c r="I563" t="s">
        <v>4301</v>
      </c>
      <c r="J563">
        <v>2256</v>
      </c>
    </row>
    <row r="564" spans="1:10" x14ac:dyDescent="0.3">
      <c r="A564" t="s">
        <v>4285</v>
      </c>
      <c r="B564">
        <v>11</v>
      </c>
      <c r="C564">
        <v>17</v>
      </c>
      <c r="D564" s="7">
        <v>7000</v>
      </c>
      <c r="E564" t="s">
        <v>3462</v>
      </c>
      <c r="F564" t="s">
        <v>4060</v>
      </c>
      <c r="H564" t="s">
        <v>3464</v>
      </c>
      <c r="I564" t="s">
        <v>4302</v>
      </c>
    </row>
    <row r="565" spans="1:10" x14ac:dyDescent="0.3">
      <c r="A565" t="s">
        <v>4285</v>
      </c>
      <c r="B565">
        <v>11</v>
      </c>
      <c r="C565">
        <v>18</v>
      </c>
      <c r="D565" s="7">
        <v>500</v>
      </c>
      <c r="E565" t="s">
        <v>3470</v>
      </c>
      <c r="F565" t="s">
        <v>4060</v>
      </c>
      <c r="I565" t="s">
        <v>4303</v>
      </c>
    </row>
    <row r="566" spans="1:10" x14ac:dyDescent="0.3">
      <c r="A566" t="s">
        <v>4285</v>
      </c>
      <c r="B566">
        <v>11</v>
      </c>
      <c r="C566">
        <v>19</v>
      </c>
      <c r="D566" s="7">
        <v>8055.36</v>
      </c>
      <c r="E566" t="s">
        <v>3500</v>
      </c>
      <c r="F566" t="s">
        <v>4060</v>
      </c>
      <c r="H566" t="s">
        <v>3502</v>
      </c>
      <c r="I566" t="s">
        <v>4304</v>
      </c>
    </row>
    <row r="567" spans="1:10" x14ac:dyDescent="0.3">
      <c r="A567" t="s">
        <v>4285</v>
      </c>
      <c r="B567">
        <v>11</v>
      </c>
      <c r="C567">
        <v>20</v>
      </c>
      <c r="D567" s="7">
        <v>2602.77</v>
      </c>
      <c r="E567" t="s">
        <v>3518</v>
      </c>
      <c r="F567" t="s">
        <v>4060</v>
      </c>
      <c r="H567" t="s">
        <v>3520</v>
      </c>
      <c r="I567" t="s">
        <v>4305</v>
      </c>
    </row>
    <row r="568" spans="1:10" x14ac:dyDescent="0.3">
      <c r="A568" t="s">
        <v>4285</v>
      </c>
      <c r="B568">
        <v>11</v>
      </c>
      <c r="C568">
        <v>21</v>
      </c>
      <c r="D568" s="7">
        <v>513.57000000000005</v>
      </c>
      <c r="E568" t="s">
        <v>3535</v>
      </c>
      <c r="F568" t="s">
        <v>4060</v>
      </c>
      <c r="I568" t="s">
        <v>4306</v>
      </c>
      <c r="J568">
        <v>2288</v>
      </c>
    </row>
    <row r="569" spans="1:10" x14ac:dyDescent="0.3">
      <c r="A569" t="s">
        <v>4285</v>
      </c>
      <c r="B569">
        <v>11</v>
      </c>
      <c r="C569">
        <v>22</v>
      </c>
      <c r="D569" s="7">
        <v>350</v>
      </c>
      <c r="E569" t="s">
        <v>3544</v>
      </c>
      <c r="F569" t="s">
        <v>4060</v>
      </c>
      <c r="I569" t="s">
        <v>4307</v>
      </c>
    </row>
    <row r="570" spans="1:10" x14ac:dyDescent="0.3">
      <c r="A570" t="s">
        <v>4285</v>
      </c>
      <c r="B570">
        <v>11</v>
      </c>
      <c r="C570">
        <v>23</v>
      </c>
      <c r="D570" s="7">
        <v>467.5</v>
      </c>
      <c r="E570" t="s">
        <v>3546</v>
      </c>
      <c r="F570" t="s">
        <v>4060</v>
      </c>
      <c r="I570" t="s">
        <v>4308</v>
      </c>
      <c r="J570">
        <v>2291</v>
      </c>
    </row>
    <row r="571" spans="1:10" x14ac:dyDescent="0.3">
      <c r="A571" t="s">
        <v>4285</v>
      </c>
      <c r="B571">
        <v>11</v>
      </c>
      <c r="C571">
        <v>24</v>
      </c>
      <c r="D571" s="7">
        <v>8865</v>
      </c>
      <c r="E571" t="s">
        <v>3570</v>
      </c>
      <c r="F571" t="s">
        <v>4060</v>
      </c>
      <c r="H571" t="s">
        <v>3572</v>
      </c>
      <c r="I571" t="s">
        <v>4309</v>
      </c>
      <c r="J571">
        <v>2298</v>
      </c>
    </row>
    <row r="572" spans="1:10" x14ac:dyDescent="0.3">
      <c r="A572" t="s">
        <v>4285</v>
      </c>
      <c r="B572">
        <v>11</v>
      </c>
      <c r="C572">
        <v>25</v>
      </c>
      <c r="D572" s="7">
        <v>575.79999999999995</v>
      </c>
      <c r="E572" t="s">
        <v>3575</v>
      </c>
      <c r="F572" t="s">
        <v>4060</v>
      </c>
      <c r="I572" t="s">
        <v>4310</v>
      </c>
      <c r="J572">
        <v>2299</v>
      </c>
    </row>
    <row r="573" spans="1:10" x14ac:dyDescent="0.3">
      <c r="A573" t="s">
        <v>4285</v>
      </c>
      <c r="B573">
        <v>11</v>
      </c>
      <c r="C573">
        <v>26</v>
      </c>
      <c r="D573" s="7">
        <v>460</v>
      </c>
      <c r="E573" t="s">
        <v>3579</v>
      </c>
      <c r="F573" t="s">
        <v>4060</v>
      </c>
      <c r="I573" t="s">
        <v>4311</v>
      </c>
      <c r="J573">
        <v>2300</v>
      </c>
    </row>
    <row r="574" spans="1:10" x14ac:dyDescent="0.3">
      <c r="A574" t="s">
        <v>4285</v>
      </c>
      <c r="B574">
        <v>11</v>
      </c>
      <c r="C574">
        <v>27</v>
      </c>
      <c r="D574" s="7">
        <v>8240</v>
      </c>
      <c r="E574" t="s">
        <v>3583</v>
      </c>
      <c r="F574" t="s">
        <v>4060</v>
      </c>
      <c r="I574" t="s">
        <v>4312</v>
      </c>
    </row>
    <row r="575" spans="1:10" x14ac:dyDescent="0.3">
      <c r="A575" t="s">
        <v>4285</v>
      </c>
      <c r="B575">
        <v>11</v>
      </c>
      <c r="C575">
        <v>28</v>
      </c>
      <c r="D575" s="7">
        <v>9347.14</v>
      </c>
      <c r="E575" t="s">
        <v>3605</v>
      </c>
      <c r="F575" t="s">
        <v>4060</v>
      </c>
      <c r="H575" t="s">
        <v>3607</v>
      </c>
      <c r="I575" t="s">
        <v>4313</v>
      </c>
    </row>
    <row r="576" spans="1:10" x14ac:dyDescent="0.3">
      <c r="A576" t="s">
        <v>4285</v>
      </c>
      <c r="B576">
        <v>11</v>
      </c>
      <c r="C576">
        <v>29</v>
      </c>
      <c r="D576" s="7">
        <v>575.17999999999995</v>
      </c>
      <c r="E576" t="s">
        <v>3608</v>
      </c>
      <c r="F576" t="s">
        <v>4060</v>
      </c>
      <c r="I576" t="s">
        <v>4314</v>
      </c>
    </row>
    <row r="577" spans="1:10" x14ac:dyDescent="0.3">
      <c r="A577" t="s">
        <v>4285</v>
      </c>
      <c r="B577">
        <v>11</v>
      </c>
      <c r="C577">
        <v>30</v>
      </c>
      <c r="D577" s="7">
        <v>7324.64</v>
      </c>
      <c r="E577" t="s">
        <v>3610</v>
      </c>
      <c r="F577" t="s">
        <v>4060</v>
      </c>
      <c r="H577" t="s">
        <v>3612</v>
      </c>
      <c r="I577" t="s">
        <v>4315</v>
      </c>
    </row>
    <row r="578" spans="1:10" x14ac:dyDescent="0.3">
      <c r="A578" t="s">
        <v>4285</v>
      </c>
      <c r="B578">
        <v>11</v>
      </c>
      <c r="C578">
        <v>31</v>
      </c>
      <c r="D578" s="7">
        <v>8664.2900000000009</v>
      </c>
      <c r="E578" t="s">
        <v>3621</v>
      </c>
      <c r="F578" t="s">
        <v>4060</v>
      </c>
      <c r="I578" t="s">
        <v>4316</v>
      </c>
    </row>
    <row r="579" spans="1:10" x14ac:dyDescent="0.3">
      <c r="A579" t="s">
        <v>4285</v>
      </c>
      <c r="B579">
        <v>11</v>
      </c>
      <c r="C579">
        <v>32</v>
      </c>
      <c r="D579" s="7">
        <v>616.34</v>
      </c>
      <c r="E579" t="s">
        <v>3623</v>
      </c>
      <c r="F579" t="s">
        <v>4060</v>
      </c>
      <c r="I579" t="s">
        <v>4317</v>
      </c>
    </row>
    <row r="580" spans="1:10" x14ac:dyDescent="0.3">
      <c r="A580" t="s">
        <v>4285</v>
      </c>
      <c r="B580">
        <v>11</v>
      </c>
      <c r="C580">
        <v>33</v>
      </c>
      <c r="D580" s="7">
        <v>445</v>
      </c>
      <c r="E580" t="s">
        <v>3625</v>
      </c>
      <c r="F580" t="s">
        <v>4060</v>
      </c>
      <c r="I580" t="s">
        <v>4318</v>
      </c>
      <c r="J580">
        <v>2321</v>
      </c>
    </row>
    <row r="581" spans="1:10" x14ac:dyDescent="0.3">
      <c r="A581" t="s">
        <v>4285</v>
      </c>
      <c r="B581">
        <v>11</v>
      </c>
      <c r="C581">
        <v>34</v>
      </c>
      <c r="D581" s="7">
        <v>510.71</v>
      </c>
      <c r="E581" t="s">
        <v>3633</v>
      </c>
      <c r="F581" t="s">
        <v>4060</v>
      </c>
      <c r="I581" t="s">
        <v>4319</v>
      </c>
      <c r="J581">
        <v>2323</v>
      </c>
    </row>
    <row r="582" spans="1:10" x14ac:dyDescent="0.3">
      <c r="A582" t="s">
        <v>4285</v>
      </c>
      <c r="B582">
        <v>11</v>
      </c>
      <c r="C582">
        <v>35</v>
      </c>
      <c r="D582" s="7">
        <v>503.21</v>
      </c>
      <c r="E582" t="s">
        <v>3653</v>
      </c>
      <c r="F582" t="s">
        <v>4060</v>
      </c>
      <c r="I582" t="s">
        <v>4320</v>
      </c>
      <c r="J582">
        <v>2328</v>
      </c>
    </row>
    <row r="583" spans="1:10" x14ac:dyDescent="0.3">
      <c r="A583" t="s">
        <v>4285</v>
      </c>
      <c r="B583">
        <v>11</v>
      </c>
      <c r="C583">
        <v>36</v>
      </c>
      <c r="D583" s="7">
        <v>555.71</v>
      </c>
      <c r="E583" t="s">
        <v>3669</v>
      </c>
      <c r="F583" t="s">
        <v>4060</v>
      </c>
      <c r="I583" t="s">
        <v>4321</v>
      </c>
      <c r="J583">
        <v>2332</v>
      </c>
    </row>
    <row r="584" spans="1:10" x14ac:dyDescent="0.3">
      <c r="A584" t="s">
        <v>4285</v>
      </c>
      <c r="B584">
        <v>11</v>
      </c>
      <c r="C584">
        <v>37</v>
      </c>
      <c r="D584" s="7">
        <v>621.87</v>
      </c>
      <c r="E584" t="s">
        <v>3683</v>
      </c>
      <c r="F584" t="s">
        <v>4060</v>
      </c>
      <c r="I584" t="s">
        <v>4322</v>
      </c>
      <c r="J584">
        <v>2336</v>
      </c>
    </row>
    <row r="585" spans="1:10" x14ac:dyDescent="0.3">
      <c r="A585" t="s">
        <v>4285</v>
      </c>
      <c r="B585">
        <v>11</v>
      </c>
      <c r="C585">
        <v>38</v>
      </c>
      <c r="D585" s="7">
        <v>483.04</v>
      </c>
      <c r="E585" t="s">
        <v>3761</v>
      </c>
      <c r="F585" t="s">
        <v>4060</v>
      </c>
      <c r="I585" t="s">
        <v>4323</v>
      </c>
      <c r="J585">
        <v>2358</v>
      </c>
    </row>
    <row r="586" spans="1:10" x14ac:dyDescent="0.3">
      <c r="A586" t="s">
        <v>4285</v>
      </c>
      <c r="B586">
        <v>11</v>
      </c>
      <c r="C586">
        <v>39</v>
      </c>
      <c r="D586" s="7">
        <v>8122.32</v>
      </c>
      <c r="E586" t="s">
        <v>3765</v>
      </c>
      <c r="F586" t="s">
        <v>4060</v>
      </c>
      <c r="I586" t="s">
        <v>4324</v>
      </c>
      <c r="J586">
        <v>2359</v>
      </c>
    </row>
    <row r="587" spans="1:10" x14ac:dyDescent="0.3">
      <c r="A587" t="s">
        <v>4285</v>
      </c>
      <c r="B587">
        <v>11</v>
      </c>
      <c r="C587">
        <v>40</v>
      </c>
      <c r="D587" s="7">
        <v>7367.05</v>
      </c>
      <c r="E587" t="s">
        <v>3769</v>
      </c>
      <c r="F587" t="s">
        <v>4060</v>
      </c>
      <c r="I587" t="s">
        <v>4325</v>
      </c>
    </row>
    <row r="588" spans="1:10" x14ac:dyDescent="0.3">
      <c r="A588" t="s">
        <v>4285</v>
      </c>
      <c r="B588">
        <v>11</v>
      </c>
      <c r="C588">
        <v>41</v>
      </c>
      <c r="D588" s="7">
        <v>504.73</v>
      </c>
      <c r="E588" t="s">
        <v>3777</v>
      </c>
      <c r="F588" t="s">
        <v>4060</v>
      </c>
      <c r="I588" t="s">
        <v>4326</v>
      </c>
    </row>
    <row r="589" spans="1:10" x14ac:dyDescent="0.3">
      <c r="A589" t="s">
        <v>4285</v>
      </c>
      <c r="B589">
        <v>11</v>
      </c>
      <c r="C589">
        <v>42</v>
      </c>
      <c r="D589" s="7">
        <v>501.7</v>
      </c>
      <c r="E589" t="s">
        <v>3779</v>
      </c>
      <c r="F589" t="s">
        <v>4060</v>
      </c>
      <c r="I589" t="s">
        <v>4327</v>
      </c>
    </row>
    <row r="590" spans="1:10" x14ac:dyDescent="0.3">
      <c r="A590" t="s">
        <v>4285</v>
      </c>
      <c r="B590">
        <v>11</v>
      </c>
      <c r="C590">
        <v>43</v>
      </c>
      <c r="D590" s="7">
        <v>544.20000000000005</v>
      </c>
      <c r="E590" t="s">
        <v>3807</v>
      </c>
      <c r="F590" t="s">
        <v>4060</v>
      </c>
      <c r="I590" t="s">
        <v>4328</v>
      </c>
    </row>
    <row r="591" spans="1:10" x14ac:dyDescent="0.3">
      <c r="A591" t="s">
        <v>4285</v>
      </c>
      <c r="B591">
        <v>11</v>
      </c>
      <c r="C591">
        <v>44</v>
      </c>
      <c r="D591" s="7">
        <v>463.57</v>
      </c>
      <c r="E591" t="s">
        <v>3833</v>
      </c>
      <c r="F591" t="s">
        <v>4060</v>
      </c>
      <c r="I591" t="s">
        <v>4329</v>
      </c>
      <c r="J591">
        <v>2386</v>
      </c>
    </row>
    <row r="592" spans="1:10" x14ac:dyDescent="0.3">
      <c r="A592" t="s">
        <v>4285</v>
      </c>
      <c r="B592">
        <v>11</v>
      </c>
      <c r="C592">
        <v>45</v>
      </c>
      <c r="D592" s="7">
        <v>526.79</v>
      </c>
      <c r="E592" t="s">
        <v>3853</v>
      </c>
      <c r="F592" t="s">
        <v>4060</v>
      </c>
      <c r="I592" t="s">
        <v>4330</v>
      </c>
      <c r="J592">
        <v>2391</v>
      </c>
    </row>
    <row r="593" spans="1:10" x14ac:dyDescent="0.3">
      <c r="A593" t="s">
        <v>4285</v>
      </c>
      <c r="B593">
        <v>11</v>
      </c>
      <c r="C593">
        <v>46</v>
      </c>
      <c r="D593" s="7">
        <v>472.32</v>
      </c>
      <c r="E593" t="s">
        <v>3877</v>
      </c>
      <c r="F593" t="s">
        <v>4060</v>
      </c>
      <c r="I593" t="s">
        <v>4331</v>
      </c>
      <c r="J593">
        <v>2397</v>
      </c>
    </row>
    <row r="594" spans="1:10" x14ac:dyDescent="0.3">
      <c r="A594" t="s">
        <v>4285</v>
      </c>
      <c r="B594">
        <v>11</v>
      </c>
      <c r="C594">
        <v>47</v>
      </c>
      <c r="D594" s="7">
        <v>499.02</v>
      </c>
      <c r="E594" t="s">
        <v>3909</v>
      </c>
      <c r="F594" t="s">
        <v>4060</v>
      </c>
      <c r="I594" t="s">
        <v>4332</v>
      </c>
    </row>
    <row r="595" spans="1:10" x14ac:dyDescent="0.3">
      <c r="A595" t="s">
        <v>4285</v>
      </c>
      <c r="B595">
        <v>11</v>
      </c>
      <c r="C595">
        <v>48</v>
      </c>
      <c r="D595" s="7">
        <v>451.61</v>
      </c>
      <c r="E595" t="s">
        <v>3930</v>
      </c>
      <c r="F595" t="s">
        <v>4060</v>
      </c>
      <c r="I595" t="s">
        <v>4333</v>
      </c>
    </row>
    <row r="596" spans="1:10" x14ac:dyDescent="0.3">
      <c r="A596" t="s">
        <v>4285</v>
      </c>
      <c r="B596">
        <v>11</v>
      </c>
      <c r="C596">
        <v>49</v>
      </c>
      <c r="D596" s="7">
        <v>27.81</v>
      </c>
      <c r="E596" t="s">
        <v>3932</v>
      </c>
      <c r="F596" t="s">
        <v>4060</v>
      </c>
      <c r="I596" t="s">
        <v>4334</v>
      </c>
    </row>
    <row r="597" spans="1:10" x14ac:dyDescent="0.3">
      <c r="A597" t="s">
        <v>4285</v>
      </c>
      <c r="B597">
        <v>11</v>
      </c>
      <c r="C597">
        <v>50</v>
      </c>
      <c r="D597" s="7">
        <v>258.3</v>
      </c>
      <c r="E597" t="s">
        <v>3962</v>
      </c>
      <c r="F597" t="s">
        <v>4060</v>
      </c>
      <c r="I597" t="s">
        <v>4335</v>
      </c>
    </row>
    <row r="598" spans="1:10" x14ac:dyDescent="0.3">
      <c r="A598" t="s">
        <v>4285</v>
      </c>
      <c r="B598">
        <v>11</v>
      </c>
      <c r="C598">
        <v>51</v>
      </c>
      <c r="D598" s="7">
        <v>600</v>
      </c>
      <c r="E598" t="s">
        <v>3968</v>
      </c>
      <c r="F598" t="s">
        <v>4060</v>
      </c>
      <c r="I598" t="s">
        <v>4336</v>
      </c>
    </row>
    <row r="599" spans="1:10" x14ac:dyDescent="0.3">
      <c r="A599" t="s">
        <v>4285</v>
      </c>
      <c r="B599">
        <v>11</v>
      </c>
      <c r="C599">
        <v>52</v>
      </c>
      <c r="D599" s="7">
        <v>515.71</v>
      </c>
      <c r="E599" t="s">
        <v>3995</v>
      </c>
      <c r="F599" t="s">
        <v>4060</v>
      </c>
      <c r="I599" t="s">
        <v>4337</v>
      </c>
      <c r="J599">
        <v>2447</v>
      </c>
    </row>
    <row r="600" spans="1:10" x14ac:dyDescent="0.3">
      <c r="A600" t="s">
        <v>4285</v>
      </c>
      <c r="B600">
        <v>11</v>
      </c>
      <c r="C600">
        <v>53</v>
      </c>
      <c r="D600" s="7">
        <v>488.04</v>
      </c>
      <c r="E600" t="s">
        <v>3999</v>
      </c>
      <c r="F600" t="s">
        <v>4060</v>
      </c>
      <c r="I600" t="s">
        <v>4338</v>
      </c>
      <c r="J600">
        <v>2448</v>
      </c>
    </row>
    <row r="601" spans="1:10" x14ac:dyDescent="0.3">
      <c r="A601" t="s">
        <v>4285</v>
      </c>
      <c r="B601">
        <v>11</v>
      </c>
      <c r="C601">
        <v>54</v>
      </c>
      <c r="D601" s="7">
        <v>2698.75</v>
      </c>
      <c r="E601" t="s">
        <v>4026</v>
      </c>
      <c r="F601" t="s">
        <v>4060</v>
      </c>
      <c r="H601" t="s">
        <v>4028</v>
      </c>
      <c r="I601" t="s">
        <v>4339</v>
      </c>
      <c r="J601">
        <v>2455</v>
      </c>
    </row>
    <row r="602" spans="1:10" x14ac:dyDescent="0.3">
      <c r="A602" t="s">
        <v>4340</v>
      </c>
      <c r="B602">
        <v>12</v>
      </c>
      <c r="C602">
        <v>1</v>
      </c>
      <c r="D602" s="7">
        <v>317.2</v>
      </c>
      <c r="E602" t="s">
        <v>2973</v>
      </c>
      <c r="F602" t="s">
        <v>4060</v>
      </c>
      <c r="H602" t="s">
        <v>2975</v>
      </c>
      <c r="I602" t="s">
        <v>4341</v>
      </c>
      <c r="J602">
        <v>2129</v>
      </c>
    </row>
    <row r="603" spans="1:10" x14ac:dyDescent="0.3">
      <c r="A603" t="s">
        <v>4340</v>
      </c>
      <c r="B603">
        <v>12</v>
      </c>
      <c r="C603">
        <v>2</v>
      </c>
      <c r="D603" s="7">
        <v>343.14</v>
      </c>
      <c r="E603" t="s">
        <v>3130</v>
      </c>
      <c r="F603" t="s">
        <v>4060</v>
      </c>
      <c r="H603" t="s">
        <v>3132</v>
      </c>
      <c r="I603" t="s">
        <v>4342</v>
      </c>
      <c r="J603">
        <v>2168</v>
      </c>
    </row>
    <row r="604" spans="1:10" x14ac:dyDescent="0.3">
      <c r="A604" t="s">
        <v>4340</v>
      </c>
      <c r="B604">
        <v>12</v>
      </c>
      <c r="C604">
        <v>3</v>
      </c>
      <c r="D604" s="7">
        <v>385.17</v>
      </c>
      <c r="E604" t="s">
        <v>3251</v>
      </c>
      <c r="F604" t="s">
        <v>4060</v>
      </c>
      <c r="H604" t="s">
        <v>3253</v>
      </c>
      <c r="I604" t="s">
        <v>4343</v>
      </c>
      <c r="J604">
        <v>2198</v>
      </c>
    </row>
    <row r="605" spans="1:10" x14ac:dyDescent="0.3">
      <c r="A605" t="s">
        <v>4340</v>
      </c>
      <c r="B605">
        <v>12</v>
      </c>
      <c r="C605">
        <v>4</v>
      </c>
      <c r="D605" s="7">
        <v>412.37</v>
      </c>
      <c r="E605" t="s">
        <v>3277</v>
      </c>
      <c r="F605" t="s">
        <v>4060</v>
      </c>
      <c r="H605" t="s">
        <v>3279</v>
      </c>
      <c r="I605" t="s">
        <v>4344</v>
      </c>
      <c r="J605">
        <v>2205</v>
      </c>
    </row>
    <row r="606" spans="1:10" x14ac:dyDescent="0.3">
      <c r="A606" t="s">
        <v>4340</v>
      </c>
      <c r="B606">
        <v>12</v>
      </c>
      <c r="C606">
        <v>5</v>
      </c>
      <c r="D606" s="7">
        <v>341.61</v>
      </c>
      <c r="E606" t="s">
        <v>3288</v>
      </c>
      <c r="F606" t="s">
        <v>4060</v>
      </c>
      <c r="H606" t="s">
        <v>3290</v>
      </c>
      <c r="I606" t="s">
        <v>4345</v>
      </c>
      <c r="J606">
        <v>2208</v>
      </c>
    </row>
    <row r="607" spans="1:10" x14ac:dyDescent="0.3">
      <c r="A607" t="s">
        <v>4340</v>
      </c>
      <c r="B607">
        <v>12</v>
      </c>
      <c r="C607">
        <v>6</v>
      </c>
      <c r="D607" s="7">
        <v>321.19</v>
      </c>
      <c r="E607" t="s">
        <v>3311</v>
      </c>
      <c r="F607" t="s">
        <v>4060</v>
      </c>
      <c r="H607" t="s">
        <v>3313</v>
      </c>
      <c r="I607" t="s">
        <v>4346</v>
      </c>
      <c r="J607">
        <v>2215</v>
      </c>
    </row>
    <row r="608" spans="1:10" x14ac:dyDescent="0.3">
      <c r="A608" t="s">
        <v>4340</v>
      </c>
      <c r="B608">
        <v>12</v>
      </c>
      <c r="C608">
        <v>7</v>
      </c>
      <c r="D608" s="7">
        <v>342.46</v>
      </c>
      <c r="E608" t="s">
        <v>3327</v>
      </c>
      <c r="F608" t="s">
        <v>4060</v>
      </c>
      <c r="H608" t="s">
        <v>3329</v>
      </c>
      <c r="I608" t="s">
        <v>4347</v>
      </c>
      <c r="J608">
        <v>2219</v>
      </c>
    </row>
    <row r="609" spans="1:10" x14ac:dyDescent="0.3">
      <c r="A609" t="s">
        <v>4340</v>
      </c>
      <c r="B609">
        <v>12</v>
      </c>
      <c r="C609">
        <v>8</v>
      </c>
      <c r="D609" s="7">
        <v>466.19</v>
      </c>
      <c r="E609" t="s">
        <v>3350</v>
      </c>
      <c r="F609" t="s">
        <v>4060</v>
      </c>
      <c r="H609" t="s">
        <v>3352</v>
      </c>
      <c r="I609" t="s">
        <v>4348</v>
      </c>
      <c r="J609">
        <v>2225</v>
      </c>
    </row>
    <row r="610" spans="1:10" x14ac:dyDescent="0.3">
      <c r="A610" t="s">
        <v>4349</v>
      </c>
      <c r="B610">
        <v>13</v>
      </c>
      <c r="C610">
        <v>1</v>
      </c>
      <c r="D610" s="7">
        <v>360</v>
      </c>
      <c r="E610" t="s">
        <v>3088</v>
      </c>
      <c r="F610" t="s">
        <v>4060</v>
      </c>
      <c r="I610" t="s">
        <v>4350</v>
      </c>
      <c r="J610">
        <v>2157</v>
      </c>
    </row>
    <row r="611" spans="1:10" x14ac:dyDescent="0.3">
      <c r="A611" t="s">
        <v>4349</v>
      </c>
      <c r="B611">
        <v>13</v>
      </c>
      <c r="C611">
        <v>2</v>
      </c>
      <c r="D611" s="7">
        <v>4000</v>
      </c>
      <c r="E611" t="s">
        <v>3455</v>
      </c>
      <c r="F611" t="s">
        <v>4060</v>
      </c>
      <c r="H611" t="s">
        <v>3457</v>
      </c>
      <c r="I611" t="s">
        <v>4351</v>
      </c>
    </row>
    <row r="612" spans="1:10" x14ac:dyDescent="0.3">
      <c r="A612" t="s">
        <v>4349</v>
      </c>
      <c r="B612">
        <v>13</v>
      </c>
      <c r="C612">
        <v>3</v>
      </c>
      <c r="D612" s="7">
        <v>1390.48</v>
      </c>
      <c r="E612" t="s">
        <v>3465</v>
      </c>
      <c r="F612" t="s">
        <v>4060</v>
      </c>
      <c r="H612" t="s">
        <v>3467</v>
      </c>
      <c r="I612" t="s">
        <v>4352</v>
      </c>
    </row>
    <row r="613" spans="1:10" x14ac:dyDescent="0.3">
      <c r="A613" t="s">
        <v>4349</v>
      </c>
      <c r="B613">
        <v>13</v>
      </c>
      <c r="C613">
        <v>4</v>
      </c>
      <c r="D613" s="7">
        <v>282</v>
      </c>
      <c r="E613" t="s">
        <v>3591</v>
      </c>
      <c r="F613" t="s">
        <v>4060</v>
      </c>
      <c r="I613" t="s">
        <v>4353</v>
      </c>
    </row>
    <row r="614" spans="1:10" x14ac:dyDescent="0.3">
      <c r="A614" t="s">
        <v>4349</v>
      </c>
      <c r="B614">
        <v>13</v>
      </c>
      <c r="C614">
        <v>5</v>
      </c>
      <c r="D614" s="7">
        <v>292</v>
      </c>
      <c r="E614" t="s">
        <v>3593</v>
      </c>
      <c r="F614" t="s">
        <v>4060</v>
      </c>
      <c r="I614" t="s">
        <v>4354</v>
      </c>
    </row>
    <row r="615" spans="1:10" x14ac:dyDescent="0.3">
      <c r="A615" t="s">
        <v>4349</v>
      </c>
      <c r="B615">
        <v>13</v>
      </c>
      <c r="C615">
        <v>6</v>
      </c>
      <c r="D615" s="7">
        <v>255.05</v>
      </c>
      <c r="E615" t="s">
        <v>3629</v>
      </c>
      <c r="F615" t="s">
        <v>4060</v>
      </c>
      <c r="I615" t="s">
        <v>4355</v>
      </c>
      <c r="J615">
        <v>2322</v>
      </c>
    </row>
    <row r="616" spans="1:10" x14ac:dyDescent="0.3">
      <c r="A616" t="s">
        <v>4349</v>
      </c>
      <c r="B616">
        <v>13</v>
      </c>
      <c r="C616">
        <v>7</v>
      </c>
      <c r="D616" s="7">
        <v>317.05</v>
      </c>
      <c r="E616" t="s">
        <v>3715</v>
      </c>
      <c r="F616" t="s">
        <v>4060</v>
      </c>
      <c r="I616" t="s">
        <v>4356</v>
      </c>
      <c r="J616">
        <v>2345</v>
      </c>
    </row>
    <row r="617" spans="1:10" x14ac:dyDescent="0.3">
      <c r="A617" t="s">
        <v>4349</v>
      </c>
      <c r="B617">
        <v>13</v>
      </c>
      <c r="C617">
        <v>8</v>
      </c>
      <c r="D617" s="7">
        <v>226.57</v>
      </c>
      <c r="E617" t="s">
        <v>3773</v>
      </c>
      <c r="F617" t="s">
        <v>4060</v>
      </c>
      <c r="I617" t="s">
        <v>4357</v>
      </c>
    </row>
    <row r="618" spans="1:10" x14ac:dyDescent="0.3">
      <c r="A618" t="s">
        <v>4349</v>
      </c>
      <c r="B618">
        <v>13</v>
      </c>
      <c r="C618">
        <v>9</v>
      </c>
      <c r="D618" s="7">
        <v>244.29</v>
      </c>
      <c r="E618" t="s">
        <v>3788</v>
      </c>
      <c r="F618" t="s">
        <v>4060</v>
      </c>
      <c r="I618" t="s">
        <v>4358</v>
      </c>
    </row>
    <row r="619" spans="1:10" x14ac:dyDescent="0.3">
      <c r="A619" t="s">
        <v>4349</v>
      </c>
      <c r="B619">
        <v>13</v>
      </c>
      <c r="C619">
        <v>10</v>
      </c>
      <c r="D619" s="7">
        <v>254</v>
      </c>
      <c r="E619" t="s">
        <v>3944</v>
      </c>
      <c r="F619" t="s">
        <v>4060</v>
      </c>
      <c r="I619" t="s">
        <v>4359</v>
      </c>
    </row>
    <row r="620" spans="1:10" x14ac:dyDescent="0.3">
      <c r="A620" t="s">
        <v>4349</v>
      </c>
      <c r="B620">
        <v>13</v>
      </c>
      <c r="C620">
        <v>11</v>
      </c>
      <c r="D620" s="7">
        <v>284</v>
      </c>
      <c r="E620" t="s">
        <v>3973</v>
      </c>
      <c r="F620" t="s">
        <v>4060</v>
      </c>
      <c r="I620" t="s">
        <v>4360</v>
      </c>
    </row>
    <row r="621" spans="1:10" x14ac:dyDescent="0.3">
      <c r="A621" t="s">
        <v>4361</v>
      </c>
      <c r="B621">
        <v>14</v>
      </c>
      <c r="C621">
        <v>1</v>
      </c>
      <c r="D621" s="7">
        <v>70.760000000000005</v>
      </c>
      <c r="E621" t="s">
        <v>2887</v>
      </c>
      <c r="F621" t="s">
        <v>4060</v>
      </c>
      <c r="I621" t="s">
        <v>4362</v>
      </c>
      <c r="J621">
        <v>2106</v>
      </c>
    </row>
    <row r="622" spans="1:10" x14ac:dyDescent="0.3">
      <c r="A622" t="s">
        <v>4361</v>
      </c>
      <c r="B622">
        <v>14</v>
      </c>
      <c r="C622">
        <v>2</v>
      </c>
      <c r="D622" s="7">
        <v>70</v>
      </c>
      <c r="E622" t="s">
        <v>2905</v>
      </c>
      <c r="F622" t="s">
        <v>4060</v>
      </c>
      <c r="I622" t="s">
        <v>4363</v>
      </c>
      <c r="J622">
        <v>2111</v>
      </c>
    </row>
    <row r="623" spans="1:10" x14ac:dyDescent="0.3">
      <c r="A623" t="s">
        <v>4361</v>
      </c>
      <c r="B623">
        <v>14</v>
      </c>
      <c r="C623">
        <v>3</v>
      </c>
      <c r="D623" s="7">
        <v>66</v>
      </c>
      <c r="E623" t="s">
        <v>2978</v>
      </c>
      <c r="F623" t="s">
        <v>4060</v>
      </c>
      <c r="I623" t="s">
        <v>4364</v>
      </c>
      <c r="J623">
        <v>2130</v>
      </c>
    </row>
    <row r="624" spans="1:10" x14ac:dyDescent="0.3">
      <c r="A624" t="s">
        <v>4361</v>
      </c>
      <c r="B624">
        <v>14</v>
      </c>
      <c r="C624">
        <v>4</v>
      </c>
      <c r="D624" s="7">
        <v>69.05</v>
      </c>
      <c r="E624" t="s">
        <v>3881</v>
      </c>
      <c r="F624" t="s">
        <v>4060</v>
      </c>
      <c r="I624" t="s">
        <v>4365</v>
      </c>
      <c r="J624">
        <v>2398</v>
      </c>
    </row>
    <row r="625" spans="1:10" x14ac:dyDescent="0.3">
      <c r="A625" t="s">
        <v>4366</v>
      </c>
      <c r="B625">
        <v>15</v>
      </c>
      <c r="C625">
        <v>1</v>
      </c>
      <c r="D625" s="7">
        <v>68.19</v>
      </c>
      <c r="E625" t="s">
        <v>2883</v>
      </c>
      <c r="F625" t="s">
        <v>4060</v>
      </c>
      <c r="I625" t="s">
        <v>4367</v>
      </c>
      <c r="J625">
        <v>2105</v>
      </c>
    </row>
    <row r="626" spans="1:10" x14ac:dyDescent="0.3">
      <c r="A626" t="s">
        <v>4366</v>
      </c>
      <c r="B626">
        <v>15</v>
      </c>
      <c r="C626">
        <v>2</v>
      </c>
      <c r="D626" s="7">
        <v>73.81</v>
      </c>
      <c r="E626" t="s">
        <v>2987</v>
      </c>
      <c r="F626" t="s">
        <v>4060</v>
      </c>
      <c r="I626" t="s">
        <v>4368</v>
      </c>
      <c r="J626">
        <v>2132</v>
      </c>
    </row>
    <row r="627" spans="1:10" x14ac:dyDescent="0.3">
      <c r="A627" t="s">
        <v>4366</v>
      </c>
      <c r="B627">
        <v>15</v>
      </c>
      <c r="C627">
        <v>3</v>
      </c>
      <c r="D627" s="7">
        <v>61.71</v>
      </c>
      <c r="E627" t="s">
        <v>3046</v>
      </c>
      <c r="F627" t="s">
        <v>4060</v>
      </c>
      <c r="I627" t="s">
        <v>4369</v>
      </c>
      <c r="J627">
        <v>2146</v>
      </c>
    </row>
    <row r="628" spans="1:10" x14ac:dyDescent="0.3">
      <c r="A628" t="s">
        <v>4366</v>
      </c>
      <c r="B628">
        <v>15</v>
      </c>
      <c r="C628">
        <v>4</v>
      </c>
      <c r="D628" s="7">
        <v>103.57</v>
      </c>
      <c r="E628" t="s">
        <v>3096</v>
      </c>
      <c r="F628" t="s">
        <v>4060</v>
      </c>
      <c r="I628" t="s">
        <v>4370</v>
      </c>
      <c r="J628">
        <v>2159</v>
      </c>
    </row>
    <row r="629" spans="1:10" x14ac:dyDescent="0.3">
      <c r="A629" t="s">
        <v>4366</v>
      </c>
      <c r="B629">
        <v>15</v>
      </c>
      <c r="C629">
        <v>5</v>
      </c>
      <c r="D629" s="7">
        <v>58</v>
      </c>
      <c r="E629" t="s">
        <v>3111</v>
      </c>
      <c r="F629" t="s">
        <v>4060</v>
      </c>
      <c r="I629" t="s">
        <v>4371</v>
      </c>
    </row>
    <row r="630" spans="1:10" x14ac:dyDescent="0.3">
      <c r="A630" t="s">
        <v>4366</v>
      </c>
      <c r="B630">
        <v>15</v>
      </c>
      <c r="C630">
        <v>6</v>
      </c>
      <c r="D630" s="7">
        <v>65.05</v>
      </c>
      <c r="E630" t="s">
        <v>3143</v>
      </c>
      <c r="F630" t="s">
        <v>4060</v>
      </c>
      <c r="I630" t="s">
        <v>4372</v>
      </c>
      <c r="J630">
        <v>2171</v>
      </c>
    </row>
    <row r="631" spans="1:10" x14ac:dyDescent="0.3">
      <c r="A631" t="s">
        <v>4366</v>
      </c>
      <c r="B631">
        <v>15</v>
      </c>
      <c r="C631">
        <v>7</v>
      </c>
      <c r="D631" s="7">
        <v>1640</v>
      </c>
      <c r="E631" t="s">
        <v>3299</v>
      </c>
      <c r="F631" t="s">
        <v>4060</v>
      </c>
      <c r="I631" t="s">
        <v>4373</v>
      </c>
    </row>
    <row r="632" spans="1:10" x14ac:dyDescent="0.3">
      <c r="A632" t="s">
        <v>4366</v>
      </c>
      <c r="B632">
        <v>15</v>
      </c>
      <c r="C632">
        <v>8</v>
      </c>
      <c r="D632" s="7">
        <v>69.81</v>
      </c>
      <c r="E632" t="s">
        <v>3341</v>
      </c>
      <c r="F632" t="s">
        <v>4060</v>
      </c>
      <c r="I632" t="s">
        <v>4374</v>
      </c>
      <c r="J632">
        <v>2222</v>
      </c>
    </row>
    <row r="633" spans="1:10" x14ac:dyDescent="0.3">
      <c r="A633" t="s">
        <v>4366</v>
      </c>
      <c r="B633">
        <v>15</v>
      </c>
      <c r="C633">
        <v>9</v>
      </c>
      <c r="D633" s="7">
        <v>3675</v>
      </c>
      <c r="E633" t="s">
        <v>3381</v>
      </c>
      <c r="F633" t="s">
        <v>4060</v>
      </c>
      <c r="I633" t="s">
        <v>4375</v>
      </c>
    </row>
    <row r="634" spans="1:10" x14ac:dyDescent="0.3">
      <c r="A634" t="s">
        <v>4366</v>
      </c>
      <c r="B634">
        <v>15</v>
      </c>
      <c r="C634">
        <v>10</v>
      </c>
      <c r="D634" s="7">
        <v>70</v>
      </c>
      <c r="E634" t="s">
        <v>3468</v>
      </c>
      <c r="F634" t="s">
        <v>4060</v>
      </c>
      <c r="I634" t="s">
        <v>4376</v>
      </c>
    </row>
    <row r="635" spans="1:10" x14ac:dyDescent="0.3">
      <c r="A635" t="s">
        <v>4366</v>
      </c>
      <c r="B635">
        <v>15</v>
      </c>
      <c r="C635">
        <v>11</v>
      </c>
      <c r="D635" s="7">
        <v>98.48</v>
      </c>
      <c r="E635" t="s">
        <v>3555</v>
      </c>
      <c r="F635" t="s">
        <v>4060</v>
      </c>
      <c r="I635" t="s">
        <v>4377</v>
      </c>
      <c r="J635">
        <v>2293</v>
      </c>
    </row>
    <row r="636" spans="1:10" x14ac:dyDescent="0.3">
      <c r="A636" t="s">
        <v>4366</v>
      </c>
      <c r="B636">
        <v>15</v>
      </c>
      <c r="C636">
        <v>12</v>
      </c>
      <c r="D636" s="7">
        <v>7297.62</v>
      </c>
      <c r="E636" t="s">
        <v>3562</v>
      </c>
      <c r="F636" t="s">
        <v>4060</v>
      </c>
      <c r="I636" t="s">
        <v>4378</v>
      </c>
    </row>
    <row r="637" spans="1:10" x14ac:dyDescent="0.3">
      <c r="A637" t="s">
        <v>4366</v>
      </c>
      <c r="B637">
        <v>15</v>
      </c>
      <c r="C637">
        <v>13</v>
      </c>
      <c r="D637" s="7">
        <v>67.52</v>
      </c>
      <c r="E637" t="s">
        <v>3599</v>
      </c>
      <c r="F637" t="s">
        <v>4060</v>
      </c>
      <c r="I637" t="s">
        <v>4379</v>
      </c>
    </row>
    <row r="638" spans="1:10" x14ac:dyDescent="0.3">
      <c r="A638" t="s">
        <v>4366</v>
      </c>
      <c r="B638">
        <v>15</v>
      </c>
      <c r="C638">
        <v>14</v>
      </c>
      <c r="D638" s="7">
        <v>554.64</v>
      </c>
      <c r="E638" t="s">
        <v>3619</v>
      </c>
      <c r="F638" t="s">
        <v>4060</v>
      </c>
      <c r="I638" t="s">
        <v>4380</v>
      </c>
    </row>
    <row r="639" spans="1:10" x14ac:dyDescent="0.3">
      <c r="A639" t="s">
        <v>4366</v>
      </c>
      <c r="B639">
        <v>15</v>
      </c>
      <c r="C639">
        <v>15</v>
      </c>
      <c r="D639" s="7">
        <v>418.48</v>
      </c>
      <c r="E639" t="s">
        <v>3661</v>
      </c>
      <c r="F639" t="s">
        <v>4060</v>
      </c>
      <c r="I639" t="s">
        <v>4381</v>
      </c>
      <c r="J639">
        <v>2330</v>
      </c>
    </row>
    <row r="640" spans="1:10" x14ac:dyDescent="0.3">
      <c r="A640" t="s">
        <v>4366</v>
      </c>
      <c r="B640">
        <v>15</v>
      </c>
      <c r="C640">
        <v>16</v>
      </c>
      <c r="D640" s="7">
        <v>7000</v>
      </c>
      <c r="E640" t="s">
        <v>3754</v>
      </c>
      <c r="F640" t="s">
        <v>4060</v>
      </c>
      <c r="H640" t="s">
        <v>3756</v>
      </c>
      <c r="I640" t="s">
        <v>4382</v>
      </c>
    </row>
    <row r="641" spans="1:10" x14ac:dyDescent="0.3">
      <c r="A641" t="s">
        <v>4366</v>
      </c>
      <c r="B641">
        <v>15</v>
      </c>
      <c r="C641">
        <v>17</v>
      </c>
      <c r="D641" s="7">
        <v>23.81</v>
      </c>
      <c r="E641" t="s">
        <v>3990</v>
      </c>
      <c r="F641" t="s">
        <v>4060</v>
      </c>
      <c r="I641" t="s">
        <v>4383</v>
      </c>
    </row>
    <row r="642" spans="1:10" x14ac:dyDescent="0.3">
      <c r="A642" t="s">
        <v>4366</v>
      </c>
      <c r="B642">
        <v>15</v>
      </c>
      <c r="C642">
        <v>18</v>
      </c>
      <c r="D642" s="7">
        <v>31.52</v>
      </c>
      <c r="E642" t="s">
        <v>4011</v>
      </c>
      <c r="F642" t="s">
        <v>4060</v>
      </c>
      <c r="I642" t="s">
        <v>4384</v>
      </c>
    </row>
    <row r="643" spans="1:10" x14ac:dyDescent="0.3">
      <c r="A643" t="s">
        <v>4366</v>
      </c>
      <c r="B643">
        <v>15</v>
      </c>
      <c r="C643">
        <v>19</v>
      </c>
      <c r="D643" s="7">
        <v>28.57</v>
      </c>
      <c r="E643" t="s">
        <v>4044</v>
      </c>
      <c r="F643" t="s">
        <v>4060</v>
      </c>
      <c r="I643" t="s">
        <v>4385</v>
      </c>
    </row>
    <row r="644" spans="1:10" x14ac:dyDescent="0.3">
      <c r="A644" t="s">
        <v>4366</v>
      </c>
      <c r="B644">
        <v>15</v>
      </c>
      <c r="C644">
        <v>20</v>
      </c>
      <c r="D644" s="7">
        <v>409.81</v>
      </c>
      <c r="E644" t="s">
        <v>4057</v>
      </c>
      <c r="F644" t="s">
        <v>4060</v>
      </c>
      <c r="I644" t="s">
        <v>4386</v>
      </c>
    </row>
    <row r="645" spans="1:10" x14ac:dyDescent="0.3">
      <c r="A645" t="s">
        <v>4387</v>
      </c>
      <c r="B645">
        <v>16</v>
      </c>
      <c r="C645">
        <v>1</v>
      </c>
      <c r="D645" s="7">
        <v>295.05</v>
      </c>
      <c r="E645" t="s">
        <v>2879</v>
      </c>
      <c r="F645" t="s">
        <v>4060</v>
      </c>
      <c r="I645" t="s">
        <v>4388</v>
      </c>
      <c r="J645">
        <v>2104</v>
      </c>
    </row>
    <row r="646" spans="1:10" x14ac:dyDescent="0.3">
      <c r="A646" t="s">
        <v>4387</v>
      </c>
      <c r="B646">
        <v>16</v>
      </c>
      <c r="C646">
        <v>2</v>
      </c>
      <c r="D646" s="7">
        <v>210</v>
      </c>
      <c r="E646" t="s">
        <v>2933</v>
      </c>
      <c r="F646" t="s">
        <v>4060</v>
      </c>
      <c r="I646" t="s">
        <v>4389</v>
      </c>
      <c r="J646">
        <v>2118</v>
      </c>
    </row>
    <row r="647" spans="1:10" x14ac:dyDescent="0.3">
      <c r="A647" t="s">
        <v>4387</v>
      </c>
      <c r="B647">
        <v>16</v>
      </c>
      <c r="C647">
        <v>3</v>
      </c>
      <c r="D647" s="7">
        <v>252.38</v>
      </c>
      <c r="E647" t="s">
        <v>2991</v>
      </c>
      <c r="F647" t="s">
        <v>4060</v>
      </c>
      <c r="I647" t="s">
        <v>4390</v>
      </c>
      <c r="J647">
        <v>2133</v>
      </c>
    </row>
    <row r="648" spans="1:10" x14ac:dyDescent="0.3">
      <c r="A648" t="s">
        <v>4387</v>
      </c>
      <c r="B648">
        <v>16</v>
      </c>
      <c r="C648">
        <v>4</v>
      </c>
      <c r="D648" s="7">
        <v>293.33</v>
      </c>
      <c r="E648" t="s">
        <v>3012</v>
      </c>
      <c r="F648" t="s">
        <v>4060</v>
      </c>
      <c r="I648" t="s">
        <v>4391</v>
      </c>
      <c r="J648">
        <v>2138</v>
      </c>
    </row>
    <row r="649" spans="1:10" x14ac:dyDescent="0.3">
      <c r="A649" t="s">
        <v>4387</v>
      </c>
      <c r="B649">
        <v>16</v>
      </c>
      <c r="C649">
        <v>5</v>
      </c>
      <c r="D649" s="7">
        <v>215</v>
      </c>
      <c r="E649" t="s">
        <v>3019</v>
      </c>
      <c r="F649" t="s">
        <v>4060</v>
      </c>
      <c r="I649" t="s">
        <v>4392</v>
      </c>
      <c r="J649">
        <v>2140</v>
      </c>
    </row>
    <row r="650" spans="1:10" x14ac:dyDescent="0.3">
      <c r="A650" t="s">
        <v>4387</v>
      </c>
      <c r="B650">
        <v>16</v>
      </c>
      <c r="C650">
        <v>6</v>
      </c>
      <c r="D650" s="7">
        <v>574</v>
      </c>
      <c r="E650" t="s">
        <v>3100</v>
      </c>
      <c r="F650" t="s">
        <v>4060</v>
      </c>
      <c r="H650" t="s">
        <v>3102</v>
      </c>
      <c r="I650" t="s">
        <v>4393</v>
      </c>
    </row>
    <row r="651" spans="1:10" x14ac:dyDescent="0.3">
      <c r="A651" t="s">
        <v>4387</v>
      </c>
      <c r="B651">
        <v>16</v>
      </c>
      <c r="C651">
        <v>7</v>
      </c>
      <c r="D651" s="7">
        <v>325.05</v>
      </c>
      <c r="E651" t="s">
        <v>3135</v>
      </c>
      <c r="F651" t="s">
        <v>4060</v>
      </c>
      <c r="I651" t="s">
        <v>4394</v>
      </c>
      <c r="J651">
        <v>2169</v>
      </c>
    </row>
    <row r="652" spans="1:10" x14ac:dyDescent="0.3">
      <c r="A652" t="s">
        <v>4387</v>
      </c>
      <c r="B652">
        <v>16</v>
      </c>
      <c r="C652">
        <v>8</v>
      </c>
      <c r="D652" s="7">
        <v>318.57</v>
      </c>
      <c r="E652" t="s">
        <v>3307</v>
      </c>
      <c r="F652" t="s">
        <v>4060</v>
      </c>
      <c r="I652" t="s">
        <v>4395</v>
      </c>
      <c r="J652">
        <v>2214</v>
      </c>
    </row>
    <row r="653" spans="1:10" x14ac:dyDescent="0.3">
      <c r="A653" t="s">
        <v>4387</v>
      </c>
      <c r="B653">
        <v>16</v>
      </c>
      <c r="C653">
        <v>9</v>
      </c>
      <c r="D653" s="7">
        <v>290</v>
      </c>
      <c r="E653" t="s">
        <v>3439</v>
      </c>
      <c r="F653" t="s">
        <v>4060</v>
      </c>
      <c r="I653" t="s">
        <v>4396</v>
      </c>
    </row>
    <row r="654" spans="1:10" x14ac:dyDescent="0.3">
      <c r="A654" t="s">
        <v>4387</v>
      </c>
      <c r="B654">
        <v>16</v>
      </c>
      <c r="C654">
        <v>10</v>
      </c>
      <c r="D654" s="7">
        <v>300</v>
      </c>
      <c r="E654" t="s">
        <v>3441</v>
      </c>
      <c r="F654" t="s">
        <v>4060</v>
      </c>
      <c r="I654" t="s">
        <v>4397</v>
      </c>
    </row>
    <row r="655" spans="1:10" x14ac:dyDescent="0.3">
      <c r="A655" t="s">
        <v>4387</v>
      </c>
      <c r="B655">
        <v>16</v>
      </c>
      <c r="C655">
        <v>11</v>
      </c>
      <c r="D655" s="7">
        <v>300</v>
      </c>
      <c r="E655" t="s">
        <v>3458</v>
      </c>
      <c r="F655" t="s">
        <v>4060</v>
      </c>
      <c r="I655" t="s">
        <v>4398</v>
      </c>
    </row>
    <row r="656" spans="1:10" x14ac:dyDescent="0.3">
      <c r="A656" t="s">
        <v>4387</v>
      </c>
      <c r="B656">
        <v>16</v>
      </c>
      <c r="C656">
        <v>12</v>
      </c>
      <c r="D656" s="7">
        <v>272</v>
      </c>
      <c r="E656" t="s">
        <v>3521</v>
      </c>
      <c r="F656" t="s">
        <v>4060</v>
      </c>
      <c r="I656" t="s">
        <v>4399</v>
      </c>
      <c r="J656">
        <v>2284</v>
      </c>
    </row>
    <row r="657" spans="1:10" x14ac:dyDescent="0.3">
      <c r="A657" t="s">
        <v>4387</v>
      </c>
      <c r="B657">
        <v>16</v>
      </c>
      <c r="C657">
        <v>13</v>
      </c>
      <c r="D657" s="7">
        <v>234</v>
      </c>
      <c r="E657" t="s">
        <v>3525</v>
      </c>
      <c r="F657" t="s">
        <v>4060</v>
      </c>
      <c r="I657" t="s">
        <v>4400</v>
      </c>
      <c r="J657">
        <v>2285</v>
      </c>
    </row>
    <row r="658" spans="1:10" x14ac:dyDescent="0.3">
      <c r="A658" t="s">
        <v>4387</v>
      </c>
      <c r="B658">
        <v>16</v>
      </c>
      <c r="C658">
        <v>14</v>
      </c>
      <c r="D658" s="7">
        <v>695</v>
      </c>
      <c r="E658" t="s">
        <v>3539</v>
      </c>
      <c r="F658" t="s">
        <v>4060</v>
      </c>
      <c r="H658" t="s">
        <v>3541</v>
      </c>
      <c r="I658" t="s">
        <v>4401</v>
      </c>
      <c r="J658">
        <v>2289</v>
      </c>
    </row>
    <row r="659" spans="1:10" x14ac:dyDescent="0.3">
      <c r="A659" t="s">
        <v>4387</v>
      </c>
      <c r="B659">
        <v>16</v>
      </c>
      <c r="C659">
        <v>15</v>
      </c>
      <c r="D659" s="7">
        <v>220</v>
      </c>
      <c r="E659" t="s">
        <v>3558</v>
      </c>
      <c r="F659" t="s">
        <v>4060</v>
      </c>
      <c r="I659" t="s">
        <v>4402</v>
      </c>
      <c r="J659">
        <v>2294</v>
      </c>
    </row>
    <row r="660" spans="1:10" x14ac:dyDescent="0.3">
      <c r="A660" t="s">
        <v>4387</v>
      </c>
      <c r="B660">
        <v>16</v>
      </c>
      <c r="C660">
        <v>16</v>
      </c>
      <c r="D660" s="7">
        <v>278</v>
      </c>
      <c r="E660" t="s">
        <v>3587</v>
      </c>
      <c r="F660" t="s">
        <v>4060</v>
      </c>
      <c r="I660" t="s">
        <v>4403</v>
      </c>
    </row>
    <row r="661" spans="1:10" x14ac:dyDescent="0.3">
      <c r="A661" t="s">
        <v>4387</v>
      </c>
      <c r="B661">
        <v>16</v>
      </c>
      <c r="C661">
        <v>17</v>
      </c>
      <c r="D661" s="7">
        <v>249.05</v>
      </c>
      <c r="E661" t="s">
        <v>3615</v>
      </c>
      <c r="F661" t="s">
        <v>4060</v>
      </c>
      <c r="I661" t="s">
        <v>4404</v>
      </c>
    </row>
    <row r="662" spans="1:10" x14ac:dyDescent="0.3">
      <c r="A662" t="s">
        <v>4387</v>
      </c>
      <c r="B662">
        <v>16</v>
      </c>
      <c r="C662">
        <v>18</v>
      </c>
      <c r="D662" s="7">
        <v>322</v>
      </c>
      <c r="E662" t="s">
        <v>3657</v>
      </c>
      <c r="F662" t="s">
        <v>4060</v>
      </c>
      <c r="I662" t="s">
        <v>4405</v>
      </c>
      <c r="J662">
        <v>2329</v>
      </c>
    </row>
    <row r="663" spans="1:10" x14ac:dyDescent="0.3">
      <c r="A663" t="s">
        <v>4387</v>
      </c>
      <c r="B663">
        <v>16</v>
      </c>
      <c r="C663">
        <v>19</v>
      </c>
      <c r="D663" s="7">
        <v>233.05</v>
      </c>
      <c r="E663" t="s">
        <v>3680</v>
      </c>
      <c r="F663" t="s">
        <v>4060</v>
      </c>
      <c r="I663" t="s">
        <v>4406</v>
      </c>
      <c r="J663">
        <v>2335</v>
      </c>
    </row>
    <row r="664" spans="1:10" x14ac:dyDescent="0.3">
      <c r="A664" t="s">
        <v>4387</v>
      </c>
      <c r="B664">
        <v>16</v>
      </c>
      <c r="C664">
        <v>20</v>
      </c>
      <c r="D664" s="7">
        <v>258</v>
      </c>
      <c r="E664" t="s">
        <v>3687</v>
      </c>
      <c r="F664" t="s">
        <v>4060</v>
      </c>
      <c r="I664" t="s">
        <v>4407</v>
      </c>
      <c r="J664">
        <v>2337</v>
      </c>
    </row>
    <row r="665" spans="1:10" x14ac:dyDescent="0.3">
      <c r="A665" t="s">
        <v>4387</v>
      </c>
      <c r="B665">
        <v>16</v>
      </c>
      <c r="C665">
        <v>21</v>
      </c>
      <c r="D665" s="7">
        <v>314</v>
      </c>
      <c r="E665" t="s">
        <v>3729</v>
      </c>
      <c r="F665" t="s">
        <v>4060</v>
      </c>
      <c r="I665" t="s">
        <v>4408</v>
      </c>
      <c r="J665">
        <v>2350</v>
      </c>
    </row>
    <row r="666" spans="1:10" x14ac:dyDescent="0.3">
      <c r="A666" t="s">
        <v>4387</v>
      </c>
      <c r="B666">
        <v>16</v>
      </c>
      <c r="C666">
        <v>22</v>
      </c>
      <c r="D666" s="7">
        <v>305</v>
      </c>
      <c r="E666" t="s">
        <v>3733</v>
      </c>
      <c r="F666" t="s">
        <v>4060</v>
      </c>
      <c r="I666" t="s">
        <v>4409</v>
      </c>
      <c r="J666">
        <v>2351</v>
      </c>
    </row>
    <row r="667" spans="1:10" x14ac:dyDescent="0.3">
      <c r="A667" t="s">
        <v>4387</v>
      </c>
      <c r="B667">
        <v>16</v>
      </c>
      <c r="C667">
        <v>23</v>
      </c>
      <c r="D667" s="7">
        <v>343</v>
      </c>
      <c r="E667" t="s">
        <v>3741</v>
      </c>
      <c r="F667" t="s">
        <v>4060</v>
      </c>
      <c r="I667" t="s">
        <v>4410</v>
      </c>
      <c r="J667">
        <v>2353</v>
      </c>
    </row>
    <row r="668" spans="1:10" x14ac:dyDescent="0.3">
      <c r="A668" t="s">
        <v>4387</v>
      </c>
      <c r="B668">
        <v>16</v>
      </c>
      <c r="C668">
        <v>24</v>
      </c>
      <c r="D668" s="7">
        <v>254</v>
      </c>
      <c r="E668" t="s">
        <v>3750</v>
      </c>
      <c r="F668" t="s">
        <v>4060</v>
      </c>
      <c r="I668" t="s">
        <v>4411</v>
      </c>
      <c r="J668">
        <v>2355</v>
      </c>
    </row>
    <row r="669" spans="1:10" x14ac:dyDescent="0.3">
      <c r="A669" t="s">
        <v>4387</v>
      </c>
      <c r="B669">
        <v>16</v>
      </c>
      <c r="C669">
        <v>25</v>
      </c>
      <c r="D669" s="7">
        <v>234.29</v>
      </c>
      <c r="E669" t="s">
        <v>3792</v>
      </c>
      <c r="F669" t="s">
        <v>4060</v>
      </c>
      <c r="I669" t="s">
        <v>4412</v>
      </c>
    </row>
    <row r="670" spans="1:10" x14ac:dyDescent="0.3">
      <c r="A670" t="s">
        <v>4387</v>
      </c>
      <c r="B670">
        <v>16</v>
      </c>
      <c r="C670">
        <v>26</v>
      </c>
      <c r="D670" s="7">
        <v>1425</v>
      </c>
      <c r="E670" t="s">
        <v>3794</v>
      </c>
      <c r="F670" t="s">
        <v>4060</v>
      </c>
      <c r="H670" t="s">
        <v>3796</v>
      </c>
      <c r="I670" t="s">
        <v>4413</v>
      </c>
    </row>
    <row r="671" spans="1:10" x14ac:dyDescent="0.3">
      <c r="A671" t="s">
        <v>4387</v>
      </c>
      <c r="B671">
        <v>16</v>
      </c>
      <c r="C671">
        <v>27</v>
      </c>
      <c r="D671" s="7">
        <v>248</v>
      </c>
      <c r="E671" t="s">
        <v>3799</v>
      </c>
      <c r="F671" t="s">
        <v>4060</v>
      </c>
      <c r="I671" t="s">
        <v>4414</v>
      </c>
    </row>
    <row r="672" spans="1:10" x14ac:dyDescent="0.3">
      <c r="A672" t="s">
        <v>4387</v>
      </c>
      <c r="B672">
        <v>16</v>
      </c>
      <c r="C672">
        <v>28</v>
      </c>
      <c r="D672" s="7">
        <v>277.05</v>
      </c>
      <c r="E672" t="s">
        <v>3801</v>
      </c>
      <c r="F672" t="s">
        <v>4060</v>
      </c>
      <c r="I672" t="s">
        <v>4415</v>
      </c>
    </row>
    <row r="673" spans="1:10" x14ac:dyDescent="0.3">
      <c r="A673" t="s">
        <v>4387</v>
      </c>
      <c r="B673">
        <v>16</v>
      </c>
      <c r="C673">
        <v>29</v>
      </c>
      <c r="D673" s="7">
        <v>298</v>
      </c>
      <c r="E673" t="s">
        <v>3803</v>
      </c>
      <c r="F673" t="s">
        <v>4060</v>
      </c>
      <c r="I673" t="s">
        <v>4416</v>
      </c>
    </row>
    <row r="674" spans="1:10" x14ac:dyDescent="0.3">
      <c r="A674" t="s">
        <v>4387</v>
      </c>
      <c r="B674">
        <v>16</v>
      </c>
      <c r="C674">
        <v>30</v>
      </c>
      <c r="D674" s="7">
        <v>322.57</v>
      </c>
      <c r="E674" t="s">
        <v>3825</v>
      </c>
      <c r="F674" t="s">
        <v>4060</v>
      </c>
      <c r="I674" t="s">
        <v>4417</v>
      </c>
      <c r="J674">
        <v>2384</v>
      </c>
    </row>
    <row r="675" spans="1:10" x14ac:dyDescent="0.3">
      <c r="A675" t="s">
        <v>4387</v>
      </c>
      <c r="B675">
        <v>16</v>
      </c>
      <c r="C675">
        <v>31</v>
      </c>
      <c r="D675" s="7">
        <v>339.71</v>
      </c>
      <c r="E675" t="s">
        <v>3841</v>
      </c>
      <c r="F675" t="s">
        <v>4060</v>
      </c>
      <c r="I675" t="s">
        <v>4418</v>
      </c>
      <c r="J675">
        <v>2388</v>
      </c>
    </row>
    <row r="676" spans="1:10" x14ac:dyDescent="0.3">
      <c r="A676" t="s">
        <v>4387</v>
      </c>
      <c r="B676">
        <v>16</v>
      </c>
      <c r="C676">
        <v>32</v>
      </c>
      <c r="D676" s="7">
        <v>331.05</v>
      </c>
      <c r="E676" t="s">
        <v>3845</v>
      </c>
      <c r="F676" t="s">
        <v>4060</v>
      </c>
      <c r="I676" t="s">
        <v>4419</v>
      </c>
      <c r="J676">
        <v>2389</v>
      </c>
    </row>
    <row r="677" spans="1:10" x14ac:dyDescent="0.3">
      <c r="A677" t="s">
        <v>4387</v>
      </c>
      <c r="B677">
        <v>16</v>
      </c>
      <c r="C677">
        <v>33</v>
      </c>
      <c r="D677" s="7">
        <v>338.1</v>
      </c>
      <c r="E677" t="s">
        <v>3891</v>
      </c>
      <c r="F677" t="s">
        <v>4060</v>
      </c>
      <c r="I677" t="s">
        <v>4420</v>
      </c>
    </row>
    <row r="678" spans="1:10" x14ac:dyDescent="0.3">
      <c r="A678" t="s">
        <v>4387</v>
      </c>
      <c r="B678">
        <v>16</v>
      </c>
      <c r="C678">
        <v>34</v>
      </c>
      <c r="D678" s="7">
        <v>258.10000000000002</v>
      </c>
      <c r="E678" t="s">
        <v>3900</v>
      </c>
      <c r="F678" t="s">
        <v>4060</v>
      </c>
      <c r="I678" t="s">
        <v>4421</v>
      </c>
    </row>
    <row r="679" spans="1:10" x14ac:dyDescent="0.3">
      <c r="A679" t="s">
        <v>4387</v>
      </c>
      <c r="B679">
        <v>16</v>
      </c>
      <c r="C679">
        <v>35</v>
      </c>
      <c r="D679" s="7">
        <v>325.05</v>
      </c>
      <c r="E679" t="s">
        <v>3915</v>
      </c>
      <c r="F679" t="s">
        <v>4060</v>
      </c>
      <c r="I679" t="s">
        <v>4422</v>
      </c>
    </row>
    <row r="680" spans="1:10" x14ac:dyDescent="0.3">
      <c r="A680" t="s">
        <v>4387</v>
      </c>
      <c r="B680">
        <v>16</v>
      </c>
      <c r="C680">
        <v>36</v>
      </c>
      <c r="D680" s="7">
        <v>310</v>
      </c>
      <c r="E680" t="s">
        <v>3925</v>
      </c>
      <c r="F680" t="s">
        <v>4060</v>
      </c>
      <c r="I680" t="s">
        <v>4423</v>
      </c>
    </row>
    <row r="681" spans="1:10" x14ac:dyDescent="0.3">
      <c r="A681" t="s">
        <v>4387</v>
      </c>
      <c r="B681">
        <v>16</v>
      </c>
      <c r="C681">
        <v>37</v>
      </c>
      <c r="D681" s="7">
        <v>259.05</v>
      </c>
      <c r="E681" t="s">
        <v>3938</v>
      </c>
      <c r="F681" t="s">
        <v>4060</v>
      </c>
      <c r="I681" t="s">
        <v>4424</v>
      </c>
    </row>
    <row r="682" spans="1:10" x14ac:dyDescent="0.3">
      <c r="A682" t="s">
        <v>4387</v>
      </c>
      <c r="B682">
        <v>16</v>
      </c>
      <c r="C682">
        <v>38</v>
      </c>
      <c r="D682" s="7">
        <v>333.33</v>
      </c>
      <c r="E682" t="s">
        <v>3985</v>
      </c>
      <c r="F682" t="s">
        <v>4060</v>
      </c>
      <c r="I682" t="s">
        <v>4425</v>
      </c>
      <c r="J682">
        <v>2443</v>
      </c>
    </row>
    <row r="683" spans="1:10" x14ac:dyDescent="0.3">
      <c r="A683" t="s">
        <v>4387</v>
      </c>
      <c r="B683">
        <v>16</v>
      </c>
      <c r="C683">
        <v>39</v>
      </c>
      <c r="D683" s="7">
        <v>306.95</v>
      </c>
      <c r="E683" t="s">
        <v>4040</v>
      </c>
      <c r="F683" t="s">
        <v>4060</v>
      </c>
      <c r="I683" t="s">
        <v>4426</v>
      </c>
      <c r="J683">
        <v>2458</v>
      </c>
    </row>
    <row r="684" spans="1:10" x14ac:dyDescent="0.3">
      <c r="A684" t="s">
        <v>4387</v>
      </c>
      <c r="B684">
        <v>16</v>
      </c>
      <c r="C684">
        <v>40</v>
      </c>
      <c r="D684" s="7">
        <v>351.05</v>
      </c>
      <c r="E684" t="s">
        <v>4055</v>
      </c>
      <c r="F684" t="s">
        <v>4060</v>
      </c>
      <c r="I684" t="s">
        <v>4427</v>
      </c>
    </row>
    <row r="685" spans="1:10" x14ac:dyDescent="0.3">
      <c r="A685" t="s">
        <v>4428</v>
      </c>
      <c r="B685">
        <v>17</v>
      </c>
      <c r="C685">
        <v>1</v>
      </c>
      <c r="D685" s="7">
        <v>103.05</v>
      </c>
      <c r="E685" t="s">
        <v>2941</v>
      </c>
      <c r="F685" t="s">
        <v>4060</v>
      </c>
      <c r="I685" t="s">
        <v>4429</v>
      </c>
      <c r="J685">
        <v>2120</v>
      </c>
    </row>
    <row r="686" spans="1:10" x14ac:dyDescent="0.3">
      <c r="A686" t="s">
        <v>4428</v>
      </c>
      <c r="B686">
        <v>17</v>
      </c>
      <c r="C686">
        <v>2</v>
      </c>
      <c r="D686" s="7">
        <v>90</v>
      </c>
      <c r="E686" t="s">
        <v>3071</v>
      </c>
      <c r="F686" t="s">
        <v>4060</v>
      </c>
      <c r="I686" t="s">
        <v>4430</v>
      </c>
      <c r="J686">
        <v>2153</v>
      </c>
    </row>
    <row r="687" spans="1:10" x14ac:dyDescent="0.3">
      <c r="A687" t="s">
        <v>4428</v>
      </c>
      <c r="B687">
        <v>17</v>
      </c>
      <c r="C687">
        <v>3</v>
      </c>
      <c r="D687" s="7">
        <v>138</v>
      </c>
      <c r="E687" t="s">
        <v>3719</v>
      </c>
      <c r="F687" t="s">
        <v>4060</v>
      </c>
      <c r="I687" t="s">
        <v>4431</v>
      </c>
      <c r="J687">
        <v>2346</v>
      </c>
    </row>
    <row r="688" spans="1:10" x14ac:dyDescent="0.3">
      <c r="B688">
        <v>18</v>
      </c>
      <c r="C688">
        <v>1</v>
      </c>
    </row>
  </sheetData>
  <sortState xmlns:xlrd2="http://schemas.microsoft.com/office/spreadsheetml/2017/richdata2" ref="A2:Q323">
    <sortCondition ref="A2:A323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0</xdr:col>
                    <xdr:colOff>662940</xdr:colOff>
                    <xdr:row>0</xdr:row>
                    <xdr:rowOff>53340</xdr:rowOff>
                  </from>
                  <to>
                    <xdr:col>4</xdr:col>
                    <xdr:colOff>358140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essionid">
                <anchor moveWithCells="1" sizeWithCells="1">
                  <from>
                    <xdr:col>4</xdr:col>
                    <xdr:colOff>464820</xdr:colOff>
                    <xdr:row>0</xdr:row>
                    <xdr:rowOff>60960</xdr:rowOff>
                  </from>
                  <to>
                    <xdr:col>7</xdr:col>
                    <xdr:colOff>137160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AABA9-2D8D-4F98-A73B-28F8311E624E}">
  <sheetPr codeName="Sheet7" filterMode="1"/>
  <dimension ref="A1:E777"/>
  <sheetViews>
    <sheetView topLeftCell="A635" workbookViewId="0">
      <selection activeCell="F635" sqref="F1:F1048576"/>
    </sheetView>
  </sheetViews>
  <sheetFormatPr defaultRowHeight="14.4" x14ac:dyDescent="0.3"/>
  <cols>
    <col min="1" max="1" width="11.88671875" bestFit="1" customWidth="1"/>
    <col min="2" max="2" width="19.5546875" customWidth="1"/>
    <col min="3" max="3" width="18.77734375" customWidth="1"/>
    <col min="4" max="4" width="12.6640625" bestFit="1" customWidth="1"/>
    <col min="5" max="5" width="9.44140625" bestFit="1" customWidth="1"/>
  </cols>
  <sheetData>
    <row r="1" spans="1:5" x14ac:dyDescent="0.3">
      <c r="A1" s="14" t="s">
        <v>1</v>
      </c>
      <c r="B1" s="15" t="s">
        <v>99</v>
      </c>
      <c r="C1" s="15" t="s">
        <v>100</v>
      </c>
      <c r="D1" s="15" t="s">
        <v>101</v>
      </c>
      <c r="E1" s="15" t="s">
        <v>0</v>
      </c>
    </row>
    <row r="2" spans="1:5" hidden="1" x14ac:dyDescent="0.3">
      <c r="A2">
        <v>1101</v>
      </c>
      <c r="B2">
        <v>1</v>
      </c>
      <c r="C2" t="s">
        <v>574</v>
      </c>
      <c r="E2" s="20">
        <v>398.05</v>
      </c>
    </row>
    <row r="3" spans="1:5" hidden="1" x14ac:dyDescent="0.3">
      <c r="A3">
        <v>1101</v>
      </c>
      <c r="B3">
        <v>2</v>
      </c>
      <c r="C3" t="s">
        <v>575</v>
      </c>
      <c r="E3" s="20">
        <v>396.02</v>
      </c>
    </row>
    <row r="4" spans="1:5" hidden="1" x14ac:dyDescent="0.3">
      <c r="A4">
        <v>1102</v>
      </c>
      <c r="B4">
        <v>1</v>
      </c>
      <c r="C4" t="s">
        <v>576</v>
      </c>
      <c r="E4" s="20">
        <v>182.29</v>
      </c>
    </row>
    <row r="5" spans="1:5" hidden="1" x14ac:dyDescent="0.3">
      <c r="A5">
        <v>1102</v>
      </c>
      <c r="B5">
        <v>2</v>
      </c>
      <c r="C5" t="s">
        <v>577</v>
      </c>
      <c r="E5" s="20">
        <v>181.33</v>
      </c>
    </row>
    <row r="6" spans="1:5" hidden="1" x14ac:dyDescent="0.3">
      <c r="A6">
        <v>1103</v>
      </c>
      <c r="B6">
        <v>1</v>
      </c>
      <c r="C6" t="s">
        <v>578</v>
      </c>
      <c r="E6" s="20">
        <v>485</v>
      </c>
    </row>
    <row r="7" spans="1:5" hidden="1" x14ac:dyDescent="0.3">
      <c r="A7">
        <v>1103</v>
      </c>
      <c r="B7">
        <v>2</v>
      </c>
      <c r="C7" t="s">
        <v>579</v>
      </c>
      <c r="E7" s="20">
        <v>480</v>
      </c>
    </row>
    <row r="8" spans="1:5" hidden="1" x14ac:dyDescent="0.3">
      <c r="A8">
        <v>1104</v>
      </c>
      <c r="B8">
        <v>1</v>
      </c>
      <c r="C8" t="s">
        <v>580</v>
      </c>
      <c r="E8" s="20">
        <v>176.76</v>
      </c>
    </row>
    <row r="9" spans="1:5" hidden="1" x14ac:dyDescent="0.3">
      <c r="A9">
        <v>1104</v>
      </c>
      <c r="B9">
        <v>2</v>
      </c>
      <c r="C9" t="s">
        <v>581</v>
      </c>
      <c r="E9" s="20">
        <v>175.05</v>
      </c>
    </row>
    <row r="10" spans="1:5" hidden="1" x14ac:dyDescent="0.3">
      <c r="A10">
        <v>1105</v>
      </c>
      <c r="B10">
        <v>1</v>
      </c>
      <c r="C10" t="s">
        <v>582</v>
      </c>
      <c r="E10" s="20">
        <v>94.38</v>
      </c>
    </row>
    <row r="11" spans="1:5" hidden="1" x14ac:dyDescent="0.3">
      <c r="A11">
        <v>1105</v>
      </c>
      <c r="B11">
        <v>2</v>
      </c>
      <c r="C11" t="s">
        <v>214</v>
      </c>
      <c r="E11" s="20">
        <v>92.95</v>
      </c>
    </row>
    <row r="12" spans="1:5" hidden="1" x14ac:dyDescent="0.3">
      <c r="A12">
        <v>1106</v>
      </c>
      <c r="B12">
        <v>1</v>
      </c>
      <c r="C12" t="s">
        <v>583</v>
      </c>
      <c r="E12" s="20">
        <v>267.88</v>
      </c>
    </row>
    <row r="13" spans="1:5" hidden="1" x14ac:dyDescent="0.3">
      <c r="A13">
        <v>1106</v>
      </c>
      <c r="B13">
        <v>2</v>
      </c>
      <c r="C13" t="s">
        <v>584</v>
      </c>
      <c r="E13" s="20">
        <v>265.93</v>
      </c>
    </row>
    <row r="14" spans="1:5" hidden="1" x14ac:dyDescent="0.3">
      <c r="A14">
        <v>1107</v>
      </c>
      <c r="B14">
        <v>1</v>
      </c>
      <c r="C14" t="s">
        <v>216</v>
      </c>
      <c r="E14" s="20">
        <v>95.8</v>
      </c>
    </row>
    <row r="15" spans="1:5" hidden="1" x14ac:dyDescent="0.3">
      <c r="A15">
        <v>1107</v>
      </c>
      <c r="B15">
        <v>2</v>
      </c>
      <c r="C15" t="s">
        <v>217</v>
      </c>
      <c r="E15" s="20">
        <v>95.27</v>
      </c>
    </row>
    <row r="16" spans="1:5" hidden="1" x14ac:dyDescent="0.3">
      <c r="A16">
        <v>1108</v>
      </c>
      <c r="B16">
        <v>1</v>
      </c>
      <c r="C16" t="s">
        <v>585</v>
      </c>
      <c r="E16" s="20">
        <v>28.29</v>
      </c>
    </row>
    <row r="17" spans="1:5" hidden="1" x14ac:dyDescent="0.3">
      <c r="A17">
        <v>1108</v>
      </c>
      <c r="B17">
        <v>2</v>
      </c>
      <c r="C17" t="s">
        <v>586</v>
      </c>
      <c r="E17" s="20">
        <v>28.25</v>
      </c>
    </row>
    <row r="18" spans="1:5" hidden="1" x14ac:dyDescent="0.3">
      <c r="A18">
        <v>1109</v>
      </c>
      <c r="B18">
        <v>1</v>
      </c>
      <c r="C18" t="s">
        <v>587</v>
      </c>
      <c r="E18" s="20">
        <v>1178.56</v>
      </c>
    </row>
    <row r="19" spans="1:5" hidden="1" x14ac:dyDescent="0.3">
      <c r="A19">
        <v>1109</v>
      </c>
      <c r="B19">
        <v>2</v>
      </c>
      <c r="C19" t="s">
        <v>588</v>
      </c>
      <c r="E19" s="20">
        <v>1172.6300000000001</v>
      </c>
    </row>
    <row r="20" spans="1:5" hidden="1" x14ac:dyDescent="0.3">
      <c r="A20">
        <v>1110</v>
      </c>
      <c r="B20">
        <v>1</v>
      </c>
      <c r="C20" t="s">
        <v>589</v>
      </c>
      <c r="E20" s="20">
        <v>93.12</v>
      </c>
    </row>
    <row r="21" spans="1:5" hidden="1" x14ac:dyDescent="0.3">
      <c r="A21">
        <v>1110</v>
      </c>
      <c r="B21">
        <v>2</v>
      </c>
      <c r="C21" t="s">
        <v>219</v>
      </c>
      <c r="E21" s="20">
        <v>92.23</v>
      </c>
    </row>
    <row r="22" spans="1:5" hidden="1" x14ac:dyDescent="0.3">
      <c r="A22">
        <v>1111</v>
      </c>
      <c r="B22">
        <v>1</v>
      </c>
      <c r="C22" t="s">
        <v>590</v>
      </c>
      <c r="E22" s="20">
        <v>16.190000000000001</v>
      </c>
    </row>
    <row r="23" spans="1:5" hidden="1" x14ac:dyDescent="0.3">
      <c r="A23">
        <v>1111</v>
      </c>
      <c r="B23">
        <v>2</v>
      </c>
      <c r="C23" t="s">
        <v>591</v>
      </c>
      <c r="E23" s="20">
        <v>16.100000000000001</v>
      </c>
    </row>
    <row r="24" spans="1:5" hidden="1" x14ac:dyDescent="0.3">
      <c r="A24">
        <v>1112</v>
      </c>
      <c r="B24">
        <v>1</v>
      </c>
      <c r="C24" t="s">
        <v>592</v>
      </c>
      <c r="E24" s="20">
        <v>265.14</v>
      </c>
    </row>
    <row r="25" spans="1:5" hidden="1" x14ac:dyDescent="0.3">
      <c r="A25">
        <v>1112</v>
      </c>
      <c r="B25">
        <v>2</v>
      </c>
      <c r="C25" t="s">
        <v>593</v>
      </c>
      <c r="E25" s="20">
        <v>263.14</v>
      </c>
    </row>
    <row r="26" spans="1:5" hidden="1" x14ac:dyDescent="0.3">
      <c r="A26">
        <v>1113</v>
      </c>
      <c r="B26">
        <v>1</v>
      </c>
      <c r="C26" t="s">
        <v>594</v>
      </c>
      <c r="E26" s="20">
        <v>176.61</v>
      </c>
    </row>
    <row r="27" spans="1:5" hidden="1" x14ac:dyDescent="0.3">
      <c r="A27">
        <v>1113</v>
      </c>
      <c r="B27">
        <v>2</v>
      </c>
      <c r="C27" t="s">
        <v>595</v>
      </c>
      <c r="E27" s="20">
        <v>174.82</v>
      </c>
    </row>
    <row r="28" spans="1:5" hidden="1" x14ac:dyDescent="0.3">
      <c r="A28">
        <v>1114</v>
      </c>
      <c r="B28">
        <v>1</v>
      </c>
      <c r="C28" t="s">
        <v>596</v>
      </c>
      <c r="E28" s="20">
        <v>22.91</v>
      </c>
    </row>
    <row r="29" spans="1:5" hidden="1" x14ac:dyDescent="0.3">
      <c r="A29">
        <v>1114</v>
      </c>
      <c r="B29">
        <v>2</v>
      </c>
      <c r="C29" t="s">
        <v>597</v>
      </c>
      <c r="E29" s="20">
        <v>22.44</v>
      </c>
    </row>
    <row r="30" spans="1:5" hidden="1" x14ac:dyDescent="0.3">
      <c r="A30">
        <v>1116</v>
      </c>
      <c r="B30">
        <v>1</v>
      </c>
      <c r="C30" t="s">
        <v>598</v>
      </c>
      <c r="E30" s="20">
        <v>173.75</v>
      </c>
    </row>
    <row r="31" spans="1:5" hidden="1" x14ac:dyDescent="0.3">
      <c r="A31">
        <v>1116</v>
      </c>
      <c r="B31">
        <v>2</v>
      </c>
      <c r="C31" t="s">
        <v>599</v>
      </c>
      <c r="E31" s="20">
        <v>172.05</v>
      </c>
    </row>
    <row r="32" spans="1:5" hidden="1" x14ac:dyDescent="0.3">
      <c r="A32">
        <v>1117</v>
      </c>
      <c r="B32">
        <v>1</v>
      </c>
      <c r="C32" t="s">
        <v>222</v>
      </c>
      <c r="E32" s="20">
        <v>81.96</v>
      </c>
    </row>
    <row r="33" spans="1:5" hidden="1" x14ac:dyDescent="0.3">
      <c r="A33">
        <v>1117</v>
      </c>
      <c r="B33">
        <v>2</v>
      </c>
      <c r="C33" t="s">
        <v>223</v>
      </c>
      <c r="E33" s="20">
        <v>80.98</v>
      </c>
    </row>
    <row r="34" spans="1:5" hidden="1" x14ac:dyDescent="0.3">
      <c r="A34">
        <v>1118</v>
      </c>
      <c r="B34">
        <v>1</v>
      </c>
      <c r="C34" t="s">
        <v>596</v>
      </c>
      <c r="E34" s="20">
        <v>22.91</v>
      </c>
    </row>
    <row r="35" spans="1:5" hidden="1" x14ac:dyDescent="0.3">
      <c r="A35">
        <v>1118</v>
      </c>
      <c r="B35">
        <v>2</v>
      </c>
      <c r="C35" t="s">
        <v>597</v>
      </c>
      <c r="E35" s="20">
        <v>22.44</v>
      </c>
    </row>
    <row r="36" spans="1:5" hidden="1" x14ac:dyDescent="0.3">
      <c r="A36">
        <v>1119</v>
      </c>
      <c r="B36">
        <v>1</v>
      </c>
      <c r="C36" t="s">
        <v>600</v>
      </c>
      <c r="E36" s="20">
        <v>97.14</v>
      </c>
    </row>
    <row r="37" spans="1:5" hidden="1" x14ac:dyDescent="0.3">
      <c r="A37">
        <v>1119</v>
      </c>
      <c r="B37">
        <v>2</v>
      </c>
      <c r="C37" t="s">
        <v>601</v>
      </c>
      <c r="E37" s="20">
        <v>93.21</v>
      </c>
    </row>
    <row r="38" spans="1:5" hidden="1" x14ac:dyDescent="0.3">
      <c r="A38">
        <v>1120</v>
      </c>
      <c r="B38">
        <v>1</v>
      </c>
      <c r="C38" t="s">
        <v>602</v>
      </c>
      <c r="E38" s="20">
        <v>347.37</v>
      </c>
    </row>
    <row r="39" spans="1:5" hidden="1" x14ac:dyDescent="0.3">
      <c r="A39">
        <v>1120</v>
      </c>
      <c r="B39">
        <v>2</v>
      </c>
      <c r="C39" t="s">
        <v>603</v>
      </c>
      <c r="E39" s="20">
        <v>343.39</v>
      </c>
    </row>
    <row r="40" spans="1:5" hidden="1" x14ac:dyDescent="0.3">
      <c r="A40">
        <v>1121</v>
      </c>
      <c r="B40">
        <v>1</v>
      </c>
      <c r="C40" t="s">
        <v>604</v>
      </c>
      <c r="E40" s="20">
        <v>25.27</v>
      </c>
    </row>
    <row r="41" spans="1:5" hidden="1" x14ac:dyDescent="0.3">
      <c r="A41">
        <v>1121</v>
      </c>
      <c r="B41">
        <v>2</v>
      </c>
      <c r="C41" t="s">
        <v>605</v>
      </c>
      <c r="E41" s="20">
        <v>24.5</v>
      </c>
    </row>
    <row r="42" spans="1:5" hidden="1" x14ac:dyDescent="0.3">
      <c r="A42">
        <v>1122</v>
      </c>
      <c r="B42">
        <v>1</v>
      </c>
      <c r="C42" t="s">
        <v>606</v>
      </c>
      <c r="E42" s="20">
        <v>13.3</v>
      </c>
    </row>
    <row r="43" spans="1:5" hidden="1" x14ac:dyDescent="0.3">
      <c r="A43">
        <v>1122</v>
      </c>
      <c r="B43">
        <v>2</v>
      </c>
      <c r="C43" t="s">
        <v>607</v>
      </c>
      <c r="E43" s="20">
        <v>12.9</v>
      </c>
    </row>
    <row r="44" spans="1:5" hidden="1" x14ac:dyDescent="0.3">
      <c r="A44">
        <v>1123</v>
      </c>
      <c r="B44">
        <v>1</v>
      </c>
      <c r="C44" t="s">
        <v>604</v>
      </c>
      <c r="E44" s="20">
        <v>25.27</v>
      </c>
    </row>
    <row r="45" spans="1:5" hidden="1" x14ac:dyDescent="0.3">
      <c r="A45">
        <v>1123</v>
      </c>
      <c r="B45">
        <v>2</v>
      </c>
      <c r="C45" t="s">
        <v>605</v>
      </c>
      <c r="E45" s="20">
        <v>24.5</v>
      </c>
    </row>
    <row r="46" spans="1:5" hidden="1" x14ac:dyDescent="0.3">
      <c r="A46">
        <v>1124</v>
      </c>
      <c r="B46">
        <v>1</v>
      </c>
      <c r="C46" t="s">
        <v>608</v>
      </c>
      <c r="E46" s="20">
        <v>210.54</v>
      </c>
    </row>
    <row r="47" spans="1:5" hidden="1" x14ac:dyDescent="0.3">
      <c r="A47">
        <v>1124</v>
      </c>
      <c r="B47">
        <v>2</v>
      </c>
      <c r="C47" t="s">
        <v>609</v>
      </c>
      <c r="E47" s="20">
        <v>208.39</v>
      </c>
    </row>
    <row r="48" spans="1:5" hidden="1" x14ac:dyDescent="0.3">
      <c r="A48">
        <v>1125</v>
      </c>
      <c r="B48">
        <v>1</v>
      </c>
      <c r="C48" t="s">
        <v>583</v>
      </c>
      <c r="E48" s="20">
        <v>267.88</v>
      </c>
    </row>
    <row r="49" spans="1:5" hidden="1" x14ac:dyDescent="0.3">
      <c r="A49">
        <v>1125</v>
      </c>
      <c r="B49">
        <v>2</v>
      </c>
      <c r="C49" t="s">
        <v>584</v>
      </c>
      <c r="E49" s="20">
        <v>265.93</v>
      </c>
    </row>
    <row r="50" spans="1:5" hidden="1" x14ac:dyDescent="0.3">
      <c r="A50">
        <v>1126</v>
      </c>
      <c r="B50">
        <v>1</v>
      </c>
      <c r="C50" t="s">
        <v>606</v>
      </c>
      <c r="E50" s="20">
        <v>13.3</v>
      </c>
    </row>
    <row r="51" spans="1:5" hidden="1" x14ac:dyDescent="0.3">
      <c r="A51">
        <v>1126</v>
      </c>
      <c r="B51">
        <v>2</v>
      </c>
      <c r="C51" t="s">
        <v>607</v>
      </c>
      <c r="E51" s="20">
        <v>12.9</v>
      </c>
    </row>
    <row r="52" spans="1:5" hidden="1" x14ac:dyDescent="0.3">
      <c r="A52">
        <v>1127</v>
      </c>
      <c r="B52">
        <v>1</v>
      </c>
      <c r="C52" t="s">
        <v>585</v>
      </c>
      <c r="E52" s="20">
        <v>28.29</v>
      </c>
    </row>
    <row r="53" spans="1:5" hidden="1" x14ac:dyDescent="0.3">
      <c r="A53">
        <v>1127</v>
      </c>
      <c r="B53">
        <v>2</v>
      </c>
      <c r="C53" t="s">
        <v>586</v>
      </c>
      <c r="E53" s="20">
        <v>28.25</v>
      </c>
    </row>
    <row r="54" spans="1:5" hidden="1" x14ac:dyDescent="0.3">
      <c r="A54">
        <v>1128</v>
      </c>
      <c r="B54">
        <v>1</v>
      </c>
      <c r="C54" t="s">
        <v>229</v>
      </c>
      <c r="E54" s="20">
        <v>93.75</v>
      </c>
    </row>
    <row r="55" spans="1:5" hidden="1" x14ac:dyDescent="0.3">
      <c r="A55">
        <v>1128</v>
      </c>
      <c r="B55">
        <v>2</v>
      </c>
      <c r="C55" t="s">
        <v>230</v>
      </c>
      <c r="E55" s="20">
        <v>92.77</v>
      </c>
    </row>
    <row r="56" spans="1:5" hidden="1" x14ac:dyDescent="0.3">
      <c r="A56">
        <v>1129</v>
      </c>
      <c r="B56">
        <v>1</v>
      </c>
      <c r="C56" t="s">
        <v>226</v>
      </c>
      <c r="E56" s="20">
        <v>84.02</v>
      </c>
    </row>
    <row r="57" spans="1:5" hidden="1" x14ac:dyDescent="0.3">
      <c r="A57">
        <v>1129</v>
      </c>
      <c r="B57">
        <v>2</v>
      </c>
      <c r="C57" t="s">
        <v>227</v>
      </c>
      <c r="E57" s="20">
        <v>83.12</v>
      </c>
    </row>
    <row r="58" spans="1:5" hidden="1" x14ac:dyDescent="0.3">
      <c r="A58">
        <v>1130</v>
      </c>
      <c r="B58">
        <v>1</v>
      </c>
      <c r="C58" t="s">
        <v>610</v>
      </c>
      <c r="E58" s="20">
        <v>398.3</v>
      </c>
    </row>
    <row r="59" spans="1:5" hidden="1" x14ac:dyDescent="0.3">
      <c r="A59">
        <v>1130</v>
      </c>
      <c r="B59">
        <v>2</v>
      </c>
      <c r="C59" t="s">
        <v>611</v>
      </c>
      <c r="E59" s="20">
        <v>394.29</v>
      </c>
    </row>
    <row r="60" spans="1:5" hidden="1" x14ac:dyDescent="0.3">
      <c r="A60">
        <v>1131</v>
      </c>
      <c r="B60">
        <v>1</v>
      </c>
      <c r="C60" t="s">
        <v>612</v>
      </c>
      <c r="E60" s="20">
        <v>273.81</v>
      </c>
    </row>
    <row r="61" spans="1:5" hidden="1" x14ac:dyDescent="0.3">
      <c r="A61">
        <v>1131</v>
      </c>
      <c r="B61">
        <v>2</v>
      </c>
      <c r="C61" t="s">
        <v>613</v>
      </c>
      <c r="E61" s="20">
        <v>268.81</v>
      </c>
    </row>
    <row r="62" spans="1:5" hidden="1" x14ac:dyDescent="0.3">
      <c r="A62">
        <v>1132</v>
      </c>
      <c r="B62">
        <v>1</v>
      </c>
      <c r="C62" t="s">
        <v>614</v>
      </c>
      <c r="E62" s="20">
        <v>23.96</v>
      </c>
    </row>
    <row r="63" spans="1:5" hidden="1" x14ac:dyDescent="0.3">
      <c r="A63">
        <v>1132</v>
      </c>
      <c r="B63">
        <v>2</v>
      </c>
      <c r="C63" t="s">
        <v>615</v>
      </c>
      <c r="E63" s="20">
        <v>23.47</v>
      </c>
    </row>
    <row r="64" spans="1:5" hidden="1" x14ac:dyDescent="0.3">
      <c r="A64">
        <v>1133</v>
      </c>
      <c r="B64">
        <v>1</v>
      </c>
      <c r="C64" t="s">
        <v>616</v>
      </c>
      <c r="E64" s="20">
        <v>213.93</v>
      </c>
    </row>
    <row r="65" spans="1:5" hidden="1" x14ac:dyDescent="0.3">
      <c r="A65">
        <v>1133</v>
      </c>
      <c r="B65">
        <v>2</v>
      </c>
      <c r="C65" t="s">
        <v>617</v>
      </c>
      <c r="E65" s="20">
        <v>211.79</v>
      </c>
    </row>
    <row r="66" spans="1:5" hidden="1" x14ac:dyDescent="0.3">
      <c r="A66">
        <v>1134</v>
      </c>
      <c r="B66">
        <v>1</v>
      </c>
      <c r="C66" t="s">
        <v>583</v>
      </c>
      <c r="E66" s="20">
        <v>267.88</v>
      </c>
    </row>
    <row r="67" spans="1:5" hidden="1" x14ac:dyDescent="0.3">
      <c r="A67">
        <v>1134</v>
      </c>
      <c r="B67">
        <v>2</v>
      </c>
      <c r="C67" t="s">
        <v>584</v>
      </c>
      <c r="E67" s="20">
        <v>265.93</v>
      </c>
    </row>
    <row r="68" spans="1:5" hidden="1" x14ac:dyDescent="0.3">
      <c r="A68">
        <v>1136</v>
      </c>
      <c r="B68">
        <v>1</v>
      </c>
      <c r="C68" t="s">
        <v>618</v>
      </c>
      <c r="E68" s="20">
        <v>132.77000000000001</v>
      </c>
    </row>
    <row r="69" spans="1:5" hidden="1" x14ac:dyDescent="0.3">
      <c r="A69">
        <v>1136</v>
      </c>
      <c r="B69">
        <v>2</v>
      </c>
      <c r="C69" t="s">
        <v>619</v>
      </c>
      <c r="E69" s="20">
        <v>130.09</v>
      </c>
    </row>
    <row r="70" spans="1:5" hidden="1" x14ac:dyDescent="0.3">
      <c r="A70">
        <v>1137</v>
      </c>
      <c r="B70">
        <v>1</v>
      </c>
      <c r="C70" t="s">
        <v>620</v>
      </c>
      <c r="E70" s="20">
        <v>274.92</v>
      </c>
    </row>
    <row r="71" spans="1:5" hidden="1" x14ac:dyDescent="0.3">
      <c r="A71">
        <v>1137</v>
      </c>
      <c r="B71">
        <v>2</v>
      </c>
      <c r="C71" t="s">
        <v>621</v>
      </c>
      <c r="E71" s="20">
        <v>269.92</v>
      </c>
    </row>
    <row r="72" spans="1:5" hidden="1" x14ac:dyDescent="0.3">
      <c r="A72">
        <v>1138</v>
      </c>
      <c r="B72">
        <v>1</v>
      </c>
      <c r="C72" t="s">
        <v>233</v>
      </c>
      <c r="E72" s="20">
        <v>13.5</v>
      </c>
    </row>
    <row r="73" spans="1:5" hidden="1" x14ac:dyDescent="0.3">
      <c r="A73">
        <v>1138</v>
      </c>
      <c r="B73">
        <v>2</v>
      </c>
      <c r="C73" t="s">
        <v>234</v>
      </c>
      <c r="E73" s="20">
        <v>12.75</v>
      </c>
    </row>
    <row r="74" spans="1:5" hidden="1" x14ac:dyDescent="0.3">
      <c r="A74">
        <v>1139</v>
      </c>
      <c r="B74">
        <v>1</v>
      </c>
      <c r="C74" t="s">
        <v>585</v>
      </c>
      <c r="E74" s="20">
        <v>28.29</v>
      </c>
    </row>
    <row r="75" spans="1:5" hidden="1" x14ac:dyDescent="0.3">
      <c r="A75">
        <v>1139</v>
      </c>
      <c r="B75">
        <v>2</v>
      </c>
      <c r="C75" t="s">
        <v>586</v>
      </c>
      <c r="E75" s="20">
        <v>28.25</v>
      </c>
    </row>
    <row r="76" spans="1:5" hidden="1" x14ac:dyDescent="0.3">
      <c r="A76">
        <v>1141</v>
      </c>
      <c r="B76">
        <v>1</v>
      </c>
      <c r="C76" t="s">
        <v>622</v>
      </c>
      <c r="E76" s="20">
        <v>23.26</v>
      </c>
    </row>
    <row r="77" spans="1:5" hidden="1" x14ac:dyDescent="0.3">
      <c r="A77">
        <v>1141</v>
      </c>
      <c r="B77">
        <v>2</v>
      </c>
      <c r="C77" t="s">
        <v>623</v>
      </c>
      <c r="E77" s="20">
        <v>22.55</v>
      </c>
    </row>
    <row r="78" spans="1:5" hidden="1" x14ac:dyDescent="0.3">
      <c r="A78">
        <v>1142</v>
      </c>
      <c r="B78">
        <v>1</v>
      </c>
      <c r="C78" t="s">
        <v>238</v>
      </c>
      <c r="E78" s="20">
        <v>13.93</v>
      </c>
    </row>
    <row r="79" spans="1:5" hidden="1" x14ac:dyDescent="0.3">
      <c r="A79">
        <v>1142</v>
      </c>
      <c r="B79">
        <v>2</v>
      </c>
      <c r="C79" t="s">
        <v>239</v>
      </c>
      <c r="E79" s="20">
        <v>13.66</v>
      </c>
    </row>
    <row r="80" spans="1:5" hidden="1" x14ac:dyDescent="0.3">
      <c r="A80">
        <v>1143</v>
      </c>
      <c r="B80">
        <v>1</v>
      </c>
      <c r="C80" t="s">
        <v>624</v>
      </c>
      <c r="E80" s="20">
        <v>463.05</v>
      </c>
    </row>
    <row r="81" spans="1:5" hidden="1" x14ac:dyDescent="0.3">
      <c r="A81">
        <v>1143</v>
      </c>
      <c r="B81">
        <v>2</v>
      </c>
      <c r="C81" t="s">
        <v>625</v>
      </c>
      <c r="E81" s="20">
        <v>462.03</v>
      </c>
    </row>
    <row r="82" spans="1:5" hidden="1" x14ac:dyDescent="0.3">
      <c r="A82">
        <v>1144</v>
      </c>
      <c r="B82">
        <v>1</v>
      </c>
      <c r="C82" t="s">
        <v>626</v>
      </c>
      <c r="E82" s="20">
        <v>273.05</v>
      </c>
    </row>
    <row r="83" spans="1:5" hidden="1" x14ac:dyDescent="0.3">
      <c r="A83">
        <v>1144</v>
      </c>
      <c r="B83">
        <v>2</v>
      </c>
      <c r="C83" t="s">
        <v>627</v>
      </c>
      <c r="E83" s="20">
        <v>268.05</v>
      </c>
    </row>
    <row r="84" spans="1:5" hidden="1" x14ac:dyDescent="0.3">
      <c r="A84">
        <v>1145</v>
      </c>
      <c r="B84">
        <v>1</v>
      </c>
      <c r="C84" t="s">
        <v>628</v>
      </c>
      <c r="E84" s="20">
        <v>70.540000000000006</v>
      </c>
    </row>
    <row r="85" spans="1:5" hidden="1" x14ac:dyDescent="0.3">
      <c r="A85">
        <v>1145</v>
      </c>
      <c r="B85">
        <v>2</v>
      </c>
      <c r="C85" t="s">
        <v>629</v>
      </c>
      <c r="E85" s="20">
        <v>70.459999999999994</v>
      </c>
    </row>
    <row r="86" spans="1:5" hidden="1" x14ac:dyDescent="0.3">
      <c r="A86">
        <v>1146</v>
      </c>
      <c r="B86">
        <v>1</v>
      </c>
      <c r="C86" t="s">
        <v>630</v>
      </c>
      <c r="E86" s="20">
        <v>208.75</v>
      </c>
    </row>
    <row r="87" spans="1:5" hidden="1" x14ac:dyDescent="0.3">
      <c r="A87">
        <v>1146</v>
      </c>
      <c r="B87">
        <v>2</v>
      </c>
      <c r="C87" t="s">
        <v>631</v>
      </c>
      <c r="E87" s="20">
        <v>206.61</v>
      </c>
    </row>
    <row r="88" spans="1:5" hidden="1" x14ac:dyDescent="0.3">
      <c r="A88">
        <v>1147</v>
      </c>
      <c r="B88">
        <v>1</v>
      </c>
      <c r="C88" t="s">
        <v>242</v>
      </c>
      <c r="E88" s="20">
        <v>32.71</v>
      </c>
    </row>
    <row r="89" spans="1:5" hidden="1" x14ac:dyDescent="0.3">
      <c r="A89">
        <v>1147</v>
      </c>
      <c r="B89">
        <v>2</v>
      </c>
      <c r="C89" t="s">
        <v>243</v>
      </c>
      <c r="E89" s="20">
        <v>32.29</v>
      </c>
    </row>
    <row r="90" spans="1:5" hidden="1" x14ac:dyDescent="0.3">
      <c r="A90">
        <v>1148</v>
      </c>
      <c r="B90">
        <v>1</v>
      </c>
      <c r="C90" t="s">
        <v>632</v>
      </c>
      <c r="E90" s="20">
        <v>23.22</v>
      </c>
    </row>
    <row r="91" spans="1:5" hidden="1" x14ac:dyDescent="0.3">
      <c r="A91">
        <v>1148</v>
      </c>
      <c r="B91">
        <v>2</v>
      </c>
      <c r="C91" t="s">
        <v>633</v>
      </c>
      <c r="E91" s="20">
        <v>22.74</v>
      </c>
    </row>
    <row r="92" spans="1:5" hidden="1" x14ac:dyDescent="0.3">
      <c r="A92">
        <v>1149</v>
      </c>
      <c r="B92">
        <v>1</v>
      </c>
      <c r="C92" t="s">
        <v>634</v>
      </c>
      <c r="E92" s="20">
        <v>274</v>
      </c>
    </row>
    <row r="93" spans="1:5" hidden="1" x14ac:dyDescent="0.3">
      <c r="A93">
        <v>1149</v>
      </c>
      <c r="B93">
        <v>2</v>
      </c>
      <c r="C93" t="s">
        <v>635</v>
      </c>
      <c r="E93" s="20">
        <v>269.05</v>
      </c>
    </row>
    <row r="94" spans="1:5" hidden="1" x14ac:dyDescent="0.3">
      <c r="A94">
        <v>1150</v>
      </c>
      <c r="B94">
        <v>1</v>
      </c>
      <c r="C94" t="s">
        <v>578</v>
      </c>
      <c r="E94" s="20">
        <v>485</v>
      </c>
    </row>
    <row r="95" spans="1:5" hidden="1" x14ac:dyDescent="0.3">
      <c r="A95">
        <v>1150</v>
      </c>
      <c r="B95">
        <v>2</v>
      </c>
      <c r="C95" t="s">
        <v>579</v>
      </c>
      <c r="E95" s="20">
        <v>480</v>
      </c>
    </row>
    <row r="96" spans="1:5" hidden="1" x14ac:dyDescent="0.3">
      <c r="A96">
        <v>1151</v>
      </c>
      <c r="B96">
        <v>1</v>
      </c>
      <c r="C96" t="s">
        <v>245</v>
      </c>
      <c r="E96" s="20">
        <v>88.04</v>
      </c>
    </row>
    <row r="97" spans="1:5" hidden="1" x14ac:dyDescent="0.3">
      <c r="A97">
        <v>1151</v>
      </c>
      <c r="B97">
        <v>2</v>
      </c>
      <c r="C97" t="s">
        <v>246</v>
      </c>
      <c r="E97" s="20">
        <v>86.07</v>
      </c>
    </row>
    <row r="98" spans="1:5" hidden="1" x14ac:dyDescent="0.3">
      <c r="A98">
        <v>1152</v>
      </c>
      <c r="B98">
        <v>1</v>
      </c>
      <c r="C98" t="s">
        <v>636</v>
      </c>
      <c r="E98" s="20">
        <v>159.02000000000001</v>
      </c>
    </row>
    <row r="99" spans="1:5" hidden="1" x14ac:dyDescent="0.3">
      <c r="A99">
        <v>1152</v>
      </c>
      <c r="B99">
        <v>2</v>
      </c>
      <c r="C99" t="s">
        <v>637</v>
      </c>
      <c r="E99" s="20">
        <v>155.71</v>
      </c>
    </row>
    <row r="100" spans="1:5" hidden="1" x14ac:dyDescent="0.3">
      <c r="A100">
        <v>1153</v>
      </c>
      <c r="B100">
        <v>1</v>
      </c>
      <c r="C100" t="s">
        <v>638</v>
      </c>
      <c r="E100" s="20">
        <v>203.22</v>
      </c>
    </row>
    <row r="101" spans="1:5" hidden="1" x14ac:dyDescent="0.3">
      <c r="A101">
        <v>1153</v>
      </c>
      <c r="B101">
        <v>2</v>
      </c>
      <c r="C101" t="s">
        <v>639</v>
      </c>
      <c r="E101" s="20">
        <v>202.2</v>
      </c>
    </row>
    <row r="102" spans="1:5" hidden="1" x14ac:dyDescent="0.3">
      <c r="A102">
        <v>1154</v>
      </c>
      <c r="B102">
        <v>1</v>
      </c>
      <c r="C102" t="s">
        <v>249</v>
      </c>
      <c r="E102" s="20">
        <v>33.29</v>
      </c>
    </row>
    <row r="103" spans="1:5" hidden="1" x14ac:dyDescent="0.3">
      <c r="A103">
        <v>1154</v>
      </c>
      <c r="B103">
        <v>2</v>
      </c>
      <c r="C103" t="s">
        <v>250</v>
      </c>
      <c r="E103" s="20">
        <v>32.880000000000003</v>
      </c>
    </row>
    <row r="104" spans="1:5" hidden="1" x14ac:dyDescent="0.3">
      <c r="A104">
        <v>1155</v>
      </c>
      <c r="B104">
        <v>1</v>
      </c>
      <c r="C104" t="s">
        <v>252</v>
      </c>
      <c r="E104" s="20">
        <v>13.75</v>
      </c>
    </row>
    <row r="105" spans="1:5" hidden="1" x14ac:dyDescent="0.3">
      <c r="A105">
        <v>1155</v>
      </c>
      <c r="B105">
        <v>2</v>
      </c>
      <c r="C105" t="s">
        <v>253</v>
      </c>
      <c r="E105" s="20">
        <v>13.66</v>
      </c>
    </row>
    <row r="106" spans="1:5" hidden="1" x14ac:dyDescent="0.3">
      <c r="A106">
        <v>1157</v>
      </c>
      <c r="B106">
        <v>1</v>
      </c>
      <c r="C106" t="s">
        <v>255</v>
      </c>
      <c r="E106" s="20">
        <v>82.95</v>
      </c>
    </row>
    <row r="107" spans="1:5" hidden="1" x14ac:dyDescent="0.3">
      <c r="A107">
        <v>1157</v>
      </c>
      <c r="B107">
        <v>2</v>
      </c>
      <c r="C107" t="s">
        <v>256</v>
      </c>
      <c r="E107" s="20">
        <v>82.14</v>
      </c>
    </row>
    <row r="108" spans="1:5" hidden="1" x14ac:dyDescent="0.3">
      <c r="A108">
        <v>1158</v>
      </c>
      <c r="B108">
        <v>1</v>
      </c>
      <c r="C108" t="s">
        <v>640</v>
      </c>
      <c r="E108" s="20">
        <v>180.45</v>
      </c>
    </row>
    <row r="109" spans="1:5" hidden="1" x14ac:dyDescent="0.3">
      <c r="A109">
        <v>1158</v>
      </c>
      <c r="B109">
        <v>2</v>
      </c>
      <c r="C109" t="s">
        <v>641</v>
      </c>
      <c r="E109" s="20">
        <v>178.57</v>
      </c>
    </row>
    <row r="110" spans="1:5" hidden="1" x14ac:dyDescent="0.3">
      <c r="A110">
        <v>1159</v>
      </c>
      <c r="B110">
        <v>1</v>
      </c>
      <c r="C110" t="s">
        <v>258</v>
      </c>
      <c r="E110" s="20">
        <v>88.48</v>
      </c>
    </row>
    <row r="111" spans="1:5" hidden="1" x14ac:dyDescent="0.3">
      <c r="A111">
        <v>1159</v>
      </c>
      <c r="B111">
        <v>2</v>
      </c>
      <c r="C111" t="s">
        <v>259</v>
      </c>
      <c r="E111" s="20">
        <v>87.5</v>
      </c>
    </row>
    <row r="112" spans="1:5" hidden="1" x14ac:dyDescent="0.3">
      <c r="A112">
        <v>1160</v>
      </c>
      <c r="B112">
        <v>1</v>
      </c>
      <c r="C112" t="s">
        <v>642</v>
      </c>
      <c r="E112" s="20">
        <v>13.53</v>
      </c>
    </row>
    <row r="113" spans="1:5" hidden="1" x14ac:dyDescent="0.3">
      <c r="A113">
        <v>1160</v>
      </c>
      <c r="B113">
        <v>2</v>
      </c>
      <c r="C113" t="s">
        <v>643</v>
      </c>
      <c r="E113" s="20">
        <v>13.26</v>
      </c>
    </row>
    <row r="114" spans="1:5" hidden="1" x14ac:dyDescent="0.3">
      <c r="A114">
        <v>1161</v>
      </c>
      <c r="B114">
        <v>1</v>
      </c>
      <c r="C114" t="s">
        <v>644</v>
      </c>
      <c r="E114" s="20">
        <v>789.05</v>
      </c>
    </row>
    <row r="115" spans="1:5" hidden="1" x14ac:dyDescent="0.3">
      <c r="A115">
        <v>1161</v>
      </c>
      <c r="B115">
        <v>2</v>
      </c>
      <c r="C115" t="s">
        <v>645</v>
      </c>
      <c r="E115" s="20">
        <v>779.05</v>
      </c>
    </row>
    <row r="116" spans="1:5" hidden="1" x14ac:dyDescent="0.3">
      <c r="A116">
        <v>1162</v>
      </c>
      <c r="B116">
        <v>1</v>
      </c>
      <c r="C116" t="s">
        <v>646</v>
      </c>
      <c r="E116" s="20">
        <v>670</v>
      </c>
    </row>
    <row r="117" spans="1:5" hidden="1" x14ac:dyDescent="0.3">
      <c r="A117">
        <v>1162</v>
      </c>
      <c r="B117">
        <v>2</v>
      </c>
      <c r="C117" t="s">
        <v>647</v>
      </c>
      <c r="E117" s="20">
        <v>665</v>
      </c>
    </row>
    <row r="118" spans="1:5" hidden="1" x14ac:dyDescent="0.3">
      <c r="A118">
        <v>1163</v>
      </c>
      <c r="B118">
        <v>1</v>
      </c>
      <c r="C118" t="s">
        <v>261</v>
      </c>
      <c r="E118" s="20">
        <v>90.8</v>
      </c>
    </row>
    <row r="119" spans="1:5" hidden="1" x14ac:dyDescent="0.3">
      <c r="A119">
        <v>1163</v>
      </c>
      <c r="B119">
        <v>2</v>
      </c>
      <c r="C119" t="s">
        <v>262</v>
      </c>
      <c r="E119" s="20">
        <v>89.2</v>
      </c>
    </row>
    <row r="120" spans="1:5" hidden="1" x14ac:dyDescent="0.3">
      <c r="A120">
        <v>1164</v>
      </c>
      <c r="B120">
        <v>1</v>
      </c>
      <c r="C120" t="s">
        <v>648</v>
      </c>
      <c r="E120" s="20">
        <v>166.7</v>
      </c>
    </row>
    <row r="121" spans="1:5" hidden="1" x14ac:dyDescent="0.3">
      <c r="A121">
        <v>1164</v>
      </c>
      <c r="B121">
        <v>2</v>
      </c>
      <c r="C121" t="s">
        <v>649</v>
      </c>
      <c r="E121" s="20">
        <v>165.8</v>
      </c>
    </row>
    <row r="122" spans="1:5" hidden="1" x14ac:dyDescent="0.3">
      <c r="A122">
        <v>1165</v>
      </c>
      <c r="B122">
        <v>1</v>
      </c>
      <c r="C122" t="s">
        <v>650</v>
      </c>
      <c r="E122" s="20">
        <v>24.71</v>
      </c>
    </row>
    <row r="123" spans="1:5" hidden="1" x14ac:dyDescent="0.3">
      <c r="A123">
        <v>1165</v>
      </c>
      <c r="B123">
        <v>2</v>
      </c>
      <c r="C123" t="s">
        <v>651</v>
      </c>
      <c r="E123" s="20">
        <v>24.2</v>
      </c>
    </row>
    <row r="124" spans="1:5" hidden="1" x14ac:dyDescent="0.3">
      <c r="A124">
        <v>1166</v>
      </c>
      <c r="B124">
        <v>1</v>
      </c>
      <c r="C124" t="s">
        <v>264</v>
      </c>
      <c r="E124" s="20">
        <v>90.27</v>
      </c>
    </row>
    <row r="125" spans="1:5" hidden="1" x14ac:dyDescent="0.3">
      <c r="A125">
        <v>1166</v>
      </c>
      <c r="B125">
        <v>2</v>
      </c>
      <c r="C125" t="s">
        <v>265</v>
      </c>
      <c r="E125" s="20">
        <v>89.82</v>
      </c>
    </row>
    <row r="126" spans="1:5" hidden="1" x14ac:dyDescent="0.3">
      <c r="A126">
        <v>1167</v>
      </c>
      <c r="B126">
        <v>1</v>
      </c>
      <c r="C126" t="s">
        <v>620</v>
      </c>
      <c r="E126" s="20">
        <v>274.92</v>
      </c>
    </row>
    <row r="127" spans="1:5" hidden="1" x14ac:dyDescent="0.3">
      <c r="A127">
        <v>1167</v>
      </c>
      <c r="B127">
        <v>2</v>
      </c>
      <c r="C127" t="s">
        <v>621</v>
      </c>
      <c r="E127" s="20">
        <v>269.92</v>
      </c>
    </row>
    <row r="128" spans="1:5" hidden="1" x14ac:dyDescent="0.3">
      <c r="A128">
        <v>1171</v>
      </c>
      <c r="B128">
        <v>1</v>
      </c>
      <c r="C128" t="s">
        <v>652</v>
      </c>
      <c r="E128" s="20">
        <v>15.86</v>
      </c>
    </row>
    <row r="129" spans="1:5" hidden="1" x14ac:dyDescent="0.3">
      <c r="A129">
        <v>1171</v>
      </c>
      <c r="B129">
        <v>2</v>
      </c>
      <c r="C129" t="s">
        <v>653</v>
      </c>
      <c r="E129" s="20">
        <v>15.67</v>
      </c>
    </row>
    <row r="130" spans="1:5" hidden="1" x14ac:dyDescent="0.3">
      <c r="A130">
        <v>1174</v>
      </c>
      <c r="B130">
        <v>1</v>
      </c>
      <c r="C130" t="s">
        <v>654</v>
      </c>
      <c r="E130" s="20">
        <v>102.5</v>
      </c>
    </row>
    <row r="131" spans="1:5" hidden="1" x14ac:dyDescent="0.3">
      <c r="A131">
        <v>1175</v>
      </c>
      <c r="B131">
        <v>1</v>
      </c>
      <c r="C131" t="s">
        <v>655</v>
      </c>
      <c r="E131" s="20">
        <v>13.84</v>
      </c>
    </row>
    <row r="132" spans="1:5" hidden="1" x14ac:dyDescent="0.3">
      <c r="A132">
        <v>1175</v>
      </c>
      <c r="B132">
        <v>2</v>
      </c>
      <c r="C132" t="s">
        <v>656</v>
      </c>
      <c r="E132" s="20">
        <v>13.66</v>
      </c>
    </row>
    <row r="133" spans="1:5" hidden="1" x14ac:dyDescent="0.3">
      <c r="A133">
        <v>1176</v>
      </c>
      <c r="B133">
        <v>1</v>
      </c>
      <c r="C133" t="s">
        <v>657</v>
      </c>
      <c r="E133" s="20">
        <v>422.03</v>
      </c>
    </row>
    <row r="134" spans="1:5" hidden="1" x14ac:dyDescent="0.3">
      <c r="A134">
        <v>1176</v>
      </c>
      <c r="B134">
        <v>2</v>
      </c>
      <c r="C134" t="s">
        <v>658</v>
      </c>
      <c r="E134" s="20">
        <v>420</v>
      </c>
    </row>
    <row r="135" spans="1:5" hidden="1" x14ac:dyDescent="0.3">
      <c r="A135">
        <v>1178</v>
      </c>
      <c r="B135">
        <v>1</v>
      </c>
      <c r="C135" t="s">
        <v>659</v>
      </c>
      <c r="E135" s="20">
        <v>355</v>
      </c>
    </row>
    <row r="136" spans="1:5" hidden="1" x14ac:dyDescent="0.3">
      <c r="A136">
        <v>1178</v>
      </c>
      <c r="B136">
        <v>2</v>
      </c>
      <c r="C136" t="s">
        <v>660</v>
      </c>
      <c r="E136" s="20">
        <v>354.02</v>
      </c>
    </row>
    <row r="137" spans="1:5" hidden="1" x14ac:dyDescent="0.3">
      <c r="A137">
        <v>1179</v>
      </c>
      <c r="B137">
        <v>1</v>
      </c>
      <c r="C137" t="s">
        <v>618</v>
      </c>
      <c r="E137" s="20">
        <v>132.77000000000001</v>
      </c>
    </row>
    <row r="138" spans="1:5" hidden="1" x14ac:dyDescent="0.3">
      <c r="A138">
        <v>1179</v>
      </c>
      <c r="B138">
        <v>2</v>
      </c>
      <c r="C138" t="s">
        <v>619</v>
      </c>
      <c r="E138" s="20">
        <v>130.09</v>
      </c>
    </row>
    <row r="139" spans="1:5" hidden="1" x14ac:dyDescent="0.3">
      <c r="A139">
        <v>1180</v>
      </c>
      <c r="B139">
        <v>1</v>
      </c>
      <c r="C139" t="s">
        <v>661</v>
      </c>
      <c r="E139" s="20">
        <v>88.21</v>
      </c>
    </row>
    <row r="140" spans="1:5" hidden="1" x14ac:dyDescent="0.3">
      <c r="A140">
        <v>1180</v>
      </c>
      <c r="B140">
        <v>2</v>
      </c>
      <c r="C140" t="s">
        <v>662</v>
      </c>
      <c r="E140" s="20">
        <v>87.32</v>
      </c>
    </row>
    <row r="141" spans="1:5" hidden="1" x14ac:dyDescent="0.3">
      <c r="A141">
        <v>1181</v>
      </c>
      <c r="B141">
        <v>1</v>
      </c>
      <c r="C141" t="s">
        <v>663</v>
      </c>
      <c r="E141" s="20">
        <v>31.27</v>
      </c>
    </row>
    <row r="142" spans="1:5" hidden="1" x14ac:dyDescent="0.3">
      <c r="A142">
        <v>1181</v>
      </c>
      <c r="B142">
        <v>2</v>
      </c>
      <c r="C142" t="s">
        <v>664</v>
      </c>
      <c r="E142" s="20">
        <v>29.77</v>
      </c>
    </row>
    <row r="143" spans="1:5" hidden="1" x14ac:dyDescent="0.3">
      <c r="A143">
        <v>1182</v>
      </c>
      <c r="B143">
        <v>1</v>
      </c>
      <c r="C143" t="s">
        <v>665</v>
      </c>
      <c r="E143" s="20">
        <v>519.07000000000005</v>
      </c>
    </row>
    <row r="144" spans="1:5" hidden="1" x14ac:dyDescent="0.3">
      <c r="A144">
        <v>1182</v>
      </c>
      <c r="B144">
        <v>2</v>
      </c>
      <c r="C144" t="s">
        <v>666</v>
      </c>
      <c r="E144" s="20">
        <v>518.04999999999995</v>
      </c>
    </row>
    <row r="145" spans="1:5" hidden="1" x14ac:dyDescent="0.3">
      <c r="A145">
        <v>1183</v>
      </c>
      <c r="B145">
        <v>1</v>
      </c>
      <c r="C145" t="s">
        <v>659</v>
      </c>
      <c r="E145" s="20">
        <v>355</v>
      </c>
    </row>
    <row r="146" spans="1:5" hidden="1" x14ac:dyDescent="0.3">
      <c r="A146">
        <v>1183</v>
      </c>
      <c r="B146">
        <v>2</v>
      </c>
      <c r="C146" t="s">
        <v>660</v>
      </c>
      <c r="E146" s="20">
        <v>354.02</v>
      </c>
    </row>
    <row r="147" spans="1:5" hidden="1" x14ac:dyDescent="0.3">
      <c r="A147">
        <v>1184</v>
      </c>
      <c r="B147">
        <v>1</v>
      </c>
      <c r="C147" t="s">
        <v>667</v>
      </c>
      <c r="E147" s="20">
        <v>217.41</v>
      </c>
    </row>
    <row r="148" spans="1:5" hidden="1" x14ac:dyDescent="0.3">
      <c r="A148">
        <v>1184</v>
      </c>
      <c r="B148">
        <v>2</v>
      </c>
      <c r="C148" t="s">
        <v>668</v>
      </c>
      <c r="E148" s="20">
        <v>215.27</v>
      </c>
    </row>
    <row r="149" spans="1:5" hidden="1" x14ac:dyDescent="0.3">
      <c r="A149">
        <v>1185</v>
      </c>
      <c r="B149">
        <v>1</v>
      </c>
      <c r="C149" t="s">
        <v>620</v>
      </c>
      <c r="E149" s="20">
        <v>274.92</v>
      </c>
    </row>
    <row r="150" spans="1:5" hidden="1" x14ac:dyDescent="0.3">
      <c r="A150">
        <v>1185</v>
      </c>
      <c r="B150">
        <v>2</v>
      </c>
      <c r="C150" t="s">
        <v>621</v>
      </c>
      <c r="E150" s="20">
        <v>269.92</v>
      </c>
    </row>
    <row r="151" spans="1:5" hidden="1" x14ac:dyDescent="0.3">
      <c r="A151">
        <v>1186</v>
      </c>
      <c r="B151">
        <v>1</v>
      </c>
      <c r="C151" t="s">
        <v>669</v>
      </c>
      <c r="E151" s="20">
        <v>30.22</v>
      </c>
    </row>
    <row r="152" spans="1:5" hidden="1" x14ac:dyDescent="0.3">
      <c r="A152">
        <v>1186</v>
      </c>
      <c r="B152">
        <v>2</v>
      </c>
      <c r="C152" t="s">
        <v>670</v>
      </c>
      <c r="E152" s="20">
        <v>29.76</v>
      </c>
    </row>
    <row r="153" spans="1:5" hidden="1" x14ac:dyDescent="0.3">
      <c r="A153">
        <v>1187</v>
      </c>
      <c r="B153">
        <v>1</v>
      </c>
      <c r="C153" t="s">
        <v>659</v>
      </c>
      <c r="E153" s="20">
        <v>355</v>
      </c>
    </row>
    <row r="154" spans="1:5" hidden="1" x14ac:dyDescent="0.3">
      <c r="A154">
        <v>1187</v>
      </c>
      <c r="B154">
        <v>2</v>
      </c>
      <c r="C154" t="s">
        <v>660</v>
      </c>
      <c r="E154" s="20">
        <v>354.02</v>
      </c>
    </row>
    <row r="155" spans="1:5" hidden="1" x14ac:dyDescent="0.3">
      <c r="A155">
        <v>1188</v>
      </c>
      <c r="B155">
        <v>1</v>
      </c>
      <c r="C155" t="s">
        <v>671</v>
      </c>
      <c r="E155" s="20">
        <v>485</v>
      </c>
    </row>
    <row r="156" spans="1:5" hidden="1" x14ac:dyDescent="0.3">
      <c r="A156">
        <v>1188</v>
      </c>
      <c r="B156">
        <v>2</v>
      </c>
      <c r="C156" t="s">
        <v>672</v>
      </c>
      <c r="E156" s="20">
        <v>484.07</v>
      </c>
    </row>
    <row r="157" spans="1:5" hidden="1" x14ac:dyDescent="0.3">
      <c r="A157">
        <v>1189</v>
      </c>
      <c r="B157">
        <v>1</v>
      </c>
      <c r="C157" t="s">
        <v>620</v>
      </c>
      <c r="E157" s="20">
        <v>274.92</v>
      </c>
    </row>
    <row r="158" spans="1:5" hidden="1" x14ac:dyDescent="0.3">
      <c r="A158">
        <v>1189</v>
      </c>
      <c r="B158">
        <v>2</v>
      </c>
      <c r="C158" t="s">
        <v>621</v>
      </c>
      <c r="E158" s="20">
        <v>269.92</v>
      </c>
    </row>
    <row r="159" spans="1:5" hidden="1" x14ac:dyDescent="0.3">
      <c r="A159">
        <v>1190</v>
      </c>
      <c r="B159">
        <v>1</v>
      </c>
      <c r="C159" t="s">
        <v>673</v>
      </c>
      <c r="E159" s="20">
        <v>640.59</v>
      </c>
    </row>
    <row r="160" spans="1:5" hidden="1" x14ac:dyDescent="0.3">
      <c r="A160">
        <v>1190</v>
      </c>
      <c r="B160">
        <v>2</v>
      </c>
      <c r="C160" t="s">
        <v>674</v>
      </c>
      <c r="E160" s="20">
        <v>634.15</v>
      </c>
    </row>
    <row r="161" spans="1:5" hidden="1" x14ac:dyDescent="0.3">
      <c r="A161">
        <v>1191</v>
      </c>
      <c r="B161">
        <v>1</v>
      </c>
      <c r="C161" t="s">
        <v>675</v>
      </c>
      <c r="E161" s="20">
        <v>214.29</v>
      </c>
    </row>
    <row r="162" spans="1:5" hidden="1" x14ac:dyDescent="0.3">
      <c r="A162">
        <v>1191</v>
      </c>
      <c r="B162">
        <v>2</v>
      </c>
      <c r="C162" t="s">
        <v>676</v>
      </c>
      <c r="E162" s="20">
        <v>212.14</v>
      </c>
    </row>
    <row r="163" spans="1:5" hidden="1" x14ac:dyDescent="0.3">
      <c r="A163">
        <v>1193</v>
      </c>
      <c r="B163">
        <v>1</v>
      </c>
      <c r="C163" t="s">
        <v>659</v>
      </c>
      <c r="E163" s="20">
        <v>355</v>
      </c>
    </row>
    <row r="164" spans="1:5" hidden="1" x14ac:dyDescent="0.3">
      <c r="A164">
        <v>1193</v>
      </c>
      <c r="B164">
        <v>2</v>
      </c>
      <c r="C164" t="s">
        <v>660</v>
      </c>
      <c r="E164" s="20">
        <v>354.02</v>
      </c>
    </row>
    <row r="165" spans="1:5" hidden="1" x14ac:dyDescent="0.3">
      <c r="A165">
        <v>1195</v>
      </c>
      <c r="B165">
        <v>1</v>
      </c>
      <c r="C165" t="s">
        <v>677</v>
      </c>
      <c r="E165" s="20">
        <v>364.02</v>
      </c>
    </row>
    <row r="166" spans="1:5" hidden="1" x14ac:dyDescent="0.3">
      <c r="A166">
        <v>1195</v>
      </c>
      <c r="B166">
        <v>2</v>
      </c>
      <c r="C166" t="s">
        <v>678</v>
      </c>
      <c r="E166" s="20">
        <v>362.05</v>
      </c>
    </row>
    <row r="167" spans="1:5" hidden="1" x14ac:dyDescent="0.3">
      <c r="A167">
        <v>1196</v>
      </c>
      <c r="B167">
        <v>1</v>
      </c>
      <c r="C167" t="s">
        <v>659</v>
      </c>
      <c r="E167" s="20">
        <v>355</v>
      </c>
    </row>
    <row r="168" spans="1:5" hidden="1" x14ac:dyDescent="0.3">
      <c r="A168">
        <v>1196</v>
      </c>
      <c r="B168">
        <v>2</v>
      </c>
      <c r="C168" t="s">
        <v>660</v>
      </c>
      <c r="E168" s="20">
        <v>354.02</v>
      </c>
    </row>
    <row r="169" spans="1:5" hidden="1" x14ac:dyDescent="0.3">
      <c r="A169">
        <v>1197</v>
      </c>
      <c r="B169">
        <v>1</v>
      </c>
      <c r="C169" t="s">
        <v>679</v>
      </c>
      <c r="E169" s="20">
        <v>463.22</v>
      </c>
    </row>
    <row r="170" spans="1:5" hidden="1" x14ac:dyDescent="0.3">
      <c r="A170">
        <v>1197</v>
      </c>
      <c r="B170">
        <v>2</v>
      </c>
      <c r="C170" t="s">
        <v>680</v>
      </c>
      <c r="E170" s="20">
        <v>458.56</v>
      </c>
    </row>
    <row r="171" spans="1:5" hidden="1" x14ac:dyDescent="0.3">
      <c r="A171">
        <v>1198</v>
      </c>
      <c r="B171">
        <v>1</v>
      </c>
      <c r="C171" t="s">
        <v>669</v>
      </c>
      <c r="E171" s="20">
        <v>30.22</v>
      </c>
    </row>
    <row r="172" spans="1:5" hidden="1" x14ac:dyDescent="0.3">
      <c r="A172">
        <v>1198</v>
      </c>
      <c r="B172">
        <v>2</v>
      </c>
      <c r="C172" t="s">
        <v>670</v>
      </c>
      <c r="E172" s="20">
        <v>29.76</v>
      </c>
    </row>
    <row r="173" spans="1:5" hidden="1" x14ac:dyDescent="0.3">
      <c r="A173">
        <v>1199</v>
      </c>
      <c r="B173">
        <v>1</v>
      </c>
      <c r="C173" t="s">
        <v>681</v>
      </c>
      <c r="E173" s="20">
        <v>444.07</v>
      </c>
    </row>
    <row r="174" spans="1:5" hidden="1" x14ac:dyDescent="0.3">
      <c r="A174">
        <v>1199</v>
      </c>
      <c r="B174">
        <v>2</v>
      </c>
      <c r="C174" t="s">
        <v>682</v>
      </c>
      <c r="E174" s="20">
        <v>443.05</v>
      </c>
    </row>
    <row r="175" spans="1:5" hidden="1" x14ac:dyDescent="0.3">
      <c r="A175">
        <v>1200</v>
      </c>
      <c r="B175">
        <v>1</v>
      </c>
      <c r="C175" t="s">
        <v>683</v>
      </c>
      <c r="E175" s="20">
        <v>641.95000000000005</v>
      </c>
    </row>
    <row r="176" spans="1:5" hidden="1" x14ac:dyDescent="0.3">
      <c r="A176">
        <v>1200</v>
      </c>
      <c r="B176">
        <v>2</v>
      </c>
      <c r="C176" t="s">
        <v>684</v>
      </c>
      <c r="E176" s="20">
        <v>635.41999999999996</v>
      </c>
    </row>
    <row r="177" spans="1:5" hidden="1" x14ac:dyDescent="0.3">
      <c r="A177">
        <v>1201</v>
      </c>
      <c r="B177">
        <v>1</v>
      </c>
      <c r="C177" t="s">
        <v>683</v>
      </c>
      <c r="E177" s="20">
        <v>641.95000000000005</v>
      </c>
    </row>
    <row r="178" spans="1:5" hidden="1" x14ac:dyDescent="0.3">
      <c r="A178">
        <v>1201</v>
      </c>
      <c r="B178">
        <v>2</v>
      </c>
      <c r="C178" t="s">
        <v>684</v>
      </c>
      <c r="E178" s="20">
        <v>635.41999999999996</v>
      </c>
    </row>
    <row r="179" spans="1:5" hidden="1" x14ac:dyDescent="0.3">
      <c r="A179">
        <v>1202</v>
      </c>
      <c r="B179">
        <v>1</v>
      </c>
      <c r="C179" t="s">
        <v>646</v>
      </c>
      <c r="E179" s="20">
        <v>670</v>
      </c>
    </row>
    <row r="180" spans="1:5" hidden="1" x14ac:dyDescent="0.3">
      <c r="A180">
        <v>1202</v>
      </c>
      <c r="B180">
        <v>2</v>
      </c>
      <c r="C180" t="s">
        <v>647</v>
      </c>
      <c r="E180" s="20">
        <v>665</v>
      </c>
    </row>
    <row r="181" spans="1:5" hidden="1" x14ac:dyDescent="0.3">
      <c r="A181">
        <v>1203</v>
      </c>
      <c r="B181">
        <v>1</v>
      </c>
      <c r="C181" t="s">
        <v>685</v>
      </c>
      <c r="E181" s="20">
        <v>117.05</v>
      </c>
    </row>
    <row r="182" spans="1:5" hidden="1" x14ac:dyDescent="0.3">
      <c r="A182">
        <v>1203</v>
      </c>
      <c r="B182">
        <v>2</v>
      </c>
      <c r="C182" t="s">
        <v>686</v>
      </c>
      <c r="E182" s="20">
        <v>116.07</v>
      </c>
    </row>
    <row r="183" spans="1:5" hidden="1" x14ac:dyDescent="0.3">
      <c r="A183">
        <v>1205</v>
      </c>
      <c r="B183">
        <v>1</v>
      </c>
      <c r="C183" t="s">
        <v>659</v>
      </c>
      <c r="E183" s="20">
        <v>355</v>
      </c>
    </row>
    <row r="184" spans="1:5" hidden="1" x14ac:dyDescent="0.3">
      <c r="A184">
        <v>1205</v>
      </c>
      <c r="B184">
        <v>2</v>
      </c>
      <c r="C184" t="s">
        <v>660</v>
      </c>
      <c r="E184" s="20">
        <v>354.02</v>
      </c>
    </row>
    <row r="185" spans="1:5" hidden="1" x14ac:dyDescent="0.3">
      <c r="A185">
        <v>1206</v>
      </c>
      <c r="B185">
        <v>1</v>
      </c>
      <c r="C185" t="s">
        <v>687</v>
      </c>
      <c r="E185" s="20">
        <v>473.39</v>
      </c>
    </row>
    <row r="186" spans="1:5" hidden="1" x14ac:dyDescent="0.3">
      <c r="A186">
        <v>1206</v>
      </c>
      <c r="B186">
        <v>2</v>
      </c>
      <c r="C186" t="s">
        <v>688</v>
      </c>
      <c r="E186" s="20">
        <v>468.64</v>
      </c>
    </row>
    <row r="187" spans="1:5" hidden="1" x14ac:dyDescent="0.3">
      <c r="A187">
        <v>1207</v>
      </c>
      <c r="B187">
        <v>1</v>
      </c>
      <c r="C187" t="s">
        <v>667</v>
      </c>
      <c r="E187" s="20">
        <v>217.41</v>
      </c>
    </row>
    <row r="188" spans="1:5" hidden="1" x14ac:dyDescent="0.3">
      <c r="A188">
        <v>1207</v>
      </c>
      <c r="B188">
        <v>2</v>
      </c>
      <c r="C188" t="s">
        <v>668</v>
      </c>
      <c r="E188" s="20">
        <v>215.27</v>
      </c>
    </row>
    <row r="189" spans="1:5" hidden="1" x14ac:dyDescent="0.3">
      <c r="A189">
        <v>1208</v>
      </c>
      <c r="B189">
        <v>1</v>
      </c>
      <c r="C189" t="s">
        <v>646</v>
      </c>
      <c r="E189" s="20">
        <v>670</v>
      </c>
    </row>
    <row r="190" spans="1:5" hidden="1" x14ac:dyDescent="0.3">
      <c r="A190">
        <v>1208</v>
      </c>
      <c r="B190">
        <v>2</v>
      </c>
      <c r="C190" t="s">
        <v>647</v>
      </c>
      <c r="E190" s="20">
        <v>665</v>
      </c>
    </row>
    <row r="191" spans="1:5" hidden="1" x14ac:dyDescent="0.3">
      <c r="A191">
        <v>1210</v>
      </c>
      <c r="B191">
        <v>1</v>
      </c>
      <c r="C191" t="s">
        <v>689</v>
      </c>
      <c r="E191" s="20">
        <v>30.76</v>
      </c>
    </row>
    <row r="192" spans="1:5" hidden="1" x14ac:dyDescent="0.3">
      <c r="A192">
        <v>1210</v>
      </c>
      <c r="B192">
        <v>2</v>
      </c>
      <c r="C192" t="s">
        <v>690</v>
      </c>
      <c r="E192" s="20">
        <v>29.82</v>
      </c>
    </row>
    <row r="193" spans="1:5" hidden="1" x14ac:dyDescent="0.3">
      <c r="A193">
        <v>1211</v>
      </c>
      <c r="B193">
        <v>1</v>
      </c>
      <c r="C193" t="s">
        <v>669</v>
      </c>
      <c r="E193" s="20">
        <v>30.22</v>
      </c>
    </row>
    <row r="194" spans="1:5" hidden="1" x14ac:dyDescent="0.3">
      <c r="A194">
        <v>1211</v>
      </c>
      <c r="B194">
        <v>2</v>
      </c>
      <c r="C194" t="s">
        <v>670</v>
      </c>
      <c r="E194" s="20">
        <v>29.76</v>
      </c>
    </row>
    <row r="195" spans="1:5" hidden="1" x14ac:dyDescent="0.3">
      <c r="A195">
        <v>1212</v>
      </c>
      <c r="B195">
        <v>1</v>
      </c>
      <c r="C195" t="s">
        <v>659</v>
      </c>
      <c r="E195" s="20">
        <v>355</v>
      </c>
    </row>
    <row r="196" spans="1:5" hidden="1" x14ac:dyDescent="0.3">
      <c r="A196">
        <v>1212</v>
      </c>
      <c r="B196">
        <v>2</v>
      </c>
      <c r="C196" t="s">
        <v>660</v>
      </c>
      <c r="E196" s="20">
        <v>354.02</v>
      </c>
    </row>
    <row r="197" spans="1:5" hidden="1" x14ac:dyDescent="0.3">
      <c r="A197">
        <v>1213</v>
      </c>
      <c r="B197">
        <v>1</v>
      </c>
      <c r="C197" t="s">
        <v>659</v>
      </c>
      <c r="E197" s="20">
        <v>355</v>
      </c>
    </row>
    <row r="198" spans="1:5" hidden="1" x14ac:dyDescent="0.3">
      <c r="A198">
        <v>1213</v>
      </c>
      <c r="B198">
        <v>2</v>
      </c>
      <c r="C198" t="s">
        <v>660</v>
      </c>
      <c r="E198" s="20">
        <v>354.02</v>
      </c>
    </row>
    <row r="199" spans="1:5" hidden="1" x14ac:dyDescent="0.3">
      <c r="A199">
        <v>1214</v>
      </c>
      <c r="B199">
        <v>1</v>
      </c>
      <c r="C199" t="s">
        <v>691</v>
      </c>
      <c r="E199" s="20">
        <v>92.05</v>
      </c>
    </row>
    <row r="200" spans="1:5" hidden="1" x14ac:dyDescent="0.3">
      <c r="A200">
        <v>1214</v>
      </c>
      <c r="B200">
        <v>2</v>
      </c>
      <c r="C200" t="s">
        <v>692</v>
      </c>
      <c r="E200" s="20">
        <v>90</v>
      </c>
    </row>
    <row r="201" spans="1:5" hidden="1" x14ac:dyDescent="0.3">
      <c r="A201">
        <v>1215</v>
      </c>
      <c r="B201">
        <v>1</v>
      </c>
      <c r="C201" t="s">
        <v>659</v>
      </c>
      <c r="E201" s="20">
        <v>355</v>
      </c>
    </row>
    <row r="202" spans="1:5" hidden="1" x14ac:dyDescent="0.3">
      <c r="A202">
        <v>1215</v>
      </c>
      <c r="B202">
        <v>2</v>
      </c>
      <c r="C202" t="s">
        <v>660</v>
      </c>
      <c r="E202" s="20">
        <v>354.02</v>
      </c>
    </row>
    <row r="203" spans="1:5" hidden="1" x14ac:dyDescent="0.3">
      <c r="A203">
        <v>1216</v>
      </c>
      <c r="B203">
        <v>1</v>
      </c>
      <c r="C203" t="s">
        <v>659</v>
      </c>
      <c r="E203" s="20">
        <v>355</v>
      </c>
    </row>
    <row r="204" spans="1:5" hidden="1" x14ac:dyDescent="0.3">
      <c r="A204">
        <v>1216</v>
      </c>
      <c r="B204">
        <v>2</v>
      </c>
      <c r="C204" t="s">
        <v>660</v>
      </c>
      <c r="E204" s="20">
        <v>354.02</v>
      </c>
    </row>
    <row r="205" spans="1:5" hidden="1" x14ac:dyDescent="0.3">
      <c r="A205">
        <v>1219</v>
      </c>
      <c r="B205">
        <v>1</v>
      </c>
      <c r="C205" t="s">
        <v>669</v>
      </c>
      <c r="E205" s="20">
        <v>30.22</v>
      </c>
    </row>
    <row r="206" spans="1:5" hidden="1" x14ac:dyDescent="0.3">
      <c r="A206">
        <v>1219</v>
      </c>
      <c r="B206">
        <v>2</v>
      </c>
      <c r="C206" t="s">
        <v>670</v>
      </c>
      <c r="E206" s="20">
        <v>29.76</v>
      </c>
    </row>
    <row r="207" spans="1:5" hidden="1" x14ac:dyDescent="0.3">
      <c r="A207">
        <v>1221</v>
      </c>
      <c r="B207">
        <v>1</v>
      </c>
      <c r="C207" t="s">
        <v>671</v>
      </c>
      <c r="E207" s="20">
        <v>485</v>
      </c>
    </row>
    <row r="208" spans="1:5" hidden="1" x14ac:dyDescent="0.3">
      <c r="A208">
        <v>1221</v>
      </c>
      <c r="B208">
        <v>2</v>
      </c>
      <c r="C208" t="s">
        <v>672</v>
      </c>
      <c r="E208" s="20">
        <v>484.07</v>
      </c>
    </row>
    <row r="209" spans="1:5" hidden="1" x14ac:dyDescent="0.3">
      <c r="A209">
        <v>1222</v>
      </c>
      <c r="B209">
        <v>1</v>
      </c>
      <c r="C209" t="s">
        <v>693</v>
      </c>
      <c r="E209" s="20">
        <v>354.02</v>
      </c>
    </row>
    <row r="210" spans="1:5" hidden="1" x14ac:dyDescent="0.3">
      <c r="A210">
        <v>1222</v>
      </c>
      <c r="B210">
        <v>2</v>
      </c>
      <c r="C210" t="s">
        <v>694</v>
      </c>
      <c r="E210" s="20">
        <v>352.05</v>
      </c>
    </row>
    <row r="211" spans="1:5" hidden="1" x14ac:dyDescent="0.3">
      <c r="A211">
        <v>1223</v>
      </c>
      <c r="B211">
        <v>1</v>
      </c>
      <c r="C211" t="s">
        <v>695</v>
      </c>
      <c r="E211" s="20">
        <v>480</v>
      </c>
    </row>
    <row r="212" spans="1:5" hidden="1" x14ac:dyDescent="0.3">
      <c r="A212">
        <v>1223</v>
      </c>
      <c r="B212">
        <v>2</v>
      </c>
      <c r="C212" t="s">
        <v>696</v>
      </c>
      <c r="E212" s="20">
        <v>479.07</v>
      </c>
    </row>
    <row r="213" spans="1:5" hidden="1" x14ac:dyDescent="0.3">
      <c r="A213">
        <v>1224</v>
      </c>
      <c r="B213">
        <v>1</v>
      </c>
      <c r="C213" t="s">
        <v>697</v>
      </c>
      <c r="E213" s="20">
        <v>64.16</v>
      </c>
    </row>
    <row r="214" spans="1:5" hidden="1" x14ac:dyDescent="0.3">
      <c r="A214">
        <v>1224</v>
      </c>
      <c r="B214">
        <v>2</v>
      </c>
      <c r="C214" t="s">
        <v>698</v>
      </c>
      <c r="E214" s="20">
        <v>63.51</v>
      </c>
    </row>
    <row r="215" spans="1:5" hidden="1" x14ac:dyDescent="0.3">
      <c r="A215">
        <v>1225</v>
      </c>
      <c r="B215">
        <v>1</v>
      </c>
      <c r="C215" t="s">
        <v>659</v>
      </c>
      <c r="E215" s="20">
        <v>355</v>
      </c>
    </row>
    <row r="216" spans="1:5" hidden="1" x14ac:dyDescent="0.3">
      <c r="A216">
        <v>1225</v>
      </c>
      <c r="B216">
        <v>2</v>
      </c>
      <c r="C216" t="s">
        <v>660</v>
      </c>
      <c r="E216" s="20">
        <v>354.02</v>
      </c>
    </row>
    <row r="217" spans="1:5" hidden="1" x14ac:dyDescent="0.3">
      <c r="A217">
        <v>1226</v>
      </c>
      <c r="B217">
        <v>1</v>
      </c>
      <c r="C217" t="s">
        <v>699</v>
      </c>
      <c r="E217" s="20">
        <v>518.04999999999995</v>
      </c>
    </row>
    <row r="218" spans="1:5" hidden="1" x14ac:dyDescent="0.3">
      <c r="A218">
        <v>1226</v>
      </c>
      <c r="B218">
        <v>2</v>
      </c>
      <c r="C218" t="s">
        <v>700</v>
      </c>
      <c r="E218" s="20">
        <v>516.02</v>
      </c>
    </row>
    <row r="219" spans="1:5" hidden="1" x14ac:dyDescent="0.3">
      <c r="A219">
        <v>1227</v>
      </c>
      <c r="B219">
        <v>1</v>
      </c>
      <c r="C219" t="s">
        <v>701</v>
      </c>
      <c r="E219" s="20">
        <v>469.07</v>
      </c>
    </row>
    <row r="220" spans="1:5" hidden="1" x14ac:dyDescent="0.3">
      <c r="A220">
        <v>1227</v>
      </c>
      <c r="B220">
        <v>2</v>
      </c>
      <c r="C220" t="s">
        <v>702</v>
      </c>
      <c r="E220" s="20">
        <v>467.03</v>
      </c>
    </row>
    <row r="221" spans="1:5" hidden="1" x14ac:dyDescent="0.3">
      <c r="A221">
        <v>1228</v>
      </c>
      <c r="B221">
        <v>1</v>
      </c>
      <c r="C221" t="s">
        <v>703</v>
      </c>
      <c r="E221" s="20">
        <v>682.03</v>
      </c>
    </row>
    <row r="222" spans="1:5" hidden="1" x14ac:dyDescent="0.3">
      <c r="A222">
        <v>1228</v>
      </c>
      <c r="B222">
        <v>2</v>
      </c>
      <c r="C222" t="s">
        <v>704</v>
      </c>
      <c r="E222" s="20">
        <v>677.03</v>
      </c>
    </row>
    <row r="223" spans="1:5" hidden="1" x14ac:dyDescent="0.3">
      <c r="A223">
        <v>1230</v>
      </c>
      <c r="B223">
        <v>1</v>
      </c>
      <c r="C223" t="s">
        <v>705</v>
      </c>
      <c r="E223" s="20">
        <v>348.04</v>
      </c>
    </row>
    <row r="224" spans="1:5" hidden="1" x14ac:dyDescent="0.3">
      <c r="A224">
        <v>1230</v>
      </c>
      <c r="B224">
        <v>2</v>
      </c>
      <c r="C224" t="s">
        <v>706</v>
      </c>
      <c r="E224" s="20">
        <v>341.07</v>
      </c>
    </row>
    <row r="225" spans="1:5" hidden="1" x14ac:dyDescent="0.3">
      <c r="A225">
        <v>1232</v>
      </c>
      <c r="B225">
        <v>1</v>
      </c>
      <c r="C225" t="s">
        <v>707</v>
      </c>
      <c r="E225" s="20">
        <v>275</v>
      </c>
    </row>
    <row r="226" spans="1:5" hidden="1" x14ac:dyDescent="0.3">
      <c r="A226">
        <v>1232</v>
      </c>
      <c r="B226">
        <v>2</v>
      </c>
      <c r="C226" t="s">
        <v>708</v>
      </c>
      <c r="E226" s="20">
        <v>270</v>
      </c>
    </row>
    <row r="227" spans="1:5" hidden="1" x14ac:dyDescent="0.3">
      <c r="A227">
        <v>1233</v>
      </c>
      <c r="B227">
        <v>1</v>
      </c>
      <c r="C227" t="s">
        <v>705</v>
      </c>
      <c r="E227" s="20">
        <v>348.04</v>
      </c>
    </row>
    <row r="228" spans="1:5" hidden="1" x14ac:dyDescent="0.3">
      <c r="A228">
        <v>1233</v>
      </c>
      <c r="B228">
        <v>2</v>
      </c>
      <c r="C228" t="s">
        <v>706</v>
      </c>
      <c r="E228" s="20">
        <v>341.07</v>
      </c>
    </row>
    <row r="229" spans="1:5" hidden="1" x14ac:dyDescent="0.3">
      <c r="A229">
        <v>1234</v>
      </c>
      <c r="B229">
        <v>1</v>
      </c>
      <c r="C229" t="s">
        <v>709</v>
      </c>
      <c r="E229" s="20">
        <v>25.58</v>
      </c>
    </row>
    <row r="230" spans="1:5" hidden="1" x14ac:dyDescent="0.3">
      <c r="A230">
        <v>1234</v>
      </c>
      <c r="B230">
        <v>2</v>
      </c>
      <c r="C230" t="s">
        <v>710</v>
      </c>
      <c r="E230" s="20">
        <v>24.83</v>
      </c>
    </row>
    <row r="231" spans="1:5" hidden="1" x14ac:dyDescent="0.3">
      <c r="A231">
        <v>1236</v>
      </c>
      <c r="B231">
        <v>1</v>
      </c>
      <c r="C231" t="s">
        <v>705</v>
      </c>
      <c r="E231" s="20">
        <v>348.04</v>
      </c>
    </row>
    <row r="232" spans="1:5" hidden="1" x14ac:dyDescent="0.3">
      <c r="A232">
        <v>1236</v>
      </c>
      <c r="B232">
        <v>2</v>
      </c>
      <c r="C232" t="s">
        <v>706</v>
      </c>
      <c r="E232" s="20">
        <v>341.07</v>
      </c>
    </row>
    <row r="233" spans="1:5" hidden="1" x14ac:dyDescent="0.3">
      <c r="A233">
        <v>1237</v>
      </c>
      <c r="B233">
        <v>1</v>
      </c>
      <c r="C233" t="s">
        <v>711</v>
      </c>
      <c r="E233" s="20">
        <v>9.9700000000000006</v>
      </c>
    </row>
    <row r="234" spans="1:5" hidden="1" x14ac:dyDescent="0.3">
      <c r="A234">
        <v>1237</v>
      </c>
      <c r="B234">
        <v>2</v>
      </c>
      <c r="C234" t="s">
        <v>712</v>
      </c>
      <c r="E234" s="20">
        <v>9.77</v>
      </c>
    </row>
    <row r="235" spans="1:5" hidden="1" x14ac:dyDescent="0.3">
      <c r="A235">
        <v>1261</v>
      </c>
      <c r="B235">
        <v>1</v>
      </c>
      <c r="C235" t="s">
        <v>713</v>
      </c>
      <c r="E235" s="20">
        <v>12.29</v>
      </c>
    </row>
    <row r="236" spans="1:5" hidden="1" x14ac:dyDescent="0.3">
      <c r="A236">
        <v>1261</v>
      </c>
      <c r="B236">
        <v>2</v>
      </c>
      <c r="C236" t="s">
        <v>714</v>
      </c>
      <c r="E236" s="20">
        <v>11.95</v>
      </c>
    </row>
    <row r="237" spans="1:5" hidden="1" x14ac:dyDescent="0.3">
      <c r="A237">
        <v>1262</v>
      </c>
      <c r="B237">
        <v>1</v>
      </c>
      <c r="C237" t="s">
        <v>713</v>
      </c>
      <c r="E237" s="20">
        <v>12.29</v>
      </c>
    </row>
    <row r="238" spans="1:5" hidden="1" x14ac:dyDescent="0.3">
      <c r="A238">
        <v>1262</v>
      </c>
      <c r="B238">
        <v>2</v>
      </c>
      <c r="C238" t="s">
        <v>714</v>
      </c>
      <c r="E238" s="20">
        <v>11.95</v>
      </c>
    </row>
    <row r="239" spans="1:5" hidden="1" x14ac:dyDescent="0.3">
      <c r="A239">
        <v>1264</v>
      </c>
      <c r="B239">
        <v>1</v>
      </c>
      <c r="C239" t="s">
        <v>715</v>
      </c>
      <c r="E239" s="20">
        <v>27.96</v>
      </c>
    </row>
    <row r="240" spans="1:5" hidden="1" x14ac:dyDescent="0.3">
      <c r="A240">
        <v>1264</v>
      </c>
      <c r="B240">
        <v>2</v>
      </c>
      <c r="C240" t="s">
        <v>716</v>
      </c>
      <c r="E240" s="20">
        <v>27.63</v>
      </c>
    </row>
    <row r="241" spans="1:5" hidden="1" x14ac:dyDescent="0.3">
      <c r="A241">
        <v>1267</v>
      </c>
      <c r="B241">
        <v>1</v>
      </c>
      <c r="C241" t="s">
        <v>717</v>
      </c>
      <c r="E241" s="20">
        <v>121.61</v>
      </c>
    </row>
    <row r="242" spans="1:5" hidden="1" x14ac:dyDescent="0.3">
      <c r="A242">
        <v>1267</v>
      </c>
      <c r="B242">
        <v>2</v>
      </c>
      <c r="C242" t="s">
        <v>718</v>
      </c>
      <c r="E242" s="20">
        <v>119.64</v>
      </c>
    </row>
    <row r="243" spans="1:5" hidden="1" x14ac:dyDescent="0.3">
      <c r="A243">
        <v>1269</v>
      </c>
      <c r="B243">
        <v>1</v>
      </c>
      <c r="C243" t="s">
        <v>719</v>
      </c>
      <c r="E243" s="20">
        <v>25.87</v>
      </c>
    </row>
    <row r="244" spans="1:5" hidden="1" x14ac:dyDescent="0.3">
      <c r="A244">
        <v>1269</v>
      </c>
      <c r="B244">
        <v>2</v>
      </c>
      <c r="C244" t="s">
        <v>720</v>
      </c>
      <c r="E244" s="20">
        <v>25.08</v>
      </c>
    </row>
    <row r="245" spans="1:5" hidden="1" x14ac:dyDescent="0.3">
      <c r="A245">
        <v>1270</v>
      </c>
      <c r="B245">
        <v>1</v>
      </c>
      <c r="C245" t="s">
        <v>719</v>
      </c>
      <c r="E245" s="20">
        <v>25.87</v>
      </c>
    </row>
    <row r="246" spans="1:5" hidden="1" x14ac:dyDescent="0.3">
      <c r="A246">
        <v>1270</v>
      </c>
      <c r="B246">
        <v>2</v>
      </c>
      <c r="C246" t="s">
        <v>720</v>
      </c>
      <c r="E246" s="20">
        <v>25.08</v>
      </c>
    </row>
    <row r="247" spans="1:5" hidden="1" x14ac:dyDescent="0.3">
      <c r="A247">
        <v>1271</v>
      </c>
      <c r="B247">
        <v>1</v>
      </c>
      <c r="C247" t="s">
        <v>721</v>
      </c>
      <c r="E247" s="20">
        <v>25.54</v>
      </c>
    </row>
    <row r="248" spans="1:5" hidden="1" x14ac:dyDescent="0.3">
      <c r="A248">
        <v>1271</v>
      </c>
      <c r="B248">
        <v>2</v>
      </c>
      <c r="C248" t="s">
        <v>722</v>
      </c>
      <c r="E248" s="20">
        <v>24.76</v>
      </c>
    </row>
    <row r="249" spans="1:5" hidden="1" x14ac:dyDescent="0.3">
      <c r="A249">
        <v>1273</v>
      </c>
      <c r="B249">
        <v>1</v>
      </c>
      <c r="C249" t="s">
        <v>723</v>
      </c>
      <c r="E249" s="20">
        <v>172.48</v>
      </c>
    </row>
    <row r="250" spans="1:5" hidden="1" x14ac:dyDescent="0.3">
      <c r="A250">
        <v>1273</v>
      </c>
      <c r="B250">
        <v>2</v>
      </c>
      <c r="C250" t="s">
        <v>724</v>
      </c>
      <c r="E250" s="20">
        <v>163.43</v>
      </c>
    </row>
    <row r="251" spans="1:5" hidden="1" x14ac:dyDescent="0.3">
      <c r="A251">
        <v>1274</v>
      </c>
      <c r="B251">
        <v>1</v>
      </c>
      <c r="C251" t="s">
        <v>725</v>
      </c>
      <c r="E251" s="20">
        <v>322.48</v>
      </c>
    </row>
    <row r="252" spans="1:5" hidden="1" x14ac:dyDescent="0.3">
      <c r="A252">
        <v>1274</v>
      </c>
      <c r="B252">
        <v>2</v>
      </c>
      <c r="C252" t="s">
        <v>726</v>
      </c>
      <c r="E252" s="20">
        <v>309.05</v>
      </c>
    </row>
    <row r="253" spans="1:5" hidden="1" x14ac:dyDescent="0.3">
      <c r="A253">
        <v>1275</v>
      </c>
      <c r="B253">
        <v>1</v>
      </c>
      <c r="C253" t="s">
        <v>727</v>
      </c>
      <c r="E253" s="20">
        <v>29.16</v>
      </c>
    </row>
    <row r="254" spans="1:5" hidden="1" x14ac:dyDescent="0.3">
      <c r="A254">
        <v>1275</v>
      </c>
      <c r="B254">
        <v>2</v>
      </c>
      <c r="C254" t="s">
        <v>728</v>
      </c>
      <c r="E254" s="20">
        <v>28.27</v>
      </c>
    </row>
    <row r="255" spans="1:5" hidden="1" x14ac:dyDescent="0.3">
      <c r="A255">
        <v>1276</v>
      </c>
      <c r="B255">
        <v>1</v>
      </c>
      <c r="C255" t="s">
        <v>729</v>
      </c>
      <c r="E255" s="20">
        <v>33.36</v>
      </c>
    </row>
    <row r="256" spans="1:5" hidden="1" x14ac:dyDescent="0.3">
      <c r="A256">
        <v>1276</v>
      </c>
      <c r="B256">
        <v>2</v>
      </c>
      <c r="C256" t="s">
        <v>730</v>
      </c>
      <c r="E256" s="20">
        <v>32.36</v>
      </c>
    </row>
    <row r="257" spans="1:5" hidden="1" x14ac:dyDescent="0.3">
      <c r="A257">
        <v>1277</v>
      </c>
      <c r="B257">
        <v>1</v>
      </c>
      <c r="C257" t="s">
        <v>705</v>
      </c>
      <c r="E257" s="20">
        <v>348.04</v>
      </c>
    </row>
    <row r="258" spans="1:5" hidden="1" x14ac:dyDescent="0.3">
      <c r="A258">
        <v>1277</v>
      </c>
      <c r="B258">
        <v>2</v>
      </c>
      <c r="C258" t="s">
        <v>706</v>
      </c>
      <c r="E258" s="20">
        <v>341.07</v>
      </c>
    </row>
    <row r="259" spans="1:5" hidden="1" x14ac:dyDescent="0.3">
      <c r="A259">
        <v>1278</v>
      </c>
      <c r="B259">
        <v>1</v>
      </c>
      <c r="C259" t="s">
        <v>731</v>
      </c>
      <c r="E259" s="20">
        <v>176.79</v>
      </c>
    </row>
    <row r="260" spans="1:5" hidden="1" x14ac:dyDescent="0.3">
      <c r="A260">
        <v>1278</v>
      </c>
      <c r="B260">
        <v>2</v>
      </c>
      <c r="C260" t="s">
        <v>732</v>
      </c>
      <c r="E260" s="20">
        <v>174.11</v>
      </c>
    </row>
    <row r="261" spans="1:5" hidden="1" x14ac:dyDescent="0.3">
      <c r="A261">
        <v>1279</v>
      </c>
      <c r="B261">
        <v>1</v>
      </c>
      <c r="C261" t="s">
        <v>733</v>
      </c>
      <c r="E261" s="20">
        <v>176.78</v>
      </c>
    </row>
    <row r="262" spans="1:5" hidden="1" x14ac:dyDescent="0.3">
      <c r="A262">
        <v>1279</v>
      </c>
      <c r="B262">
        <v>2</v>
      </c>
      <c r="C262" t="s">
        <v>734</v>
      </c>
      <c r="E262" s="20">
        <v>174.15</v>
      </c>
    </row>
    <row r="263" spans="1:5" hidden="1" x14ac:dyDescent="0.3">
      <c r="A263">
        <v>1280</v>
      </c>
      <c r="B263">
        <v>1</v>
      </c>
      <c r="C263" t="s">
        <v>735</v>
      </c>
      <c r="E263" s="20">
        <v>649.71</v>
      </c>
    </row>
    <row r="264" spans="1:5" hidden="1" x14ac:dyDescent="0.3">
      <c r="A264">
        <v>1280</v>
      </c>
      <c r="B264">
        <v>2</v>
      </c>
      <c r="C264" t="s">
        <v>736</v>
      </c>
      <c r="E264" s="20">
        <v>643.14</v>
      </c>
    </row>
    <row r="265" spans="1:5" hidden="1" x14ac:dyDescent="0.3">
      <c r="A265">
        <v>1281</v>
      </c>
      <c r="B265">
        <v>1</v>
      </c>
      <c r="C265" t="s">
        <v>737</v>
      </c>
      <c r="E265" s="20">
        <v>787.62</v>
      </c>
    </row>
    <row r="266" spans="1:5" hidden="1" x14ac:dyDescent="0.3">
      <c r="A266">
        <v>1281</v>
      </c>
      <c r="B266">
        <v>2</v>
      </c>
      <c r="C266" t="s">
        <v>738</v>
      </c>
      <c r="E266" s="20">
        <v>779.71</v>
      </c>
    </row>
    <row r="267" spans="1:5" hidden="1" x14ac:dyDescent="0.3">
      <c r="A267">
        <v>1282</v>
      </c>
      <c r="B267">
        <v>1</v>
      </c>
      <c r="C267" t="s">
        <v>739</v>
      </c>
      <c r="E267" s="20">
        <v>84.75</v>
      </c>
    </row>
    <row r="268" spans="1:5" hidden="1" x14ac:dyDescent="0.3">
      <c r="A268">
        <v>1282</v>
      </c>
      <c r="B268">
        <v>2</v>
      </c>
      <c r="C268" t="s">
        <v>740</v>
      </c>
      <c r="E268" s="20">
        <v>82.97</v>
      </c>
    </row>
    <row r="269" spans="1:5" hidden="1" x14ac:dyDescent="0.3">
      <c r="A269">
        <v>1283</v>
      </c>
      <c r="B269">
        <v>1</v>
      </c>
      <c r="C269" t="s">
        <v>741</v>
      </c>
      <c r="E269" s="20">
        <v>167.32</v>
      </c>
    </row>
    <row r="270" spans="1:5" hidden="1" x14ac:dyDescent="0.3">
      <c r="A270">
        <v>1283</v>
      </c>
      <c r="B270">
        <v>2</v>
      </c>
      <c r="C270" t="s">
        <v>742</v>
      </c>
      <c r="E270" s="20">
        <v>165.36</v>
      </c>
    </row>
    <row r="271" spans="1:5" hidden="1" x14ac:dyDescent="0.3">
      <c r="A271">
        <v>1284</v>
      </c>
      <c r="B271">
        <v>1</v>
      </c>
      <c r="C271" t="s">
        <v>743</v>
      </c>
      <c r="E271" s="20">
        <v>181.25</v>
      </c>
    </row>
    <row r="272" spans="1:5" hidden="1" x14ac:dyDescent="0.3">
      <c r="A272">
        <v>1284</v>
      </c>
      <c r="B272">
        <v>2</v>
      </c>
      <c r="C272" t="s">
        <v>744</v>
      </c>
      <c r="E272" s="20">
        <v>179.46</v>
      </c>
    </row>
    <row r="273" spans="1:5" hidden="1" x14ac:dyDescent="0.3">
      <c r="A273">
        <v>1285</v>
      </c>
      <c r="B273">
        <v>1</v>
      </c>
      <c r="C273" t="s">
        <v>745</v>
      </c>
      <c r="E273" s="20">
        <v>166.52</v>
      </c>
    </row>
    <row r="274" spans="1:5" hidden="1" x14ac:dyDescent="0.3">
      <c r="A274">
        <v>1285</v>
      </c>
      <c r="B274">
        <v>2</v>
      </c>
      <c r="C274" t="s">
        <v>746</v>
      </c>
      <c r="E274" s="20">
        <v>164.82</v>
      </c>
    </row>
    <row r="275" spans="1:5" hidden="1" x14ac:dyDescent="0.3">
      <c r="A275">
        <v>1289</v>
      </c>
      <c r="B275">
        <v>1</v>
      </c>
      <c r="C275" t="s">
        <v>747</v>
      </c>
      <c r="E275" s="20">
        <v>274.91000000000003</v>
      </c>
    </row>
    <row r="276" spans="1:5" hidden="1" x14ac:dyDescent="0.3">
      <c r="A276">
        <v>1289</v>
      </c>
      <c r="B276">
        <v>2</v>
      </c>
      <c r="C276" t="s">
        <v>748</v>
      </c>
      <c r="E276" s="20">
        <v>269.91000000000003</v>
      </c>
    </row>
    <row r="277" spans="1:5" hidden="1" x14ac:dyDescent="0.3">
      <c r="A277">
        <v>1290</v>
      </c>
      <c r="B277">
        <v>1</v>
      </c>
      <c r="C277" t="s">
        <v>620</v>
      </c>
      <c r="E277" s="20">
        <v>274.92</v>
      </c>
    </row>
    <row r="278" spans="1:5" hidden="1" x14ac:dyDescent="0.3">
      <c r="A278">
        <v>1290</v>
      </c>
      <c r="B278">
        <v>2</v>
      </c>
      <c r="C278" t="s">
        <v>621</v>
      </c>
      <c r="E278" s="20">
        <v>269.92</v>
      </c>
    </row>
    <row r="279" spans="1:5" hidden="1" x14ac:dyDescent="0.3">
      <c r="A279">
        <v>1291</v>
      </c>
      <c r="B279">
        <v>1</v>
      </c>
      <c r="C279" t="s">
        <v>749</v>
      </c>
      <c r="E279" s="20">
        <v>270</v>
      </c>
    </row>
    <row r="280" spans="1:5" hidden="1" x14ac:dyDescent="0.3">
      <c r="A280">
        <v>1291</v>
      </c>
      <c r="B280">
        <v>2</v>
      </c>
      <c r="C280" t="s">
        <v>750</v>
      </c>
      <c r="E280" s="20">
        <v>265</v>
      </c>
    </row>
    <row r="281" spans="1:5" hidden="1" x14ac:dyDescent="0.3">
      <c r="A281">
        <v>1292</v>
      </c>
      <c r="B281">
        <v>1</v>
      </c>
      <c r="C281" t="s">
        <v>707</v>
      </c>
      <c r="E281" s="20">
        <v>275</v>
      </c>
    </row>
    <row r="282" spans="1:5" hidden="1" x14ac:dyDescent="0.3">
      <c r="A282">
        <v>1292</v>
      </c>
      <c r="B282">
        <v>2</v>
      </c>
      <c r="C282" t="s">
        <v>708</v>
      </c>
      <c r="E282" s="20">
        <v>270</v>
      </c>
    </row>
    <row r="283" spans="1:5" hidden="1" x14ac:dyDescent="0.3">
      <c r="A283">
        <v>1293</v>
      </c>
      <c r="B283">
        <v>1</v>
      </c>
      <c r="C283" t="s">
        <v>707</v>
      </c>
      <c r="E283" s="20">
        <v>275</v>
      </c>
    </row>
    <row r="284" spans="1:5" hidden="1" x14ac:dyDescent="0.3">
      <c r="A284">
        <v>1293</v>
      </c>
      <c r="B284">
        <v>2</v>
      </c>
      <c r="C284" t="s">
        <v>708</v>
      </c>
      <c r="E284" s="20">
        <v>270</v>
      </c>
    </row>
    <row r="285" spans="1:5" hidden="1" x14ac:dyDescent="0.3">
      <c r="A285">
        <v>1294</v>
      </c>
      <c r="B285">
        <v>1</v>
      </c>
      <c r="C285" t="s">
        <v>751</v>
      </c>
      <c r="E285" s="20">
        <v>254.92</v>
      </c>
    </row>
    <row r="286" spans="1:5" hidden="1" x14ac:dyDescent="0.3">
      <c r="A286">
        <v>1294</v>
      </c>
      <c r="B286">
        <v>2</v>
      </c>
      <c r="C286" t="s">
        <v>752</v>
      </c>
      <c r="E286" s="20">
        <v>249.92</v>
      </c>
    </row>
    <row r="287" spans="1:5" hidden="1" x14ac:dyDescent="0.3">
      <c r="A287">
        <v>1295</v>
      </c>
      <c r="B287">
        <v>1</v>
      </c>
      <c r="C287" t="s">
        <v>707</v>
      </c>
      <c r="E287" s="20">
        <v>275</v>
      </c>
    </row>
    <row r="288" spans="1:5" hidden="1" x14ac:dyDescent="0.3">
      <c r="A288">
        <v>1295</v>
      </c>
      <c r="B288">
        <v>2</v>
      </c>
      <c r="C288" t="s">
        <v>708</v>
      </c>
      <c r="E288" s="20">
        <v>270</v>
      </c>
    </row>
    <row r="289" spans="1:5" hidden="1" x14ac:dyDescent="0.3">
      <c r="A289">
        <v>1296</v>
      </c>
      <c r="B289">
        <v>1</v>
      </c>
      <c r="C289" t="s">
        <v>753</v>
      </c>
      <c r="E289" s="20">
        <v>574.58000000000004</v>
      </c>
    </row>
    <row r="290" spans="1:5" hidden="1" x14ac:dyDescent="0.3">
      <c r="A290">
        <v>1296</v>
      </c>
      <c r="B290">
        <v>2</v>
      </c>
      <c r="C290" t="s">
        <v>754</v>
      </c>
      <c r="E290" s="20">
        <v>574.07000000000005</v>
      </c>
    </row>
    <row r="291" spans="1:5" hidden="1" x14ac:dyDescent="0.3">
      <c r="A291">
        <v>1298</v>
      </c>
      <c r="B291">
        <v>1</v>
      </c>
      <c r="C291" t="s">
        <v>755</v>
      </c>
      <c r="E291" s="20">
        <v>530</v>
      </c>
    </row>
    <row r="292" spans="1:5" hidden="1" x14ac:dyDescent="0.3">
      <c r="A292">
        <v>1298</v>
      </c>
      <c r="B292">
        <v>2</v>
      </c>
      <c r="C292" t="s">
        <v>756</v>
      </c>
      <c r="E292" s="20">
        <v>525</v>
      </c>
    </row>
    <row r="293" spans="1:5" hidden="1" x14ac:dyDescent="0.3">
      <c r="A293">
        <v>1299</v>
      </c>
      <c r="B293">
        <v>1</v>
      </c>
      <c r="C293" t="s">
        <v>757</v>
      </c>
      <c r="E293" s="20">
        <v>585.85</v>
      </c>
    </row>
    <row r="294" spans="1:5" hidden="1" x14ac:dyDescent="0.3">
      <c r="A294">
        <v>1299</v>
      </c>
      <c r="B294">
        <v>2</v>
      </c>
      <c r="C294" t="s">
        <v>758</v>
      </c>
      <c r="E294" s="20">
        <v>580</v>
      </c>
    </row>
    <row r="295" spans="1:5" hidden="1" x14ac:dyDescent="0.3">
      <c r="A295">
        <v>1300</v>
      </c>
      <c r="B295">
        <v>1</v>
      </c>
      <c r="C295" t="s">
        <v>757</v>
      </c>
      <c r="E295" s="20">
        <v>585.85</v>
      </c>
    </row>
    <row r="296" spans="1:5" hidden="1" x14ac:dyDescent="0.3">
      <c r="A296">
        <v>1300</v>
      </c>
      <c r="B296">
        <v>2</v>
      </c>
      <c r="C296" t="s">
        <v>758</v>
      </c>
      <c r="E296" s="20">
        <v>580</v>
      </c>
    </row>
    <row r="297" spans="1:5" hidden="1" x14ac:dyDescent="0.3">
      <c r="A297">
        <v>1321</v>
      </c>
      <c r="B297">
        <v>1</v>
      </c>
      <c r="C297" t="s">
        <v>759</v>
      </c>
      <c r="E297" s="20">
        <v>360.42</v>
      </c>
    </row>
    <row r="298" spans="1:5" hidden="1" x14ac:dyDescent="0.3">
      <c r="A298">
        <v>1321</v>
      </c>
      <c r="B298">
        <v>2</v>
      </c>
      <c r="C298" t="s">
        <v>760</v>
      </c>
      <c r="E298" s="20">
        <v>358.56</v>
      </c>
    </row>
    <row r="299" spans="1:5" hidden="1" x14ac:dyDescent="0.3">
      <c r="A299">
        <v>1324</v>
      </c>
      <c r="B299">
        <v>1</v>
      </c>
      <c r="C299" t="s">
        <v>761</v>
      </c>
      <c r="E299" s="20">
        <v>509.83</v>
      </c>
    </row>
    <row r="300" spans="1:5" hidden="1" x14ac:dyDescent="0.3">
      <c r="A300">
        <v>1325</v>
      </c>
      <c r="B300">
        <v>2</v>
      </c>
      <c r="C300" t="s">
        <v>762</v>
      </c>
      <c r="E300" s="20">
        <v>637.12</v>
      </c>
    </row>
    <row r="301" spans="1:5" hidden="1" x14ac:dyDescent="0.3">
      <c r="A301">
        <v>1325</v>
      </c>
      <c r="B301">
        <v>1</v>
      </c>
      <c r="C301" t="s">
        <v>763</v>
      </c>
      <c r="E301" s="20">
        <v>630.67999999999995</v>
      </c>
    </row>
    <row r="302" spans="1:5" hidden="1" x14ac:dyDescent="0.3">
      <c r="A302">
        <v>1326</v>
      </c>
      <c r="B302">
        <v>2</v>
      </c>
      <c r="C302" t="s">
        <v>762</v>
      </c>
      <c r="E302" s="20">
        <v>637.12</v>
      </c>
    </row>
    <row r="303" spans="1:5" hidden="1" x14ac:dyDescent="0.3">
      <c r="A303">
        <v>1326</v>
      </c>
      <c r="B303">
        <v>1</v>
      </c>
      <c r="C303" t="s">
        <v>763</v>
      </c>
      <c r="E303" s="20">
        <v>630.67999999999995</v>
      </c>
    </row>
    <row r="304" spans="1:5" hidden="1" x14ac:dyDescent="0.3">
      <c r="A304">
        <v>1327</v>
      </c>
      <c r="B304">
        <v>2</v>
      </c>
      <c r="C304" t="s">
        <v>764</v>
      </c>
      <c r="E304" s="20">
        <v>162.05000000000001</v>
      </c>
    </row>
    <row r="305" spans="1:5" hidden="1" x14ac:dyDescent="0.3">
      <c r="A305">
        <v>1327</v>
      </c>
      <c r="B305">
        <v>1</v>
      </c>
      <c r="C305" t="s">
        <v>765</v>
      </c>
      <c r="E305" s="20">
        <v>161.07</v>
      </c>
    </row>
    <row r="306" spans="1:5" hidden="1" x14ac:dyDescent="0.3">
      <c r="A306">
        <v>1328</v>
      </c>
      <c r="B306">
        <v>2</v>
      </c>
      <c r="C306" t="s">
        <v>766</v>
      </c>
      <c r="E306" s="20">
        <v>161.07</v>
      </c>
    </row>
    <row r="307" spans="1:5" hidden="1" x14ac:dyDescent="0.3">
      <c r="A307">
        <v>1328</v>
      </c>
      <c r="B307">
        <v>1</v>
      </c>
      <c r="C307" t="s">
        <v>767</v>
      </c>
      <c r="E307" s="20">
        <v>160</v>
      </c>
    </row>
    <row r="308" spans="1:5" hidden="1" x14ac:dyDescent="0.3">
      <c r="A308">
        <v>1329</v>
      </c>
      <c r="B308">
        <v>2</v>
      </c>
      <c r="C308" t="s">
        <v>766</v>
      </c>
      <c r="E308" s="20">
        <v>161.07</v>
      </c>
    </row>
    <row r="309" spans="1:5" hidden="1" x14ac:dyDescent="0.3">
      <c r="A309">
        <v>1329</v>
      </c>
      <c r="B309">
        <v>1</v>
      </c>
      <c r="C309" t="s">
        <v>767</v>
      </c>
      <c r="E309" s="20">
        <v>160</v>
      </c>
    </row>
    <row r="310" spans="1:5" hidden="1" x14ac:dyDescent="0.3">
      <c r="A310">
        <v>1330</v>
      </c>
      <c r="B310">
        <v>2</v>
      </c>
      <c r="C310" t="s">
        <v>768</v>
      </c>
      <c r="E310" s="20">
        <v>143.47999999999999</v>
      </c>
    </row>
    <row r="311" spans="1:5" hidden="1" x14ac:dyDescent="0.3">
      <c r="A311">
        <v>1330</v>
      </c>
      <c r="B311">
        <v>1</v>
      </c>
      <c r="C311" t="s">
        <v>769</v>
      </c>
      <c r="E311" s="20">
        <v>141.52000000000001</v>
      </c>
    </row>
    <row r="312" spans="1:5" hidden="1" x14ac:dyDescent="0.3">
      <c r="A312">
        <v>1331</v>
      </c>
      <c r="B312">
        <v>2</v>
      </c>
      <c r="C312" t="s">
        <v>770</v>
      </c>
      <c r="E312" s="20">
        <v>359.55</v>
      </c>
    </row>
    <row r="313" spans="1:5" hidden="1" x14ac:dyDescent="0.3">
      <c r="A313">
        <v>1331</v>
      </c>
      <c r="B313">
        <v>1</v>
      </c>
      <c r="C313" t="s">
        <v>771</v>
      </c>
      <c r="E313" s="20">
        <v>358.57</v>
      </c>
    </row>
    <row r="314" spans="1:5" hidden="1" x14ac:dyDescent="0.3">
      <c r="A314">
        <v>1332</v>
      </c>
      <c r="B314">
        <v>2</v>
      </c>
      <c r="C314" t="s">
        <v>772</v>
      </c>
      <c r="E314" s="20">
        <v>158.04</v>
      </c>
    </row>
    <row r="315" spans="1:5" hidden="1" x14ac:dyDescent="0.3">
      <c r="A315">
        <v>1332</v>
      </c>
      <c r="B315">
        <v>1</v>
      </c>
      <c r="C315" t="s">
        <v>773</v>
      </c>
      <c r="E315" s="20">
        <v>157.05000000000001</v>
      </c>
    </row>
    <row r="316" spans="1:5" hidden="1" x14ac:dyDescent="0.3">
      <c r="A316">
        <v>1333</v>
      </c>
      <c r="B316">
        <v>2</v>
      </c>
      <c r="C316" t="s">
        <v>774</v>
      </c>
      <c r="E316" s="20">
        <v>160</v>
      </c>
    </row>
    <row r="317" spans="1:5" hidden="1" x14ac:dyDescent="0.3">
      <c r="A317">
        <v>1333</v>
      </c>
      <c r="B317">
        <v>1</v>
      </c>
      <c r="C317" t="s">
        <v>775</v>
      </c>
      <c r="E317" s="20">
        <v>159.02000000000001</v>
      </c>
    </row>
    <row r="318" spans="1:5" hidden="1" x14ac:dyDescent="0.3">
      <c r="A318">
        <v>1334</v>
      </c>
      <c r="B318">
        <v>2</v>
      </c>
      <c r="C318" t="s">
        <v>776</v>
      </c>
      <c r="E318" s="20">
        <v>159.02000000000001</v>
      </c>
    </row>
    <row r="319" spans="1:5" hidden="1" x14ac:dyDescent="0.3">
      <c r="A319">
        <v>1334</v>
      </c>
      <c r="B319">
        <v>1</v>
      </c>
      <c r="C319" t="s">
        <v>777</v>
      </c>
      <c r="E319" s="20">
        <v>158.04</v>
      </c>
    </row>
    <row r="320" spans="1:5" hidden="1" x14ac:dyDescent="0.3">
      <c r="A320">
        <v>1335</v>
      </c>
      <c r="B320">
        <v>2</v>
      </c>
      <c r="C320" t="s">
        <v>778</v>
      </c>
      <c r="E320" s="20">
        <v>220</v>
      </c>
    </row>
    <row r="321" spans="1:5" hidden="1" x14ac:dyDescent="0.3">
      <c r="A321">
        <v>1335</v>
      </c>
      <c r="B321">
        <v>1</v>
      </c>
      <c r="C321" t="s">
        <v>779</v>
      </c>
      <c r="E321" s="20">
        <v>219.02</v>
      </c>
    </row>
    <row r="322" spans="1:5" hidden="1" x14ac:dyDescent="0.3">
      <c r="A322">
        <v>1336</v>
      </c>
      <c r="B322">
        <v>2</v>
      </c>
      <c r="C322" t="s">
        <v>780</v>
      </c>
      <c r="E322" s="20">
        <v>4.66</v>
      </c>
    </row>
    <row r="323" spans="1:5" hidden="1" x14ac:dyDescent="0.3">
      <c r="A323">
        <v>1336</v>
      </c>
      <c r="B323">
        <v>1</v>
      </c>
      <c r="C323" t="s">
        <v>781</v>
      </c>
      <c r="E323" s="20">
        <v>4.57</v>
      </c>
    </row>
    <row r="324" spans="1:5" hidden="1" x14ac:dyDescent="0.3">
      <c r="A324">
        <v>1337</v>
      </c>
      <c r="B324">
        <v>2</v>
      </c>
      <c r="C324" t="s">
        <v>782</v>
      </c>
      <c r="E324" s="20">
        <v>26.73</v>
      </c>
    </row>
    <row r="325" spans="1:5" hidden="1" x14ac:dyDescent="0.3">
      <c r="A325">
        <v>1339</v>
      </c>
      <c r="B325">
        <v>1</v>
      </c>
      <c r="C325" t="s">
        <v>783</v>
      </c>
      <c r="E325" s="20">
        <v>40.32</v>
      </c>
    </row>
    <row r="326" spans="1:5" hidden="1" x14ac:dyDescent="0.3">
      <c r="A326">
        <v>1339</v>
      </c>
      <c r="B326">
        <v>2</v>
      </c>
      <c r="C326" t="s">
        <v>784</v>
      </c>
      <c r="E326" s="20">
        <v>39.96</v>
      </c>
    </row>
    <row r="327" spans="1:5" hidden="1" x14ac:dyDescent="0.3">
      <c r="A327">
        <v>1340</v>
      </c>
      <c r="B327">
        <v>1</v>
      </c>
      <c r="C327" t="s">
        <v>785</v>
      </c>
      <c r="E327" s="20">
        <v>484.83</v>
      </c>
    </row>
    <row r="328" spans="1:5" hidden="1" x14ac:dyDescent="0.3">
      <c r="A328">
        <v>1340</v>
      </c>
      <c r="B328">
        <v>2</v>
      </c>
      <c r="C328" t="s">
        <v>786</v>
      </c>
      <c r="E328" s="20">
        <v>482.46</v>
      </c>
    </row>
    <row r="329" spans="1:5" hidden="1" x14ac:dyDescent="0.3">
      <c r="A329">
        <v>1361</v>
      </c>
      <c r="B329">
        <v>1</v>
      </c>
      <c r="C329" t="s">
        <v>787</v>
      </c>
      <c r="E329" s="20">
        <v>21.23</v>
      </c>
    </row>
    <row r="330" spans="1:5" hidden="1" x14ac:dyDescent="0.3">
      <c r="A330">
        <v>1361</v>
      </c>
      <c r="B330">
        <v>2</v>
      </c>
      <c r="C330" t="s">
        <v>788</v>
      </c>
      <c r="E330" s="20">
        <v>20.8</v>
      </c>
    </row>
    <row r="331" spans="1:5" hidden="1" x14ac:dyDescent="0.3">
      <c r="A331">
        <v>1362</v>
      </c>
      <c r="B331">
        <v>1</v>
      </c>
      <c r="C331" t="s">
        <v>789</v>
      </c>
      <c r="E331" s="20">
        <v>103.5</v>
      </c>
    </row>
    <row r="332" spans="1:5" hidden="1" x14ac:dyDescent="0.3">
      <c r="A332">
        <v>1362</v>
      </c>
      <c r="B332">
        <v>2</v>
      </c>
      <c r="C332" t="s">
        <v>790</v>
      </c>
      <c r="E332" s="20">
        <v>101.54</v>
      </c>
    </row>
    <row r="333" spans="1:5" hidden="1" x14ac:dyDescent="0.3">
      <c r="A333">
        <v>1365</v>
      </c>
      <c r="B333">
        <v>1</v>
      </c>
      <c r="C333" t="s">
        <v>791</v>
      </c>
      <c r="E333" s="20">
        <v>326.57</v>
      </c>
    </row>
    <row r="334" spans="1:5" hidden="1" x14ac:dyDescent="0.3">
      <c r="A334">
        <v>1365</v>
      </c>
      <c r="B334">
        <v>2</v>
      </c>
      <c r="C334" t="s">
        <v>792</v>
      </c>
      <c r="E334" s="20">
        <v>325.52</v>
      </c>
    </row>
    <row r="335" spans="1:5" hidden="1" x14ac:dyDescent="0.3">
      <c r="A335">
        <v>1366</v>
      </c>
      <c r="B335">
        <v>1</v>
      </c>
      <c r="C335" t="s">
        <v>793</v>
      </c>
      <c r="E335" s="20">
        <v>13.27</v>
      </c>
    </row>
    <row r="336" spans="1:5" hidden="1" x14ac:dyDescent="0.3">
      <c r="A336">
        <v>1366</v>
      </c>
      <c r="B336">
        <v>2</v>
      </c>
      <c r="C336" t="s">
        <v>794</v>
      </c>
      <c r="E336" s="20">
        <v>12.8</v>
      </c>
    </row>
    <row r="337" spans="1:5" hidden="1" x14ac:dyDescent="0.3">
      <c r="A337">
        <v>1367</v>
      </c>
      <c r="B337">
        <v>1</v>
      </c>
      <c r="C337" t="s">
        <v>795</v>
      </c>
      <c r="E337" s="20">
        <v>13.21</v>
      </c>
    </row>
    <row r="338" spans="1:5" hidden="1" x14ac:dyDescent="0.3">
      <c r="A338">
        <v>1367</v>
      </c>
      <c r="B338">
        <v>2</v>
      </c>
      <c r="C338" t="s">
        <v>796</v>
      </c>
      <c r="E338" s="20">
        <v>13.14</v>
      </c>
    </row>
    <row r="339" spans="1:5" hidden="1" x14ac:dyDescent="0.3">
      <c r="A339">
        <v>1368</v>
      </c>
      <c r="B339">
        <v>1</v>
      </c>
      <c r="C339" t="s">
        <v>797</v>
      </c>
      <c r="E339" s="20">
        <v>13.5</v>
      </c>
    </row>
    <row r="340" spans="1:5" hidden="1" x14ac:dyDescent="0.3">
      <c r="A340">
        <v>1368</v>
      </c>
      <c r="B340">
        <v>2</v>
      </c>
      <c r="C340" t="s">
        <v>798</v>
      </c>
      <c r="E340" s="20">
        <v>13.43</v>
      </c>
    </row>
    <row r="341" spans="1:5" hidden="1" x14ac:dyDescent="0.3">
      <c r="A341">
        <v>1369</v>
      </c>
      <c r="B341">
        <v>1</v>
      </c>
      <c r="C341" t="s">
        <v>799</v>
      </c>
      <c r="E341" s="20">
        <v>13.43</v>
      </c>
    </row>
    <row r="342" spans="1:5" hidden="1" x14ac:dyDescent="0.3">
      <c r="A342">
        <v>1369</v>
      </c>
      <c r="B342">
        <v>2</v>
      </c>
      <c r="C342" t="s">
        <v>800</v>
      </c>
      <c r="E342" s="20">
        <v>13.29</v>
      </c>
    </row>
    <row r="343" spans="1:5" hidden="1" x14ac:dyDescent="0.3">
      <c r="A343">
        <v>1372</v>
      </c>
      <c r="B343">
        <v>1</v>
      </c>
      <c r="C343" t="s">
        <v>801</v>
      </c>
      <c r="E343" s="20">
        <v>601.02</v>
      </c>
    </row>
    <row r="344" spans="1:5" hidden="1" x14ac:dyDescent="0.3">
      <c r="A344">
        <v>1372</v>
      </c>
      <c r="B344">
        <v>2</v>
      </c>
      <c r="C344" t="s">
        <v>802</v>
      </c>
      <c r="E344" s="20">
        <v>595</v>
      </c>
    </row>
    <row r="345" spans="1:5" hidden="1" x14ac:dyDescent="0.3">
      <c r="A345">
        <v>1375</v>
      </c>
      <c r="B345">
        <v>1</v>
      </c>
      <c r="C345" t="s">
        <v>803</v>
      </c>
      <c r="E345" s="20">
        <v>584.41</v>
      </c>
    </row>
    <row r="346" spans="1:5" hidden="1" x14ac:dyDescent="0.3">
      <c r="A346">
        <v>1375</v>
      </c>
      <c r="B346">
        <v>2</v>
      </c>
      <c r="C346" t="s">
        <v>804</v>
      </c>
      <c r="E346" s="20">
        <v>578.55999999999995</v>
      </c>
    </row>
    <row r="347" spans="1:5" hidden="1" x14ac:dyDescent="0.3">
      <c r="A347">
        <v>1377</v>
      </c>
      <c r="B347">
        <v>1</v>
      </c>
      <c r="C347" t="s">
        <v>805</v>
      </c>
      <c r="E347" s="20">
        <v>610</v>
      </c>
    </row>
    <row r="348" spans="1:5" hidden="1" x14ac:dyDescent="0.3">
      <c r="A348">
        <v>1378</v>
      </c>
      <c r="B348">
        <v>2</v>
      </c>
      <c r="C348" t="s">
        <v>806</v>
      </c>
      <c r="E348" s="20">
        <v>612.03</v>
      </c>
    </row>
    <row r="349" spans="1:5" hidden="1" x14ac:dyDescent="0.3">
      <c r="A349">
        <v>1378</v>
      </c>
      <c r="B349">
        <v>1</v>
      </c>
      <c r="C349" t="s">
        <v>807</v>
      </c>
      <c r="E349" s="20">
        <v>605.85</v>
      </c>
    </row>
    <row r="350" spans="1:5" hidden="1" x14ac:dyDescent="0.3">
      <c r="A350">
        <v>1379</v>
      </c>
      <c r="B350">
        <v>2</v>
      </c>
      <c r="C350" t="s">
        <v>808</v>
      </c>
      <c r="E350" s="20">
        <v>260</v>
      </c>
    </row>
    <row r="351" spans="1:5" hidden="1" x14ac:dyDescent="0.3">
      <c r="A351">
        <v>1379</v>
      </c>
      <c r="B351">
        <v>1</v>
      </c>
      <c r="C351" t="s">
        <v>809</v>
      </c>
      <c r="E351" s="20">
        <v>258.04000000000002</v>
      </c>
    </row>
    <row r="352" spans="1:5" hidden="1" x14ac:dyDescent="0.3">
      <c r="A352">
        <v>1380</v>
      </c>
      <c r="B352">
        <v>2</v>
      </c>
      <c r="C352" t="s">
        <v>810</v>
      </c>
      <c r="E352" s="20">
        <v>33</v>
      </c>
    </row>
    <row r="353" spans="1:5" hidden="1" x14ac:dyDescent="0.3">
      <c r="A353">
        <v>1401</v>
      </c>
      <c r="B353">
        <v>1</v>
      </c>
      <c r="C353" t="s">
        <v>811</v>
      </c>
      <c r="E353" s="20">
        <v>125.54</v>
      </c>
    </row>
    <row r="354" spans="1:5" hidden="1" x14ac:dyDescent="0.3">
      <c r="A354">
        <v>1401</v>
      </c>
      <c r="B354">
        <v>2</v>
      </c>
      <c r="C354" t="s">
        <v>812</v>
      </c>
      <c r="E354" s="20">
        <v>124.82</v>
      </c>
    </row>
    <row r="355" spans="1:5" hidden="1" x14ac:dyDescent="0.3">
      <c r="A355">
        <v>1402</v>
      </c>
      <c r="B355">
        <v>1</v>
      </c>
      <c r="C355" t="s">
        <v>813</v>
      </c>
      <c r="E355" s="20">
        <v>157.37</v>
      </c>
    </row>
    <row r="356" spans="1:5" hidden="1" x14ac:dyDescent="0.3">
      <c r="A356">
        <v>1402</v>
      </c>
      <c r="B356">
        <v>2</v>
      </c>
      <c r="C356" t="s">
        <v>814</v>
      </c>
      <c r="E356" s="20">
        <v>156.36000000000001</v>
      </c>
    </row>
    <row r="357" spans="1:5" hidden="1" x14ac:dyDescent="0.3">
      <c r="A357">
        <v>1403</v>
      </c>
      <c r="B357">
        <v>1</v>
      </c>
      <c r="C357" t="s">
        <v>815</v>
      </c>
      <c r="E357" s="20">
        <v>13.75</v>
      </c>
    </row>
    <row r="358" spans="1:5" hidden="1" x14ac:dyDescent="0.3">
      <c r="A358">
        <v>1403</v>
      </c>
      <c r="B358">
        <v>2</v>
      </c>
      <c r="C358" t="s">
        <v>816</v>
      </c>
      <c r="E358" s="20">
        <v>13.57</v>
      </c>
    </row>
    <row r="359" spans="1:5" hidden="1" x14ac:dyDescent="0.3">
      <c r="A359">
        <v>1407</v>
      </c>
      <c r="B359">
        <v>1</v>
      </c>
      <c r="C359" t="s">
        <v>817</v>
      </c>
      <c r="E359" s="20">
        <v>641.61</v>
      </c>
    </row>
    <row r="360" spans="1:5" hidden="1" x14ac:dyDescent="0.3">
      <c r="A360">
        <v>1407</v>
      </c>
      <c r="B360">
        <v>2</v>
      </c>
      <c r="C360" t="s">
        <v>818</v>
      </c>
      <c r="E360" s="20">
        <v>635.16999999999996</v>
      </c>
    </row>
    <row r="361" spans="1:5" hidden="1" x14ac:dyDescent="0.3">
      <c r="A361">
        <v>1412</v>
      </c>
      <c r="B361">
        <v>1</v>
      </c>
      <c r="C361" t="s">
        <v>819</v>
      </c>
      <c r="E361" s="20">
        <v>125.54</v>
      </c>
    </row>
    <row r="362" spans="1:5" hidden="1" x14ac:dyDescent="0.3">
      <c r="A362">
        <v>1412</v>
      </c>
      <c r="B362">
        <v>2</v>
      </c>
      <c r="C362" t="s">
        <v>820</v>
      </c>
      <c r="E362" s="20">
        <v>124.82</v>
      </c>
    </row>
    <row r="363" spans="1:5" hidden="1" x14ac:dyDescent="0.3">
      <c r="A363">
        <v>1413</v>
      </c>
      <c r="B363">
        <v>1</v>
      </c>
      <c r="C363" t="s">
        <v>821</v>
      </c>
      <c r="E363" s="20">
        <v>131.07</v>
      </c>
    </row>
    <row r="364" spans="1:5" hidden="1" x14ac:dyDescent="0.3">
      <c r="A364">
        <v>1413</v>
      </c>
      <c r="B364">
        <v>2</v>
      </c>
      <c r="C364" t="s">
        <v>822</v>
      </c>
      <c r="E364" s="20">
        <v>130.54</v>
      </c>
    </row>
    <row r="365" spans="1:5" hidden="1" x14ac:dyDescent="0.3">
      <c r="A365">
        <v>1414</v>
      </c>
      <c r="B365">
        <v>1</v>
      </c>
      <c r="C365" t="s">
        <v>823</v>
      </c>
      <c r="E365" s="20">
        <v>143.57</v>
      </c>
    </row>
    <row r="366" spans="1:5" hidden="1" x14ac:dyDescent="0.3">
      <c r="A366">
        <v>1414</v>
      </c>
      <c r="B366">
        <v>2</v>
      </c>
      <c r="C366" t="s">
        <v>824</v>
      </c>
      <c r="E366" s="20">
        <v>142.13999999999999</v>
      </c>
    </row>
    <row r="367" spans="1:5" hidden="1" x14ac:dyDescent="0.3">
      <c r="A367">
        <v>1415</v>
      </c>
      <c r="B367">
        <v>1</v>
      </c>
      <c r="C367" t="s">
        <v>819</v>
      </c>
      <c r="E367" s="20">
        <v>125.54</v>
      </c>
    </row>
    <row r="368" spans="1:5" hidden="1" x14ac:dyDescent="0.3">
      <c r="A368">
        <v>1415</v>
      </c>
      <c r="B368">
        <v>2</v>
      </c>
      <c r="C368" t="s">
        <v>825</v>
      </c>
      <c r="E368" s="20">
        <v>124.82</v>
      </c>
    </row>
    <row r="369" spans="1:5" hidden="1" x14ac:dyDescent="0.3">
      <c r="A369">
        <v>1417</v>
      </c>
      <c r="B369">
        <v>1</v>
      </c>
      <c r="C369" t="s">
        <v>819</v>
      </c>
      <c r="E369" s="20">
        <v>125.54</v>
      </c>
    </row>
    <row r="370" spans="1:5" hidden="1" x14ac:dyDescent="0.3">
      <c r="A370">
        <v>1417</v>
      </c>
      <c r="B370">
        <v>2</v>
      </c>
      <c r="C370" t="s">
        <v>820</v>
      </c>
      <c r="E370" s="20">
        <v>124.82</v>
      </c>
    </row>
    <row r="371" spans="1:5" hidden="1" x14ac:dyDescent="0.3">
      <c r="A371">
        <v>1418</v>
      </c>
      <c r="B371">
        <v>1</v>
      </c>
      <c r="C371" t="s">
        <v>826</v>
      </c>
      <c r="E371" s="20">
        <v>125.89</v>
      </c>
    </row>
    <row r="372" spans="1:5" hidden="1" x14ac:dyDescent="0.3">
      <c r="A372">
        <v>1418</v>
      </c>
      <c r="B372">
        <v>2</v>
      </c>
      <c r="C372" t="s">
        <v>827</v>
      </c>
      <c r="E372" s="20">
        <v>125.54</v>
      </c>
    </row>
    <row r="373" spans="1:5" hidden="1" x14ac:dyDescent="0.3">
      <c r="A373">
        <v>1419</v>
      </c>
      <c r="B373">
        <v>1</v>
      </c>
      <c r="C373" t="s">
        <v>828</v>
      </c>
      <c r="E373" s="20">
        <v>237.14</v>
      </c>
    </row>
    <row r="374" spans="1:5" hidden="1" x14ac:dyDescent="0.3">
      <c r="A374">
        <v>1419</v>
      </c>
      <c r="B374">
        <v>2</v>
      </c>
      <c r="C374" t="s">
        <v>829</v>
      </c>
      <c r="E374" s="20">
        <v>236.61</v>
      </c>
    </row>
    <row r="375" spans="1:5" hidden="1" x14ac:dyDescent="0.3">
      <c r="A375">
        <v>2101</v>
      </c>
      <c r="B375">
        <v>1</v>
      </c>
      <c r="C375" t="s">
        <v>2870</v>
      </c>
      <c r="E375" s="20">
        <v>236.96</v>
      </c>
    </row>
    <row r="376" spans="1:5" hidden="1" x14ac:dyDescent="0.3">
      <c r="A376">
        <v>2101</v>
      </c>
      <c r="B376">
        <v>2</v>
      </c>
      <c r="C376" t="s">
        <v>2871</v>
      </c>
      <c r="E376" s="20">
        <v>236.43</v>
      </c>
    </row>
    <row r="377" spans="1:5" hidden="1" x14ac:dyDescent="0.3">
      <c r="A377">
        <v>2103</v>
      </c>
      <c r="B377">
        <v>1</v>
      </c>
      <c r="C377" t="s">
        <v>2877</v>
      </c>
      <c r="E377" s="20">
        <v>60.8</v>
      </c>
    </row>
    <row r="378" spans="1:5" hidden="1" x14ac:dyDescent="0.3">
      <c r="A378">
        <v>2103</v>
      </c>
      <c r="B378">
        <v>2</v>
      </c>
      <c r="C378" t="s">
        <v>2878</v>
      </c>
      <c r="E378" s="20">
        <v>60.29</v>
      </c>
    </row>
    <row r="379" spans="1:5" hidden="1" x14ac:dyDescent="0.3">
      <c r="A379">
        <v>2104</v>
      </c>
      <c r="B379">
        <v>1</v>
      </c>
      <c r="C379" t="s">
        <v>2881</v>
      </c>
      <c r="E379" s="20">
        <v>292</v>
      </c>
    </row>
    <row r="380" spans="1:5" hidden="1" x14ac:dyDescent="0.3">
      <c r="A380">
        <v>2104</v>
      </c>
      <c r="B380">
        <v>2</v>
      </c>
      <c r="C380" t="s">
        <v>2882</v>
      </c>
      <c r="E380" s="20">
        <v>290</v>
      </c>
    </row>
    <row r="381" spans="1:5" hidden="1" x14ac:dyDescent="0.3">
      <c r="A381">
        <v>2105</v>
      </c>
      <c r="B381">
        <v>1</v>
      </c>
      <c r="C381" t="s">
        <v>2885</v>
      </c>
      <c r="E381" s="20">
        <v>67.52</v>
      </c>
    </row>
    <row r="382" spans="1:5" hidden="1" x14ac:dyDescent="0.3">
      <c r="A382">
        <v>2105</v>
      </c>
      <c r="B382">
        <v>2</v>
      </c>
      <c r="C382" t="s">
        <v>2886</v>
      </c>
      <c r="E382" s="20">
        <v>67.05</v>
      </c>
    </row>
    <row r="383" spans="1:5" hidden="1" x14ac:dyDescent="0.3">
      <c r="A383">
        <v>2106</v>
      </c>
      <c r="B383">
        <v>1</v>
      </c>
      <c r="C383" t="s">
        <v>2889</v>
      </c>
      <c r="E383" s="20">
        <v>69.709999999999994</v>
      </c>
    </row>
    <row r="384" spans="1:5" hidden="1" x14ac:dyDescent="0.3">
      <c r="A384">
        <v>2106</v>
      </c>
      <c r="B384">
        <v>2</v>
      </c>
      <c r="C384" t="s">
        <v>2890</v>
      </c>
      <c r="E384" s="20">
        <v>69.239999999999995</v>
      </c>
    </row>
    <row r="385" spans="1:5" hidden="1" x14ac:dyDescent="0.3">
      <c r="A385">
        <v>2107</v>
      </c>
      <c r="B385">
        <v>1</v>
      </c>
      <c r="C385" t="s">
        <v>2893</v>
      </c>
      <c r="E385" s="20">
        <v>50.86</v>
      </c>
    </row>
    <row r="386" spans="1:5" hidden="1" x14ac:dyDescent="0.3">
      <c r="A386">
        <v>2107</v>
      </c>
      <c r="B386">
        <v>2</v>
      </c>
      <c r="C386" t="s">
        <v>2894</v>
      </c>
      <c r="E386" s="20">
        <v>49.33</v>
      </c>
    </row>
    <row r="387" spans="1:5" hidden="1" x14ac:dyDescent="0.3">
      <c r="A387">
        <v>2109</v>
      </c>
      <c r="B387">
        <v>1</v>
      </c>
      <c r="C387" t="s">
        <v>2899</v>
      </c>
      <c r="E387" s="20">
        <v>412.68</v>
      </c>
    </row>
    <row r="388" spans="1:5" hidden="1" x14ac:dyDescent="0.3">
      <c r="A388">
        <v>2109</v>
      </c>
      <c r="B388">
        <v>2</v>
      </c>
      <c r="C388" t="s">
        <v>2900</v>
      </c>
      <c r="E388" s="20">
        <v>410.62</v>
      </c>
    </row>
    <row r="389" spans="1:5" hidden="1" x14ac:dyDescent="0.3">
      <c r="A389">
        <v>2110</v>
      </c>
      <c r="B389">
        <v>1</v>
      </c>
      <c r="C389" t="s">
        <v>2903</v>
      </c>
      <c r="E389" s="20">
        <v>72</v>
      </c>
    </row>
    <row r="390" spans="1:5" hidden="1" x14ac:dyDescent="0.3">
      <c r="A390">
        <v>2110</v>
      </c>
      <c r="B390">
        <v>2</v>
      </c>
      <c r="C390" t="s">
        <v>2904</v>
      </c>
      <c r="E390" s="20">
        <v>71.05</v>
      </c>
    </row>
    <row r="391" spans="1:5" hidden="1" x14ac:dyDescent="0.3">
      <c r="A391">
        <v>2111</v>
      </c>
      <c r="B391">
        <v>1</v>
      </c>
      <c r="C391" t="s">
        <v>2907</v>
      </c>
      <c r="E391" s="20">
        <v>68</v>
      </c>
    </row>
    <row r="392" spans="1:5" hidden="1" x14ac:dyDescent="0.3">
      <c r="A392">
        <v>2111</v>
      </c>
      <c r="B392">
        <v>2</v>
      </c>
      <c r="C392" t="s">
        <v>2908</v>
      </c>
      <c r="E392" s="20">
        <v>65.81</v>
      </c>
    </row>
    <row r="393" spans="1:5" hidden="1" x14ac:dyDescent="0.3">
      <c r="A393">
        <v>2112</v>
      </c>
      <c r="B393">
        <v>1</v>
      </c>
      <c r="C393" t="s">
        <v>2911</v>
      </c>
      <c r="E393" s="20">
        <v>446.07</v>
      </c>
    </row>
    <row r="394" spans="1:5" hidden="1" x14ac:dyDescent="0.3">
      <c r="A394">
        <v>2112</v>
      </c>
      <c r="B394">
        <v>2</v>
      </c>
      <c r="C394" t="s">
        <v>2912</v>
      </c>
      <c r="E394" s="20">
        <v>445</v>
      </c>
    </row>
    <row r="395" spans="1:5" hidden="1" x14ac:dyDescent="0.3">
      <c r="A395">
        <v>2113</v>
      </c>
      <c r="B395">
        <v>1</v>
      </c>
      <c r="C395" t="s">
        <v>2915</v>
      </c>
      <c r="E395" s="20">
        <v>64.67</v>
      </c>
    </row>
    <row r="396" spans="1:5" hidden="1" x14ac:dyDescent="0.3">
      <c r="A396">
        <v>2113</v>
      </c>
      <c r="B396">
        <v>2</v>
      </c>
      <c r="C396" t="s">
        <v>2916</v>
      </c>
      <c r="E396" s="20">
        <v>63.14</v>
      </c>
    </row>
    <row r="397" spans="1:5" hidden="1" x14ac:dyDescent="0.3">
      <c r="A397">
        <v>2114</v>
      </c>
      <c r="B397">
        <v>1</v>
      </c>
      <c r="C397" t="s">
        <v>2919</v>
      </c>
      <c r="E397" s="20">
        <v>449.02</v>
      </c>
    </row>
    <row r="398" spans="1:5" hidden="1" x14ac:dyDescent="0.3">
      <c r="A398">
        <v>2114</v>
      </c>
      <c r="B398">
        <v>2</v>
      </c>
      <c r="C398" t="s">
        <v>2920</v>
      </c>
      <c r="E398" s="20">
        <v>448.04</v>
      </c>
    </row>
    <row r="399" spans="1:5" hidden="1" x14ac:dyDescent="0.3">
      <c r="A399">
        <v>2115</v>
      </c>
      <c r="B399">
        <v>1</v>
      </c>
      <c r="C399" t="s">
        <v>2923</v>
      </c>
      <c r="E399" s="20">
        <v>637.04999999999995</v>
      </c>
    </row>
    <row r="400" spans="1:5" hidden="1" x14ac:dyDescent="0.3">
      <c r="A400">
        <v>2115</v>
      </c>
      <c r="B400">
        <v>2</v>
      </c>
      <c r="C400" t="s">
        <v>2924</v>
      </c>
      <c r="E400" s="20">
        <v>635</v>
      </c>
    </row>
    <row r="401" spans="1:5" hidden="1" x14ac:dyDescent="0.3">
      <c r="A401">
        <v>2116</v>
      </c>
      <c r="B401">
        <v>1</v>
      </c>
      <c r="C401" t="s">
        <v>2927</v>
      </c>
      <c r="E401" s="20">
        <v>456.61</v>
      </c>
    </row>
    <row r="402" spans="1:5" hidden="1" x14ac:dyDescent="0.3">
      <c r="A402">
        <v>2117</v>
      </c>
      <c r="B402">
        <v>1</v>
      </c>
      <c r="C402" t="s">
        <v>2931</v>
      </c>
      <c r="E402" s="20">
        <v>381.03</v>
      </c>
    </row>
    <row r="403" spans="1:5" hidden="1" x14ac:dyDescent="0.3">
      <c r="A403">
        <v>2117</v>
      </c>
      <c r="B403">
        <v>2</v>
      </c>
      <c r="C403" t="s">
        <v>2932</v>
      </c>
      <c r="E403" s="20">
        <v>380</v>
      </c>
    </row>
    <row r="404" spans="1:5" hidden="1" x14ac:dyDescent="0.3">
      <c r="A404">
        <v>2118</v>
      </c>
      <c r="B404">
        <v>1</v>
      </c>
      <c r="C404" t="s">
        <v>2935</v>
      </c>
      <c r="E404" s="20">
        <v>207.05</v>
      </c>
    </row>
    <row r="405" spans="1:5" hidden="1" x14ac:dyDescent="0.3">
      <c r="A405">
        <v>2118</v>
      </c>
      <c r="B405">
        <v>2</v>
      </c>
      <c r="C405" t="s">
        <v>2936</v>
      </c>
      <c r="E405" s="20">
        <v>205.52</v>
      </c>
    </row>
    <row r="406" spans="1:5" hidden="1" x14ac:dyDescent="0.3">
      <c r="A406">
        <v>2119</v>
      </c>
      <c r="B406">
        <v>1</v>
      </c>
      <c r="C406" t="s">
        <v>2939</v>
      </c>
      <c r="E406" s="20">
        <v>204.91</v>
      </c>
    </row>
    <row r="407" spans="1:5" hidden="1" x14ac:dyDescent="0.3">
      <c r="A407">
        <v>2119</v>
      </c>
      <c r="B407">
        <v>2</v>
      </c>
      <c r="C407" t="s">
        <v>2940</v>
      </c>
      <c r="E407" s="20">
        <v>204.55</v>
      </c>
    </row>
    <row r="408" spans="1:5" hidden="1" x14ac:dyDescent="0.3">
      <c r="A408">
        <v>2120</v>
      </c>
      <c r="B408">
        <v>1</v>
      </c>
      <c r="C408" t="s">
        <v>2943</v>
      </c>
      <c r="E408" s="20">
        <v>100</v>
      </c>
    </row>
    <row r="409" spans="1:5" hidden="1" x14ac:dyDescent="0.3">
      <c r="A409">
        <v>2120</v>
      </c>
      <c r="B409">
        <v>2</v>
      </c>
      <c r="C409" t="s">
        <v>2944</v>
      </c>
      <c r="E409" s="20">
        <v>97.05</v>
      </c>
    </row>
    <row r="410" spans="1:5" hidden="1" x14ac:dyDescent="0.3">
      <c r="A410">
        <v>2121</v>
      </c>
      <c r="B410">
        <v>1</v>
      </c>
      <c r="C410" t="s">
        <v>2939</v>
      </c>
      <c r="E410" s="20">
        <v>204.91</v>
      </c>
    </row>
    <row r="411" spans="1:5" hidden="1" x14ac:dyDescent="0.3">
      <c r="A411">
        <v>2121</v>
      </c>
      <c r="B411">
        <v>2</v>
      </c>
      <c r="C411" t="s">
        <v>2940</v>
      </c>
      <c r="E411" s="20">
        <v>204.55</v>
      </c>
    </row>
    <row r="412" spans="1:5" hidden="1" x14ac:dyDescent="0.3">
      <c r="A412">
        <v>2123</v>
      </c>
      <c r="B412">
        <v>1</v>
      </c>
      <c r="C412" t="s">
        <v>2950</v>
      </c>
      <c r="E412" s="20">
        <v>4.1900000000000004</v>
      </c>
    </row>
    <row r="413" spans="1:5" hidden="1" x14ac:dyDescent="0.3">
      <c r="A413">
        <v>2123</v>
      </c>
      <c r="B413">
        <v>2</v>
      </c>
      <c r="C413" t="s">
        <v>2951</v>
      </c>
      <c r="E413" s="20">
        <v>4.17</v>
      </c>
    </row>
    <row r="414" spans="1:5" hidden="1" x14ac:dyDescent="0.3">
      <c r="A414">
        <v>2124</v>
      </c>
      <c r="B414">
        <v>1</v>
      </c>
      <c r="C414" t="s">
        <v>2954</v>
      </c>
      <c r="E414" s="20">
        <v>173.56</v>
      </c>
    </row>
    <row r="415" spans="1:5" hidden="1" x14ac:dyDescent="0.3">
      <c r="A415">
        <v>2124</v>
      </c>
      <c r="B415">
        <v>2</v>
      </c>
      <c r="C415" t="s">
        <v>2955</v>
      </c>
      <c r="E415" s="20">
        <v>173.05</v>
      </c>
    </row>
    <row r="416" spans="1:5" hidden="1" x14ac:dyDescent="0.3">
      <c r="A416">
        <v>2125</v>
      </c>
      <c r="B416">
        <v>1</v>
      </c>
      <c r="C416" t="s">
        <v>2958</v>
      </c>
      <c r="E416" s="20">
        <v>431.52</v>
      </c>
    </row>
    <row r="417" spans="1:5" hidden="1" x14ac:dyDescent="0.3">
      <c r="A417">
        <v>2125</v>
      </c>
      <c r="B417">
        <v>2</v>
      </c>
      <c r="C417" t="s">
        <v>2959</v>
      </c>
      <c r="E417" s="20">
        <v>429.73</v>
      </c>
    </row>
    <row r="418" spans="1:5" hidden="1" x14ac:dyDescent="0.3">
      <c r="A418">
        <v>2126</v>
      </c>
      <c r="B418">
        <v>1</v>
      </c>
      <c r="C418" t="s">
        <v>2962</v>
      </c>
      <c r="E418" s="20">
        <v>105.34</v>
      </c>
    </row>
    <row r="419" spans="1:5" hidden="1" x14ac:dyDescent="0.3">
      <c r="A419">
        <v>2126</v>
      </c>
      <c r="B419">
        <v>2</v>
      </c>
      <c r="C419" t="s">
        <v>2963</v>
      </c>
      <c r="E419" s="20">
        <v>104.32</v>
      </c>
    </row>
    <row r="420" spans="1:5" hidden="1" x14ac:dyDescent="0.3">
      <c r="A420">
        <v>2127</v>
      </c>
      <c r="B420">
        <v>1</v>
      </c>
      <c r="C420" t="s">
        <v>2967</v>
      </c>
      <c r="E420" s="20">
        <v>70.84</v>
      </c>
    </row>
    <row r="421" spans="1:5" hidden="1" x14ac:dyDescent="0.3">
      <c r="A421">
        <v>2127</v>
      </c>
      <c r="B421">
        <v>2</v>
      </c>
      <c r="C421" t="s">
        <v>2968</v>
      </c>
      <c r="E421" s="20">
        <v>69.81</v>
      </c>
    </row>
    <row r="422" spans="1:5" hidden="1" x14ac:dyDescent="0.3">
      <c r="A422">
        <v>2128</v>
      </c>
      <c r="B422">
        <v>1</v>
      </c>
      <c r="C422" t="s">
        <v>2971</v>
      </c>
      <c r="E422" s="20">
        <v>214.02</v>
      </c>
    </row>
    <row r="423" spans="1:5" hidden="1" x14ac:dyDescent="0.3">
      <c r="A423">
        <v>2128</v>
      </c>
      <c r="B423">
        <v>2</v>
      </c>
      <c r="C423" t="s">
        <v>2972</v>
      </c>
      <c r="E423" s="20">
        <v>213.57</v>
      </c>
    </row>
    <row r="424" spans="1:5" hidden="1" x14ac:dyDescent="0.3">
      <c r="A424">
        <v>2129</v>
      </c>
      <c r="B424">
        <v>1</v>
      </c>
      <c r="C424" t="s">
        <v>2976</v>
      </c>
      <c r="E424" s="20">
        <v>78.22</v>
      </c>
    </row>
    <row r="425" spans="1:5" hidden="1" x14ac:dyDescent="0.3">
      <c r="A425">
        <v>2129</v>
      </c>
      <c r="B425">
        <v>2</v>
      </c>
      <c r="C425" t="s">
        <v>2977</v>
      </c>
      <c r="E425" s="20">
        <v>76.06</v>
      </c>
    </row>
    <row r="426" spans="1:5" hidden="1" x14ac:dyDescent="0.3">
      <c r="A426">
        <v>2130</v>
      </c>
      <c r="B426">
        <v>1</v>
      </c>
      <c r="C426" t="s">
        <v>2980</v>
      </c>
      <c r="E426" s="20">
        <v>65.05</v>
      </c>
    </row>
    <row r="427" spans="1:5" hidden="1" x14ac:dyDescent="0.3">
      <c r="A427">
        <v>2130</v>
      </c>
      <c r="B427">
        <v>2</v>
      </c>
      <c r="C427" t="s">
        <v>2981</v>
      </c>
      <c r="E427" s="20">
        <v>64</v>
      </c>
    </row>
    <row r="428" spans="1:5" hidden="1" x14ac:dyDescent="0.3">
      <c r="A428">
        <v>2131</v>
      </c>
      <c r="B428">
        <v>1</v>
      </c>
      <c r="C428" t="s">
        <v>2985</v>
      </c>
      <c r="E428" s="20">
        <v>7.21</v>
      </c>
    </row>
    <row r="429" spans="1:5" hidden="1" x14ac:dyDescent="0.3">
      <c r="A429">
        <v>2131</v>
      </c>
      <c r="B429">
        <v>2</v>
      </c>
      <c r="C429" t="s">
        <v>2986</v>
      </c>
      <c r="E429" s="20">
        <v>7.18</v>
      </c>
    </row>
    <row r="430" spans="1:5" hidden="1" x14ac:dyDescent="0.3">
      <c r="A430">
        <v>2132</v>
      </c>
      <c r="B430">
        <v>1</v>
      </c>
      <c r="C430" t="s">
        <v>2989</v>
      </c>
      <c r="E430" s="20">
        <v>73.239999999999995</v>
      </c>
    </row>
    <row r="431" spans="1:5" hidden="1" x14ac:dyDescent="0.3">
      <c r="A431">
        <v>2132</v>
      </c>
      <c r="B431">
        <v>2</v>
      </c>
      <c r="C431" t="s">
        <v>2990</v>
      </c>
      <c r="E431" s="20">
        <v>71.430000000000007</v>
      </c>
    </row>
    <row r="432" spans="1:5" hidden="1" x14ac:dyDescent="0.3">
      <c r="A432">
        <v>2133</v>
      </c>
      <c r="B432">
        <v>1</v>
      </c>
      <c r="C432" t="s">
        <v>2993</v>
      </c>
      <c r="E432" s="20">
        <v>250.38</v>
      </c>
    </row>
    <row r="433" spans="1:5" hidden="1" x14ac:dyDescent="0.3">
      <c r="A433">
        <v>2133</v>
      </c>
      <c r="B433">
        <v>2</v>
      </c>
      <c r="C433" t="s">
        <v>2994</v>
      </c>
      <c r="E433" s="20">
        <v>249.33</v>
      </c>
    </row>
    <row r="434" spans="1:5" hidden="1" x14ac:dyDescent="0.3">
      <c r="A434">
        <v>2134</v>
      </c>
      <c r="B434">
        <v>1</v>
      </c>
      <c r="C434" t="s">
        <v>2997</v>
      </c>
      <c r="E434" s="20">
        <v>238.04</v>
      </c>
    </row>
    <row r="435" spans="1:5" hidden="1" x14ac:dyDescent="0.3">
      <c r="A435">
        <v>2134</v>
      </c>
      <c r="B435">
        <v>2</v>
      </c>
      <c r="C435" t="s">
        <v>2998</v>
      </c>
      <c r="E435" s="20">
        <v>233.66</v>
      </c>
    </row>
    <row r="436" spans="1:5" hidden="1" x14ac:dyDescent="0.3">
      <c r="A436">
        <v>2135</v>
      </c>
      <c r="B436">
        <v>1</v>
      </c>
      <c r="C436" t="s">
        <v>3001</v>
      </c>
      <c r="E436" s="20">
        <v>373.04</v>
      </c>
    </row>
    <row r="437" spans="1:5" hidden="1" x14ac:dyDescent="0.3">
      <c r="A437">
        <v>2135</v>
      </c>
      <c r="B437">
        <v>2</v>
      </c>
      <c r="C437" t="s">
        <v>3002</v>
      </c>
      <c r="E437" s="20">
        <v>371.07</v>
      </c>
    </row>
    <row r="438" spans="1:5" hidden="1" x14ac:dyDescent="0.3">
      <c r="A438">
        <v>2136</v>
      </c>
      <c r="B438">
        <v>1</v>
      </c>
      <c r="C438" t="s">
        <v>3005</v>
      </c>
      <c r="E438" s="20">
        <v>68</v>
      </c>
    </row>
    <row r="439" spans="1:5" hidden="1" x14ac:dyDescent="0.3">
      <c r="A439">
        <v>2136</v>
      </c>
      <c r="B439">
        <v>2</v>
      </c>
      <c r="C439" t="s">
        <v>3006</v>
      </c>
      <c r="E439" s="20">
        <v>67.430000000000007</v>
      </c>
    </row>
    <row r="440" spans="1:5" hidden="1" x14ac:dyDescent="0.3">
      <c r="A440">
        <v>2137</v>
      </c>
      <c r="B440">
        <v>1</v>
      </c>
      <c r="C440" t="s">
        <v>3010</v>
      </c>
      <c r="E440" s="20">
        <v>57.98</v>
      </c>
    </row>
    <row r="441" spans="1:5" hidden="1" x14ac:dyDescent="0.3">
      <c r="A441">
        <v>2137</v>
      </c>
      <c r="B441">
        <v>2</v>
      </c>
      <c r="C441" t="s">
        <v>3011</v>
      </c>
      <c r="E441" s="20">
        <v>56.48</v>
      </c>
    </row>
    <row r="442" spans="1:5" hidden="1" x14ac:dyDescent="0.3">
      <c r="A442">
        <v>2138</v>
      </c>
      <c r="B442">
        <v>1</v>
      </c>
      <c r="C442" t="s">
        <v>3014</v>
      </c>
      <c r="E442" s="20">
        <v>291.33</v>
      </c>
    </row>
    <row r="443" spans="1:5" hidden="1" x14ac:dyDescent="0.3">
      <c r="A443">
        <v>2138</v>
      </c>
      <c r="B443">
        <v>2</v>
      </c>
      <c r="C443" t="s">
        <v>3015</v>
      </c>
      <c r="E443" s="20">
        <v>290.38</v>
      </c>
    </row>
    <row r="444" spans="1:5" hidden="1" x14ac:dyDescent="0.3">
      <c r="A444">
        <v>2140</v>
      </c>
      <c r="B444">
        <v>1</v>
      </c>
      <c r="C444" t="s">
        <v>3021</v>
      </c>
      <c r="E444" s="20">
        <v>213</v>
      </c>
    </row>
    <row r="445" spans="1:5" hidden="1" x14ac:dyDescent="0.3">
      <c r="A445">
        <v>2140</v>
      </c>
      <c r="B445">
        <v>2</v>
      </c>
      <c r="C445" t="s">
        <v>3022</v>
      </c>
      <c r="E445" s="20">
        <v>211</v>
      </c>
    </row>
    <row r="446" spans="1:5" hidden="1" x14ac:dyDescent="0.3">
      <c r="A446">
        <v>2141</v>
      </c>
      <c r="B446">
        <v>1</v>
      </c>
      <c r="C446" t="s">
        <v>3025</v>
      </c>
      <c r="E446" s="20">
        <v>214.02</v>
      </c>
    </row>
    <row r="447" spans="1:5" hidden="1" x14ac:dyDescent="0.3">
      <c r="A447">
        <v>2141</v>
      </c>
      <c r="B447">
        <v>2</v>
      </c>
      <c r="C447" t="s">
        <v>3026</v>
      </c>
      <c r="E447" s="20">
        <v>213.57</v>
      </c>
    </row>
    <row r="448" spans="1:5" hidden="1" x14ac:dyDescent="0.3">
      <c r="A448">
        <v>2142</v>
      </c>
      <c r="B448">
        <v>1</v>
      </c>
      <c r="C448" t="s">
        <v>3029</v>
      </c>
      <c r="E448" s="20">
        <v>444.91</v>
      </c>
    </row>
    <row r="449" spans="1:5" hidden="1" x14ac:dyDescent="0.3">
      <c r="A449">
        <v>2142</v>
      </c>
      <c r="B449">
        <v>2</v>
      </c>
      <c r="C449" t="s">
        <v>3030</v>
      </c>
      <c r="E449" s="20">
        <v>443.04</v>
      </c>
    </row>
    <row r="450" spans="1:5" hidden="1" x14ac:dyDescent="0.3">
      <c r="A450">
        <v>2143</v>
      </c>
      <c r="B450">
        <v>1</v>
      </c>
      <c r="C450" t="s">
        <v>3034</v>
      </c>
      <c r="E450" s="20">
        <v>59.2</v>
      </c>
    </row>
    <row r="451" spans="1:5" hidden="1" x14ac:dyDescent="0.3">
      <c r="A451">
        <v>2143</v>
      </c>
      <c r="B451">
        <v>2</v>
      </c>
      <c r="C451" t="s">
        <v>3035</v>
      </c>
      <c r="E451" s="20">
        <v>58.7</v>
      </c>
    </row>
    <row r="452" spans="1:5" hidden="1" x14ac:dyDescent="0.3">
      <c r="A452">
        <v>2144</v>
      </c>
      <c r="B452">
        <v>1</v>
      </c>
      <c r="C452" t="s">
        <v>3039</v>
      </c>
      <c r="E452" s="20">
        <v>6.61</v>
      </c>
    </row>
    <row r="453" spans="1:5" hidden="1" x14ac:dyDescent="0.3">
      <c r="A453">
        <v>2144</v>
      </c>
      <c r="B453">
        <v>2</v>
      </c>
      <c r="C453" t="s">
        <v>3040</v>
      </c>
      <c r="E453" s="20">
        <v>6.58</v>
      </c>
    </row>
    <row r="454" spans="1:5" hidden="1" x14ac:dyDescent="0.3">
      <c r="A454">
        <v>2145</v>
      </c>
      <c r="B454">
        <v>1</v>
      </c>
      <c r="C454" t="s">
        <v>3044</v>
      </c>
      <c r="E454" s="20">
        <v>6.26</v>
      </c>
    </row>
    <row r="455" spans="1:5" hidden="1" x14ac:dyDescent="0.3">
      <c r="A455">
        <v>2145</v>
      </c>
      <c r="B455">
        <v>2</v>
      </c>
      <c r="C455" t="s">
        <v>3045</v>
      </c>
      <c r="E455" s="20">
        <v>6.25</v>
      </c>
    </row>
    <row r="456" spans="1:5" hidden="1" x14ac:dyDescent="0.3">
      <c r="A456">
        <v>2146</v>
      </c>
      <c r="B456">
        <v>1</v>
      </c>
      <c r="C456" t="s">
        <v>3048</v>
      </c>
      <c r="E456" s="20">
        <v>61.24</v>
      </c>
    </row>
    <row r="457" spans="1:5" hidden="1" x14ac:dyDescent="0.3">
      <c r="A457">
        <v>2146</v>
      </c>
      <c r="B457">
        <v>2</v>
      </c>
      <c r="C457" t="s">
        <v>3049</v>
      </c>
      <c r="E457" s="20">
        <v>60.76</v>
      </c>
    </row>
    <row r="458" spans="1:5" hidden="1" x14ac:dyDescent="0.3">
      <c r="A458">
        <v>2147</v>
      </c>
      <c r="B458">
        <v>1</v>
      </c>
      <c r="C458" t="s">
        <v>3052</v>
      </c>
      <c r="E458" s="20">
        <v>493.39</v>
      </c>
    </row>
    <row r="459" spans="1:5" hidden="1" x14ac:dyDescent="0.3">
      <c r="A459">
        <v>2147</v>
      </c>
      <c r="B459">
        <v>2</v>
      </c>
      <c r="C459" t="s">
        <v>3053</v>
      </c>
      <c r="E459" s="20">
        <v>490.36</v>
      </c>
    </row>
    <row r="460" spans="1:5" hidden="1" x14ac:dyDescent="0.3">
      <c r="A460">
        <v>2148</v>
      </c>
      <c r="B460">
        <v>1</v>
      </c>
      <c r="C460" t="s">
        <v>3056</v>
      </c>
      <c r="E460" s="20">
        <v>91.96</v>
      </c>
    </row>
    <row r="461" spans="1:5" hidden="1" x14ac:dyDescent="0.3">
      <c r="A461">
        <v>2148</v>
      </c>
      <c r="B461">
        <v>2</v>
      </c>
      <c r="C461" t="s">
        <v>3057</v>
      </c>
      <c r="E461" s="20">
        <v>90.18</v>
      </c>
    </row>
    <row r="462" spans="1:5" hidden="1" x14ac:dyDescent="0.3">
      <c r="A462">
        <v>2150</v>
      </c>
      <c r="B462">
        <v>1</v>
      </c>
      <c r="C462" t="s">
        <v>3063</v>
      </c>
      <c r="E462" s="20">
        <v>407.95</v>
      </c>
    </row>
    <row r="463" spans="1:5" hidden="1" x14ac:dyDescent="0.3">
      <c r="A463">
        <v>2150</v>
      </c>
      <c r="B463">
        <v>2</v>
      </c>
      <c r="C463" t="s">
        <v>3064</v>
      </c>
      <c r="E463" s="20">
        <v>405.98</v>
      </c>
    </row>
    <row r="464" spans="1:5" hidden="1" x14ac:dyDescent="0.3">
      <c r="A464">
        <v>2152</v>
      </c>
      <c r="B464">
        <v>1</v>
      </c>
      <c r="C464" t="s">
        <v>3069</v>
      </c>
      <c r="E464" s="20">
        <v>52</v>
      </c>
    </row>
    <row r="465" spans="1:5" hidden="1" x14ac:dyDescent="0.3">
      <c r="A465">
        <v>2152</v>
      </c>
      <c r="B465">
        <v>2</v>
      </c>
      <c r="C465" t="s">
        <v>3070</v>
      </c>
      <c r="E465" s="20">
        <v>50.57</v>
      </c>
    </row>
    <row r="466" spans="1:5" hidden="1" x14ac:dyDescent="0.3">
      <c r="A466">
        <v>2153</v>
      </c>
      <c r="B466">
        <v>1</v>
      </c>
      <c r="C466" t="s">
        <v>3073</v>
      </c>
      <c r="E466" s="20">
        <v>87.05</v>
      </c>
    </row>
    <row r="467" spans="1:5" hidden="1" x14ac:dyDescent="0.3">
      <c r="A467">
        <v>2153</v>
      </c>
      <c r="B467">
        <v>2</v>
      </c>
      <c r="C467" t="s">
        <v>3074</v>
      </c>
      <c r="E467" s="20">
        <v>85.05</v>
      </c>
    </row>
    <row r="468" spans="1:5" hidden="1" x14ac:dyDescent="0.3">
      <c r="A468">
        <v>2154</v>
      </c>
      <c r="B468">
        <v>1</v>
      </c>
      <c r="C468" t="s">
        <v>3077</v>
      </c>
      <c r="E468" s="20">
        <v>424.2</v>
      </c>
    </row>
    <row r="469" spans="1:5" hidden="1" x14ac:dyDescent="0.3">
      <c r="A469">
        <v>2154</v>
      </c>
      <c r="B469">
        <v>2</v>
      </c>
      <c r="C469" t="s">
        <v>3078</v>
      </c>
      <c r="E469" s="20">
        <v>420.18</v>
      </c>
    </row>
    <row r="470" spans="1:5" hidden="1" x14ac:dyDescent="0.3">
      <c r="A470">
        <v>2155</v>
      </c>
      <c r="B470">
        <v>1</v>
      </c>
      <c r="C470" t="s">
        <v>3082</v>
      </c>
      <c r="E470" s="20">
        <v>12.32</v>
      </c>
    </row>
    <row r="471" spans="1:5" hidden="1" x14ac:dyDescent="0.3">
      <c r="A471">
        <v>2155</v>
      </c>
      <c r="B471">
        <v>2</v>
      </c>
      <c r="C471" t="s">
        <v>3083</v>
      </c>
      <c r="E471" s="20">
        <v>12.02</v>
      </c>
    </row>
    <row r="472" spans="1:5" hidden="1" x14ac:dyDescent="0.3">
      <c r="A472">
        <v>2156</v>
      </c>
      <c r="B472">
        <v>1</v>
      </c>
      <c r="C472" t="s">
        <v>3086</v>
      </c>
      <c r="E472" s="20">
        <v>518.48</v>
      </c>
    </row>
    <row r="473" spans="1:5" hidden="1" x14ac:dyDescent="0.3">
      <c r="A473">
        <v>2156</v>
      </c>
      <c r="B473">
        <v>2</v>
      </c>
      <c r="C473" t="s">
        <v>3087</v>
      </c>
      <c r="E473" s="20">
        <v>517.5</v>
      </c>
    </row>
    <row r="474" spans="1:5" hidden="1" x14ac:dyDescent="0.3">
      <c r="A474">
        <v>2157</v>
      </c>
      <c r="B474">
        <v>1</v>
      </c>
      <c r="C474" t="s">
        <v>3090</v>
      </c>
      <c r="E474" s="20">
        <v>355.05</v>
      </c>
    </row>
    <row r="475" spans="1:5" hidden="1" x14ac:dyDescent="0.3">
      <c r="A475">
        <v>2157</v>
      </c>
      <c r="B475">
        <v>2</v>
      </c>
      <c r="C475" t="s">
        <v>3091</v>
      </c>
      <c r="E475" s="20">
        <v>352</v>
      </c>
    </row>
    <row r="476" spans="1:5" hidden="1" x14ac:dyDescent="0.3">
      <c r="A476">
        <v>2158</v>
      </c>
      <c r="B476">
        <v>1</v>
      </c>
      <c r="C476" t="s">
        <v>3094</v>
      </c>
      <c r="E476" s="20">
        <v>203.05</v>
      </c>
    </row>
    <row r="477" spans="1:5" hidden="1" x14ac:dyDescent="0.3">
      <c r="A477">
        <v>2158</v>
      </c>
      <c r="B477">
        <v>2</v>
      </c>
      <c r="C477" t="s">
        <v>3095</v>
      </c>
      <c r="E477" s="20">
        <v>201.05</v>
      </c>
    </row>
    <row r="478" spans="1:5" hidden="1" x14ac:dyDescent="0.3">
      <c r="A478">
        <v>2159</v>
      </c>
      <c r="B478">
        <v>1</v>
      </c>
      <c r="C478" t="s">
        <v>3098</v>
      </c>
      <c r="E478" s="20">
        <v>102.5</v>
      </c>
    </row>
    <row r="479" spans="1:5" hidden="1" x14ac:dyDescent="0.3">
      <c r="A479">
        <v>2159</v>
      </c>
      <c r="B479">
        <v>2</v>
      </c>
      <c r="C479" t="s">
        <v>3099</v>
      </c>
      <c r="E479" s="20">
        <v>102.05</v>
      </c>
    </row>
    <row r="480" spans="1:5" hidden="1" x14ac:dyDescent="0.3">
      <c r="A480">
        <v>2161</v>
      </c>
      <c r="B480">
        <v>1</v>
      </c>
      <c r="C480" t="s">
        <v>3105</v>
      </c>
      <c r="E480" s="20">
        <v>487.5</v>
      </c>
    </row>
    <row r="481" spans="1:5" hidden="1" x14ac:dyDescent="0.3">
      <c r="A481">
        <v>2161</v>
      </c>
      <c r="B481">
        <v>2</v>
      </c>
      <c r="C481" t="s">
        <v>3106</v>
      </c>
      <c r="E481" s="20">
        <v>487.05</v>
      </c>
    </row>
    <row r="482" spans="1:5" hidden="1" x14ac:dyDescent="0.3">
      <c r="A482">
        <v>2162</v>
      </c>
      <c r="B482">
        <v>1</v>
      </c>
      <c r="C482" t="s">
        <v>3109</v>
      </c>
      <c r="E482" s="20">
        <v>189</v>
      </c>
    </row>
    <row r="483" spans="1:5" hidden="1" x14ac:dyDescent="0.3">
      <c r="A483">
        <v>2162</v>
      </c>
      <c r="B483">
        <v>2</v>
      </c>
      <c r="C483" t="s">
        <v>3110</v>
      </c>
      <c r="E483" s="20">
        <v>187</v>
      </c>
    </row>
    <row r="484" spans="1:5" hidden="1" x14ac:dyDescent="0.3">
      <c r="A484">
        <v>2164</v>
      </c>
      <c r="B484">
        <v>1</v>
      </c>
      <c r="C484" t="s">
        <v>3116</v>
      </c>
      <c r="E484" s="20">
        <v>59.6</v>
      </c>
    </row>
    <row r="485" spans="1:5" hidden="1" x14ac:dyDescent="0.3">
      <c r="A485">
        <v>2164</v>
      </c>
      <c r="B485">
        <v>2</v>
      </c>
      <c r="C485" t="s">
        <v>3117</v>
      </c>
      <c r="E485" s="20">
        <v>58.1</v>
      </c>
    </row>
    <row r="486" spans="1:5" hidden="1" x14ac:dyDescent="0.3">
      <c r="A486">
        <v>2165</v>
      </c>
      <c r="B486">
        <v>1</v>
      </c>
      <c r="C486" t="s">
        <v>3120</v>
      </c>
      <c r="E486" s="20">
        <v>462.05</v>
      </c>
    </row>
    <row r="487" spans="1:5" hidden="1" x14ac:dyDescent="0.3">
      <c r="A487">
        <v>2165</v>
      </c>
      <c r="B487">
        <v>2</v>
      </c>
      <c r="C487" t="s">
        <v>3121</v>
      </c>
      <c r="E487" s="20">
        <v>461.07</v>
      </c>
    </row>
    <row r="488" spans="1:5" hidden="1" x14ac:dyDescent="0.3">
      <c r="A488">
        <v>2166</v>
      </c>
      <c r="B488">
        <v>1</v>
      </c>
      <c r="C488" t="s">
        <v>3124</v>
      </c>
      <c r="E488" s="20">
        <v>408.04</v>
      </c>
    </row>
    <row r="489" spans="1:5" hidden="1" x14ac:dyDescent="0.3">
      <c r="A489">
        <v>2166</v>
      </c>
      <c r="B489">
        <v>2</v>
      </c>
      <c r="C489" t="s">
        <v>3125</v>
      </c>
      <c r="E489" s="20">
        <v>406.07</v>
      </c>
    </row>
    <row r="490" spans="1:5" hidden="1" x14ac:dyDescent="0.3">
      <c r="A490">
        <v>2167</v>
      </c>
      <c r="B490">
        <v>1</v>
      </c>
      <c r="C490" t="s">
        <v>3128</v>
      </c>
      <c r="E490" s="20">
        <v>441.07</v>
      </c>
    </row>
    <row r="491" spans="1:5" hidden="1" x14ac:dyDescent="0.3">
      <c r="A491">
        <v>2167</v>
      </c>
      <c r="B491">
        <v>2</v>
      </c>
      <c r="C491" t="s">
        <v>3129</v>
      </c>
      <c r="E491" s="20">
        <v>439.02</v>
      </c>
    </row>
    <row r="492" spans="1:5" hidden="1" x14ac:dyDescent="0.3">
      <c r="A492">
        <v>2168</v>
      </c>
      <c r="B492">
        <v>1</v>
      </c>
      <c r="C492" t="s">
        <v>3133</v>
      </c>
      <c r="E492" s="20">
        <v>84.68</v>
      </c>
    </row>
    <row r="493" spans="1:5" hidden="1" x14ac:dyDescent="0.3">
      <c r="A493">
        <v>2168</v>
      </c>
      <c r="B493">
        <v>2</v>
      </c>
      <c r="C493" t="s">
        <v>3134</v>
      </c>
      <c r="E493" s="20">
        <v>82.5</v>
      </c>
    </row>
    <row r="494" spans="1:5" hidden="1" x14ac:dyDescent="0.3">
      <c r="A494">
        <v>2169</v>
      </c>
      <c r="B494">
        <v>1</v>
      </c>
      <c r="C494" t="s">
        <v>3137</v>
      </c>
      <c r="E494" s="20">
        <v>320</v>
      </c>
    </row>
    <row r="495" spans="1:5" hidden="1" x14ac:dyDescent="0.3">
      <c r="A495">
        <v>2170</v>
      </c>
      <c r="B495">
        <v>1</v>
      </c>
      <c r="C495" t="s">
        <v>3141</v>
      </c>
      <c r="E495" s="20">
        <v>5.81</v>
      </c>
    </row>
    <row r="496" spans="1:5" hidden="1" x14ac:dyDescent="0.3">
      <c r="A496">
        <v>2170</v>
      </c>
      <c r="B496">
        <v>2</v>
      </c>
      <c r="C496" t="s">
        <v>3142</v>
      </c>
      <c r="E496" s="20">
        <v>5.8</v>
      </c>
    </row>
    <row r="497" spans="1:5" hidden="1" x14ac:dyDescent="0.3">
      <c r="A497">
        <v>2171</v>
      </c>
      <c r="B497">
        <v>1</v>
      </c>
      <c r="C497" t="s">
        <v>3145</v>
      </c>
      <c r="E497" s="20">
        <v>64.099999999999994</v>
      </c>
    </row>
    <row r="498" spans="1:5" hidden="1" x14ac:dyDescent="0.3">
      <c r="A498">
        <v>2171</v>
      </c>
      <c r="B498">
        <v>2</v>
      </c>
      <c r="C498" t="s">
        <v>3146</v>
      </c>
      <c r="E498" s="20">
        <v>63.05</v>
      </c>
    </row>
    <row r="499" spans="1:5" hidden="1" x14ac:dyDescent="0.3">
      <c r="A499">
        <v>2172</v>
      </c>
      <c r="B499">
        <v>1</v>
      </c>
      <c r="C499" t="s">
        <v>3149</v>
      </c>
      <c r="E499" s="20">
        <v>131.05000000000001</v>
      </c>
    </row>
    <row r="500" spans="1:5" hidden="1" x14ac:dyDescent="0.3">
      <c r="A500">
        <v>2172</v>
      </c>
      <c r="B500">
        <v>2</v>
      </c>
      <c r="C500" t="s">
        <v>3150</v>
      </c>
      <c r="E500" s="20">
        <v>129.05000000000001</v>
      </c>
    </row>
    <row r="501" spans="1:5" hidden="1" x14ac:dyDescent="0.3">
      <c r="A501">
        <v>2173</v>
      </c>
      <c r="B501">
        <v>1</v>
      </c>
      <c r="C501" t="s">
        <v>3153</v>
      </c>
      <c r="E501" s="20">
        <v>256.52</v>
      </c>
    </row>
    <row r="502" spans="1:5" hidden="1" x14ac:dyDescent="0.3">
      <c r="A502">
        <v>2173</v>
      </c>
      <c r="B502">
        <v>2</v>
      </c>
      <c r="C502" t="s">
        <v>3154</v>
      </c>
      <c r="E502" s="20">
        <v>255.54</v>
      </c>
    </row>
    <row r="503" spans="1:5" hidden="1" x14ac:dyDescent="0.3">
      <c r="A503">
        <v>2174</v>
      </c>
      <c r="B503">
        <v>1</v>
      </c>
      <c r="C503" t="s">
        <v>3157</v>
      </c>
      <c r="E503" s="20">
        <v>155.27000000000001</v>
      </c>
    </row>
    <row r="504" spans="1:5" hidden="1" x14ac:dyDescent="0.3">
      <c r="A504">
        <v>2174</v>
      </c>
      <c r="B504">
        <v>2</v>
      </c>
      <c r="C504" t="s">
        <v>3158</v>
      </c>
      <c r="E504" s="20">
        <v>154.82</v>
      </c>
    </row>
    <row r="505" spans="1:5" hidden="1" x14ac:dyDescent="0.3">
      <c r="A505">
        <v>2175</v>
      </c>
      <c r="B505">
        <v>1</v>
      </c>
      <c r="C505" t="s">
        <v>3161</v>
      </c>
      <c r="E505" s="20">
        <v>234.55</v>
      </c>
    </row>
    <row r="506" spans="1:5" hidden="1" x14ac:dyDescent="0.3">
      <c r="A506">
        <v>2175</v>
      </c>
      <c r="B506">
        <v>2</v>
      </c>
      <c r="C506" t="s">
        <v>3162</v>
      </c>
      <c r="E506" s="20">
        <v>233.57</v>
      </c>
    </row>
    <row r="507" spans="1:5" hidden="1" x14ac:dyDescent="0.3">
      <c r="A507">
        <v>2176</v>
      </c>
      <c r="B507">
        <v>1</v>
      </c>
      <c r="C507" t="s">
        <v>3166</v>
      </c>
      <c r="E507" s="20">
        <v>5.55</v>
      </c>
    </row>
    <row r="508" spans="1:5" hidden="1" x14ac:dyDescent="0.3">
      <c r="A508">
        <v>2176</v>
      </c>
      <c r="B508">
        <v>2</v>
      </c>
      <c r="C508" t="s">
        <v>3167</v>
      </c>
      <c r="E508" s="20">
        <v>5.52</v>
      </c>
    </row>
    <row r="509" spans="1:5" hidden="1" x14ac:dyDescent="0.3">
      <c r="A509">
        <v>2177</v>
      </c>
      <c r="B509">
        <v>1</v>
      </c>
      <c r="C509" t="s">
        <v>3171</v>
      </c>
      <c r="E509" s="20">
        <v>342.01</v>
      </c>
    </row>
    <row r="510" spans="1:5" hidden="1" x14ac:dyDescent="0.3">
      <c r="A510">
        <v>2177</v>
      </c>
      <c r="B510">
        <v>2</v>
      </c>
      <c r="C510" t="s">
        <v>3172</v>
      </c>
      <c r="E510" s="20">
        <v>339.02</v>
      </c>
    </row>
    <row r="511" spans="1:5" hidden="1" x14ac:dyDescent="0.3">
      <c r="A511">
        <v>2178</v>
      </c>
      <c r="B511">
        <v>1</v>
      </c>
      <c r="C511" t="s">
        <v>3176</v>
      </c>
      <c r="E511" s="20">
        <v>393.04</v>
      </c>
    </row>
    <row r="512" spans="1:5" hidden="1" x14ac:dyDescent="0.3">
      <c r="A512">
        <v>2178</v>
      </c>
      <c r="B512">
        <v>2</v>
      </c>
      <c r="C512" t="s">
        <v>3177</v>
      </c>
      <c r="E512" s="20">
        <v>391.03</v>
      </c>
    </row>
    <row r="513" spans="1:5" hidden="1" x14ac:dyDescent="0.3">
      <c r="A513">
        <v>2179</v>
      </c>
      <c r="B513">
        <v>1</v>
      </c>
      <c r="C513" t="s">
        <v>3180</v>
      </c>
      <c r="E513" s="20">
        <v>378.04</v>
      </c>
    </row>
    <row r="514" spans="1:5" hidden="1" x14ac:dyDescent="0.3">
      <c r="A514">
        <v>2179</v>
      </c>
      <c r="B514">
        <v>2</v>
      </c>
      <c r="C514" t="s">
        <v>3181</v>
      </c>
      <c r="E514" s="20">
        <v>376.07</v>
      </c>
    </row>
    <row r="515" spans="1:5" hidden="1" x14ac:dyDescent="0.3">
      <c r="A515">
        <v>2180</v>
      </c>
      <c r="B515">
        <v>1</v>
      </c>
      <c r="C515" t="s">
        <v>3184</v>
      </c>
      <c r="E515" s="20">
        <v>292.05</v>
      </c>
    </row>
    <row r="516" spans="1:5" hidden="1" x14ac:dyDescent="0.3">
      <c r="A516">
        <v>2180</v>
      </c>
      <c r="B516">
        <v>2</v>
      </c>
      <c r="C516" t="s">
        <v>3185</v>
      </c>
      <c r="E516" s="20">
        <v>290</v>
      </c>
    </row>
    <row r="517" spans="1:5" hidden="1" x14ac:dyDescent="0.3">
      <c r="A517">
        <v>2181</v>
      </c>
      <c r="B517">
        <v>1</v>
      </c>
      <c r="C517" t="s">
        <v>3189</v>
      </c>
      <c r="E517" s="20">
        <v>398.04</v>
      </c>
    </row>
    <row r="518" spans="1:5" hidden="1" x14ac:dyDescent="0.3">
      <c r="A518">
        <v>2181</v>
      </c>
      <c r="B518">
        <v>2</v>
      </c>
      <c r="C518" t="s">
        <v>3190</v>
      </c>
      <c r="E518" s="20">
        <v>396.03</v>
      </c>
    </row>
    <row r="519" spans="1:5" hidden="1" x14ac:dyDescent="0.3">
      <c r="A519">
        <v>2182</v>
      </c>
      <c r="B519">
        <v>1</v>
      </c>
      <c r="C519" t="s">
        <v>3193</v>
      </c>
      <c r="E519" s="20">
        <v>115.62</v>
      </c>
    </row>
    <row r="520" spans="1:5" hidden="1" x14ac:dyDescent="0.3">
      <c r="A520">
        <v>2182</v>
      </c>
      <c r="B520">
        <v>2</v>
      </c>
      <c r="C520" t="s">
        <v>3194</v>
      </c>
      <c r="E520" s="20">
        <v>115.27</v>
      </c>
    </row>
    <row r="521" spans="1:5" hidden="1" x14ac:dyDescent="0.3">
      <c r="A521">
        <v>2183</v>
      </c>
      <c r="B521">
        <v>1</v>
      </c>
      <c r="C521" t="s">
        <v>3197</v>
      </c>
      <c r="E521" s="20">
        <v>404.29</v>
      </c>
    </row>
    <row r="522" spans="1:5" hidden="1" x14ac:dyDescent="0.3">
      <c r="A522">
        <v>2183</v>
      </c>
      <c r="B522">
        <v>2</v>
      </c>
      <c r="C522" t="s">
        <v>3198</v>
      </c>
      <c r="E522" s="20">
        <v>402.32</v>
      </c>
    </row>
    <row r="523" spans="1:5" hidden="1" x14ac:dyDescent="0.3">
      <c r="A523">
        <v>2184</v>
      </c>
      <c r="B523">
        <v>1</v>
      </c>
      <c r="C523" t="s">
        <v>3201</v>
      </c>
      <c r="E523" s="20">
        <v>429.02</v>
      </c>
    </row>
    <row r="524" spans="1:5" hidden="1" x14ac:dyDescent="0.3">
      <c r="A524">
        <v>2185</v>
      </c>
      <c r="B524">
        <v>2</v>
      </c>
      <c r="C524" t="s">
        <v>3204</v>
      </c>
      <c r="E524" s="20">
        <v>280.27</v>
      </c>
    </row>
    <row r="525" spans="1:5" hidden="1" x14ac:dyDescent="0.3">
      <c r="A525">
        <v>2185</v>
      </c>
      <c r="B525">
        <v>1</v>
      </c>
      <c r="C525" t="s">
        <v>3205</v>
      </c>
      <c r="E525" s="20">
        <v>278.04000000000002</v>
      </c>
    </row>
    <row r="526" spans="1:5" hidden="1" x14ac:dyDescent="0.3">
      <c r="A526">
        <v>2186</v>
      </c>
      <c r="B526">
        <v>2</v>
      </c>
      <c r="C526" t="s">
        <v>3208</v>
      </c>
      <c r="E526" s="20">
        <v>525.45000000000005</v>
      </c>
    </row>
    <row r="527" spans="1:5" hidden="1" x14ac:dyDescent="0.3">
      <c r="A527">
        <v>2187</v>
      </c>
      <c r="B527">
        <v>1</v>
      </c>
      <c r="C527" t="s">
        <v>3211</v>
      </c>
      <c r="E527" s="20">
        <v>238.04</v>
      </c>
    </row>
    <row r="528" spans="1:5" hidden="1" x14ac:dyDescent="0.3">
      <c r="A528">
        <v>2187</v>
      </c>
      <c r="B528">
        <v>2</v>
      </c>
      <c r="C528" t="s">
        <v>3212</v>
      </c>
      <c r="E528" s="20">
        <v>236.96</v>
      </c>
    </row>
    <row r="529" spans="1:5" hidden="1" x14ac:dyDescent="0.3">
      <c r="A529">
        <v>2188</v>
      </c>
      <c r="B529">
        <v>1</v>
      </c>
      <c r="C529" t="s">
        <v>3215</v>
      </c>
      <c r="E529" s="20">
        <v>263.47000000000003</v>
      </c>
    </row>
    <row r="530" spans="1:5" hidden="1" x14ac:dyDescent="0.3">
      <c r="A530">
        <v>2188</v>
      </c>
      <c r="B530">
        <v>2</v>
      </c>
      <c r="C530" t="s">
        <v>3216</v>
      </c>
      <c r="E530" s="20">
        <v>263.05</v>
      </c>
    </row>
    <row r="531" spans="1:5" hidden="1" x14ac:dyDescent="0.3">
      <c r="A531">
        <v>2189</v>
      </c>
      <c r="B531">
        <v>1</v>
      </c>
      <c r="C531" t="s">
        <v>3219</v>
      </c>
      <c r="E531" s="20">
        <v>191.96</v>
      </c>
    </row>
    <row r="532" spans="1:5" hidden="1" x14ac:dyDescent="0.3">
      <c r="A532">
        <v>2189</v>
      </c>
      <c r="B532">
        <v>2</v>
      </c>
      <c r="C532" t="s">
        <v>3220</v>
      </c>
      <c r="E532" s="20">
        <v>190.98</v>
      </c>
    </row>
    <row r="533" spans="1:5" hidden="1" x14ac:dyDescent="0.3">
      <c r="A533">
        <v>2190</v>
      </c>
      <c r="B533">
        <v>1</v>
      </c>
      <c r="C533" t="s">
        <v>3223</v>
      </c>
      <c r="E533" s="20">
        <v>458.04</v>
      </c>
    </row>
    <row r="534" spans="1:5" hidden="1" x14ac:dyDescent="0.3">
      <c r="A534">
        <v>2190</v>
      </c>
      <c r="B534">
        <v>2</v>
      </c>
      <c r="C534" t="s">
        <v>3224</v>
      </c>
      <c r="E534" s="20">
        <v>456.07</v>
      </c>
    </row>
    <row r="535" spans="1:5" hidden="1" x14ac:dyDescent="0.3">
      <c r="A535">
        <v>2191</v>
      </c>
      <c r="B535">
        <v>1</v>
      </c>
      <c r="C535" t="s">
        <v>3227</v>
      </c>
      <c r="E535" s="20">
        <v>465</v>
      </c>
    </row>
    <row r="536" spans="1:5" hidden="1" x14ac:dyDescent="0.3">
      <c r="A536">
        <v>2191</v>
      </c>
      <c r="B536">
        <v>2</v>
      </c>
      <c r="C536" t="s">
        <v>3228</v>
      </c>
      <c r="E536" s="20">
        <v>463.04</v>
      </c>
    </row>
    <row r="537" spans="1:5" hidden="1" x14ac:dyDescent="0.3">
      <c r="A537">
        <v>2192</v>
      </c>
      <c r="B537">
        <v>1</v>
      </c>
      <c r="C537" t="s">
        <v>3232</v>
      </c>
      <c r="E537" s="20">
        <v>416.52</v>
      </c>
    </row>
    <row r="538" spans="1:5" hidden="1" x14ac:dyDescent="0.3">
      <c r="A538">
        <v>2192</v>
      </c>
      <c r="B538">
        <v>2</v>
      </c>
      <c r="C538" t="s">
        <v>3233</v>
      </c>
      <c r="E538" s="20">
        <v>414.51</v>
      </c>
    </row>
    <row r="539" spans="1:5" hidden="1" x14ac:dyDescent="0.3">
      <c r="A539">
        <v>2193</v>
      </c>
      <c r="B539">
        <v>1</v>
      </c>
      <c r="C539" t="s">
        <v>3237</v>
      </c>
      <c r="E539" s="20">
        <v>378.04</v>
      </c>
    </row>
    <row r="540" spans="1:5" hidden="1" x14ac:dyDescent="0.3">
      <c r="A540">
        <v>2193</v>
      </c>
      <c r="B540">
        <v>2</v>
      </c>
      <c r="C540" t="s">
        <v>3238</v>
      </c>
      <c r="E540" s="20">
        <v>377.01</v>
      </c>
    </row>
    <row r="541" spans="1:5" hidden="1" x14ac:dyDescent="0.3">
      <c r="A541">
        <v>2195</v>
      </c>
      <c r="B541">
        <v>1</v>
      </c>
      <c r="C541" t="s">
        <v>3243</v>
      </c>
      <c r="E541" s="20">
        <v>257.05</v>
      </c>
    </row>
    <row r="542" spans="1:5" hidden="1" x14ac:dyDescent="0.3">
      <c r="A542">
        <v>2195</v>
      </c>
      <c r="B542">
        <v>2</v>
      </c>
      <c r="C542" t="s">
        <v>3244</v>
      </c>
      <c r="E542" s="20">
        <v>256.25</v>
      </c>
    </row>
    <row r="543" spans="1:5" hidden="1" x14ac:dyDescent="0.3">
      <c r="A543">
        <v>2196</v>
      </c>
      <c r="B543">
        <v>1</v>
      </c>
      <c r="C543" t="s">
        <v>3247</v>
      </c>
      <c r="E543" s="20">
        <v>367.05</v>
      </c>
    </row>
    <row r="544" spans="1:5" hidden="1" x14ac:dyDescent="0.3">
      <c r="A544">
        <v>2196</v>
      </c>
      <c r="B544">
        <v>2</v>
      </c>
      <c r="C544" t="s">
        <v>3248</v>
      </c>
      <c r="E544" s="20">
        <v>364.02</v>
      </c>
    </row>
    <row r="545" spans="1:5" hidden="1" x14ac:dyDescent="0.3">
      <c r="A545">
        <v>2198</v>
      </c>
      <c r="B545">
        <v>1</v>
      </c>
      <c r="C545" t="s">
        <v>3254</v>
      </c>
      <c r="E545" s="20">
        <v>95.76</v>
      </c>
    </row>
    <row r="546" spans="1:5" hidden="1" x14ac:dyDescent="0.3">
      <c r="A546">
        <v>2198</v>
      </c>
      <c r="B546">
        <v>2</v>
      </c>
      <c r="C546" t="s">
        <v>3255</v>
      </c>
      <c r="E546" s="20">
        <v>95.21</v>
      </c>
    </row>
    <row r="547" spans="1:5" hidden="1" x14ac:dyDescent="0.3">
      <c r="A547">
        <v>2199</v>
      </c>
      <c r="B547">
        <v>1</v>
      </c>
      <c r="C547" t="s">
        <v>3258</v>
      </c>
      <c r="E547" s="20">
        <v>413.04</v>
      </c>
    </row>
    <row r="548" spans="1:5" hidden="1" x14ac:dyDescent="0.3">
      <c r="A548">
        <v>2199</v>
      </c>
      <c r="B548">
        <v>2</v>
      </c>
      <c r="C548" t="s">
        <v>3259</v>
      </c>
      <c r="E548" s="20">
        <v>411.07</v>
      </c>
    </row>
    <row r="549" spans="1:5" hidden="1" x14ac:dyDescent="0.3">
      <c r="A549">
        <v>2200</v>
      </c>
      <c r="B549">
        <v>1</v>
      </c>
      <c r="C549" t="s">
        <v>3262</v>
      </c>
      <c r="E549" s="20">
        <v>313.04000000000002</v>
      </c>
    </row>
    <row r="550" spans="1:5" hidden="1" x14ac:dyDescent="0.3">
      <c r="A550">
        <v>2200</v>
      </c>
      <c r="B550">
        <v>2</v>
      </c>
      <c r="C550" t="s">
        <v>3263</v>
      </c>
      <c r="E550" s="20">
        <v>311.07</v>
      </c>
    </row>
    <row r="551" spans="1:5" hidden="1" x14ac:dyDescent="0.3">
      <c r="A551">
        <v>2201</v>
      </c>
      <c r="B551">
        <v>1</v>
      </c>
      <c r="C551" t="s">
        <v>3262</v>
      </c>
      <c r="E551" s="20">
        <v>313.04000000000002</v>
      </c>
    </row>
    <row r="552" spans="1:5" hidden="1" x14ac:dyDescent="0.3">
      <c r="A552">
        <v>2201</v>
      </c>
      <c r="B552">
        <v>2</v>
      </c>
      <c r="C552" t="s">
        <v>3263</v>
      </c>
      <c r="E552" s="20">
        <v>311.07</v>
      </c>
    </row>
    <row r="553" spans="1:5" hidden="1" x14ac:dyDescent="0.3">
      <c r="A553">
        <v>2202</v>
      </c>
      <c r="B553">
        <v>1</v>
      </c>
      <c r="C553" t="s">
        <v>3266</v>
      </c>
      <c r="E553" s="20">
        <v>205.45</v>
      </c>
    </row>
    <row r="554" spans="1:5" hidden="1" x14ac:dyDescent="0.3">
      <c r="A554">
        <v>2202</v>
      </c>
      <c r="B554">
        <v>2</v>
      </c>
      <c r="C554" t="s">
        <v>3267</v>
      </c>
      <c r="E554" s="20">
        <v>204.46</v>
      </c>
    </row>
    <row r="555" spans="1:5" hidden="1" x14ac:dyDescent="0.3">
      <c r="A555">
        <v>2203</v>
      </c>
      <c r="B555">
        <v>1</v>
      </c>
      <c r="C555" t="s">
        <v>3271</v>
      </c>
      <c r="E555" s="20">
        <v>404.02</v>
      </c>
    </row>
    <row r="556" spans="1:5" hidden="1" x14ac:dyDescent="0.3">
      <c r="A556">
        <v>2203</v>
      </c>
      <c r="B556">
        <v>2</v>
      </c>
      <c r="C556" t="s">
        <v>3272</v>
      </c>
      <c r="E556" s="20">
        <v>402.01</v>
      </c>
    </row>
    <row r="557" spans="1:5" hidden="1" x14ac:dyDescent="0.3">
      <c r="A557">
        <v>2204</v>
      </c>
      <c r="B557">
        <v>1</v>
      </c>
      <c r="C557" t="s">
        <v>3275</v>
      </c>
      <c r="E557" s="20">
        <v>219.37</v>
      </c>
    </row>
    <row r="558" spans="1:5" hidden="1" x14ac:dyDescent="0.3">
      <c r="A558">
        <v>2204</v>
      </c>
      <c r="B558">
        <v>2</v>
      </c>
      <c r="C558" t="s">
        <v>3276</v>
      </c>
      <c r="E558" s="20">
        <v>217.86</v>
      </c>
    </row>
    <row r="559" spans="1:5" hidden="1" x14ac:dyDescent="0.3">
      <c r="A559">
        <v>2205</v>
      </c>
      <c r="B559">
        <v>1</v>
      </c>
      <c r="C559" t="s">
        <v>3280</v>
      </c>
      <c r="E559" s="20">
        <v>102.01</v>
      </c>
    </row>
    <row r="560" spans="1:5" hidden="1" x14ac:dyDescent="0.3">
      <c r="A560">
        <v>2205</v>
      </c>
      <c r="B560">
        <v>2</v>
      </c>
      <c r="C560" t="s">
        <v>3281</v>
      </c>
      <c r="E560" s="20">
        <v>99.85</v>
      </c>
    </row>
    <row r="561" spans="1:5" hidden="1" x14ac:dyDescent="0.3">
      <c r="A561">
        <v>2207</v>
      </c>
      <c r="B561">
        <v>1</v>
      </c>
      <c r="C561" t="s">
        <v>3286</v>
      </c>
      <c r="E561" s="20">
        <v>213.93</v>
      </c>
    </row>
    <row r="562" spans="1:5" hidden="1" x14ac:dyDescent="0.3">
      <c r="A562">
        <v>2207</v>
      </c>
      <c r="B562">
        <v>2</v>
      </c>
      <c r="C562" t="s">
        <v>3287</v>
      </c>
      <c r="E562" s="20">
        <v>212.95</v>
      </c>
    </row>
    <row r="563" spans="1:5" hidden="1" x14ac:dyDescent="0.3">
      <c r="A563">
        <v>2208</v>
      </c>
      <c r="B563">
        <v>1</v>
      </c>
      <c r="C563" t="s">
        <v>3291</v>
      </c>
      <c r="E563" s="20">
        <v>84.32</v>
      </c>
    </row>
    <row r="564" spans="1:5" hidden="1" x14ac:dyDescent="0.3">
      <c r="A564">
        <v>2208</v>
      </c>
      <c r="B564">
        <v>2</v>
      </c>
      <c r="C564" t="s">
        <v>3292</v>
      </c>
      <c r="E564" s="20">
        <v>82.16</v>
      </c>
    </row>
    <row r="565" spans="1:5" hidden="1" x14ac:dyDescent="0.3">
      <c r="A565">
        <v>2210</v>
      </c>
      <c r="B565">
        <v>1</v>
      </c>
      <c r="C565" t="s">
        <v>3297</v>
      </c>
      <c r="E565" s="20">
        <v>375</v>
      </c>
    </row>
    <row r="566" spans="1:5" hidden="1" x14ac:dyDescent="0.3">
      <c r="A566">
        <v>2210</v>
      </c>
      <c r="B566">
        <v>2</v>
      </c>
      <c r="C566" t="s">
        <v>3298</v>
      </c>
      <c r="E566" s="20">
        <v>374.02</v>
      </c>
    </row>
    <row r="567" spans="1:5" hidden="1" x14ac:dyDescent="0.3">
      <c r="A567">
        <v>2212</v>
      </c>
      <c r="B567">
        <v>1</v>
      </c>
      <c r="C567" t="s">
        <v>3303</v>
      </c>
      <c r="E567" s="20">
        <v>462.77</v>
      </c>
    </row>
    <row r="568" spans="1:5" hidden="1" x14ac:dyDescent="0.3">
      <c r="A568">
        <v>2212</v>
      </c>
      <c r="B568">
        <v>2</v>
      </c>
      <c r="C568" t="s">
        <v>3304</v>
      </c>
      <c r="E568" s="20">
        <v>460.98</v>
      </c>
    </row>
    <row r="569" spans="1:5" hidden="1" x14ac:dyDescent="0.3">
      <c r="A569">
        <v>2214</v>
      </c>
      <c r="B569">
        <v>1</v>
      </c>
      <c r="C569" t="s">
        <v>3309</v>
      </c>
      <c r="E569" s="20">
        <v>316.19</v>
      </c>
    </row>
    <row r="570" spans="1:5" hidden="1" x14ac:dyDescent="0.3">
      <c r="A570">
        <v>2214</v>
      </c>
      <c r="B570">
        <v>2</v>
      </c>
      <c r="C570" t="s">
        <v>3310</v>
      </c>
      <c r="E570" s="20">
        <v>310.57</v>
      </c>
    </row>
    <row r="571" spans="1:5" hidden="1" x14ac:dyDescent="0.3">
      <c r="A571">
        <v>2215</v>
      </c>
      <c r="B571">
        <v>1</v>
      </c>
      <c r="C571" t="s">
        <v>3314</v>
      </c>
      <c r="E571" s="20">
        <v>79.77</v>
      </c>
    </row>
    <row r="572" spans="1:5" hidden="1" x14ac:dyDescent="0.3">
      <c r="A572">
        <v>2215</v>
      </c>
      <c r="B572">
        <v>2</v>
      </c>
      <c r="C572" t="s">
        <v>3315</v>
      </c>
      <c r="E572" s="20">
        <v>79.22</v>
      </c>
    </row>
    <row r="573" spans="1:5" hidden="1" x14ac:dyDescent="0.3">
      <c r="A573">
        <v>2216</v>
      </c>
      <c r="B573">
        <v>1</v>
      </c>
      <c r="C573" t="s">
        <v>3318</v>
      </c>
      <c r="E573" s="20">
        <v>509.02</v>
      </c>
    </row>
    <row r="574" spans="1:5" hidden="1" x14ac:dyDescent="0.3">
      <c r="A574">
        <v>2216</v>
      </c>
      <c r="B574">
        <v>2</v>
      </c>
      <c r="C574" t="s">
        <v>3319</v>
      </c>
      <c r="E574" s="20">
        <v>507.05</v>
      </c>
    </row>
    <row r="575" spans="1:5" hidden="1" x14ac:dyDescent="0.3">
      <c r="A575">
        <v>2217</v>
      </c>
      <c r="B575">
        <v>1</v>
      </c>
      <c r="C575" t="s">
        <v>3322</v>
      </c>
      <c r="E575" s="20">
        <v>154.02000000000001</v>
      </c>
    </row>
    <row r="576" spans="1:5" hidden="1" x14ac:dyDescent="0.3">
      <c r="A576">
        <v>2217</v>
      </c>
      <c r="B576">
        <v>2</v>
      </c>
      <c r="C576" t="s">
        <v>3323</v>
      </c>
      <c r="E576" s="20">
        <v>153.04</v>
      </c>
    </row>
    <row r="577" spans="1:5" hidden="1" x14ac:dyDescent="0.3">
      <c r="A577">
        <v>2219</v>
      </c>
      <c r="B577">
        <v>1</v>
      </c>
      <c r="C577" t="s">
        <v>3330</v>
      </c>
      <c r="E577" s="20">
        <v>84.56</v>
      </c>
    </row>
    <row r="578" spans="1:5" hidden="1" x14ac:dyDescent="0.3">
      <c r="A578">
        <v>2219</v>
      </c>
      <c r="B578">
        <v>2</v>
      </c>
      <c r="C578" t="s">
        <v>3331</v>
      </c>
      <c r="E578" s="20">
        <v>82.37</v>
      </c>
    </row>
    <row r="579" spans="1:5" hidden="1" x14ac:dyDescent="0.3">
      <c r="A579">
        <v>2220</v>
      </c>
      <c r="B579">
        <v>1</v>
      </c>
      <c r="C579" t="s">
        <v>3334</v>
      </c>
      <c r="E579" s="20">
        <v>276.52</v>
      </c>
    </row>
    <row r="580" spans="1:5" hidden="1" x14ac:dyDescent="0.3">
      <c r="A580">
        <v>2220</v>
      </c>
      <c r="B580">
        <v>2</v>
      </c>
      <c r="C580" t="s">
        <v>3335</v>
      </c>
      <c r="E580" s="20">
        <v>275.54000000000002</v>
      </c>
    </row>
    <row r="581" spans="1:5" hidden="1" x14ac:dyDescent="0.3">
      <c r="A581">
        <v>2221</v>
      </c>
      <c r="B581">
        <v>1</v>
      </c>
      <c r="C581" t="s">
        <v>3339</v>
      </c>
      <c r="E581" s="20">
        <v>363.04</v>
      </c>
    </row>
    <row r="582" spans="1:5" hidden="1" x14ac:dyDescent="0.3">
      <c r="A582">
        <v>2221</v>
      </c>
      <c r="B582">
        <v>2</v>
      </c>
      <c r="C582" t="s">
        <v>3340</v>
      </c>
      <c r="E582" s="20">
        <v>361.03</v>
      </c>
    </row>
    <row r="583" spans="1:5" hidden="1" x14ac:dyDescent="0.3">
      <c r="A583">
        <v>2222</v>
      </c>
      <c r="B583">
        <v>1</v>
      </c>
      <c r="C583" t="s">
        <v>3343</v>
      </c>
      <c r="E583" s="20">
        <v>67.81</v>
      </c>
    </row>
    <row r="584" spans="1:5" hidden="1" x14ac:dyDescent="0.3">
      <c r="A584">
        <v>2223</v>
      </c>
      <c r="B584">
        <v>2</v>
      </c>
      <c r="C584" t="s">
        <v>3346</v>
      </c>
      <c r="E584" s="20">
        <v>7.62</v>
      </c>
    </row>
    <row r="585" spans="1:5" hidden="1" x14ac:dyDescent="0.3">
      <c r="A585">
        <v>2225</v>
      </c>
      <c r="B585">
        <v>1</v>
      </c>
      <c r="C585" t="s">
        <v>3353</v>
      </c>
      <c r="E585" s="20">
        <v>115.47</v>
      </c>
    </row>
    <row r="586" spans="1:5" hidden="1" x14ac:dyDescent="0.3">
      <c r="A586">
        <v>2225</v>
      </c>
      <c r="B586">
        <v>2</v>
      </c>
      <c r="C586" t="s">
        <v>3354</v>
      </c>
      <c r="E586" s="20">
        <v>114.39</v>
      </c>
    </row>
    <row r="587" spans="1:5" hidden="1" x14ac:dyDescent="0.3">
      <c r="A587">
        <v>2226</v>
      </c>
      <c r="B587">
        <v>1</v>
      </c>
      <c r="C587" t="s">
        <v>3357</v>
      </c>
      <c r="E587" s="20">
        <v>57.05</v>
      </c>
    </row>
    <row r="588" spans="1:5" hidden="1" x14ac:dyDescent="0.3">
      <c r="A588">
        <v>2226</v>
      </c>
      <c r="B588">
        <v>2</v>
      </c>
      <c r="C588" t="s">
        <v>3358</v>
      </c>
      <c r="E588" s="20">
        <v>56.1</v>
      </c>
    </row>
    <row r="589" spans="1:5" hidden="1" x14ac:dyDescent="0.3">
      <c r="A589">
        <v>2227</v>
      </c>
      <c r="B589">
        <v>1</v>
      </c>
      <c r="C589" t="s">
        <v>3361</v>
      </c>
      <c r="E589" s="20">
        <v>385</v>
      </c>
    </row>
    <row r="590" spans="1:5" hidden="1" x14ac:dyDescent="0.3">
      <c r="A590">
        <v>2227</v>
      </c>
      <c r="B590">
        <v>2</v>
      </c>
      <c r="C590" t="s">
        <v>3362</v>
      </c>
      <c r="E590" s="20">
        <v>384.02</v>
      </c>
    </row>
    <row r="591" spans="1:5" hidden="1" x14ac:dyDescent="0.3">
      <c r="A591">
        <v>2228</v>
      </c>
      <c r="B591">
        <v>1</v>
      </c>
      <c r="C591" t="s">
        <v>3365</v>
      </c>
      <c r="E591" s="20">
        <v>451.43</v>
      </c>
    </row>
    <row r="592" spans="1:5" hidden="1" x14ac:dyDescent="0.3">
      <c r="A592">
        <v>2228</v>
      </c>
      <c r="B592">
        <v>2</v>
      </c>
      <c r="C592" t="s">
        <v>3366</v>
      </c>
      <c r="E592" s="20">
        <v>449.46</v>
      </c>
    </row>
    <row r="593" spans="1:5" hidden="1" x14ac:dyDescent="0.3">
      <c r="A593">
        <v>2229</v>
      </c>
      <c r="B593">
        <v>1</v>
      </c>
      <c r="C593" t="s">
        <v>3369</v>
      </c>
      <c r="E593" s="20">
        <v>63.9</v>
      </c>
    </row>
    <row r="594" spans="1:5" hidden="1" x14ac:dyDescent="0.3">
      <c r="A594">
        <v>2229</v>
      </c>
      <c r="B594">
        <v>2</v>
      </c>
      <c r="C594" t="s">
        <v>3370</v>
      </c>
      <c r="E594" s="20">
        <v>63.43</v>
      </c>
    </row>
    <row r="595" spans="1:5" hidden="1" x14ac:dyDescent="0.3">
      <c r="A595">
        <v>2230</v>
      </c>
      <c r="B595">
        <v>1</v>
      </c>
      <c r="C595" t="s">
        <v>3373</v>
      </c>
      <c r="E595" s="20">
        <v>296.52</v>
      </c>
    </row>
    <row r="596" spans="1:5" hidden="1" x14ac:dyDescent="0.3">
      <c r="A596">
        <v>2230</v>
      </c>
      <c r="B596">
        <v>2</v>
      </c>
      <c r="C596" t="s">
        <v>3374</v>
      </c>
      <c r="E596" s="20">
        <v>295.54000000000002</v>
      </c>
    </row>
    <row r="597" spans="1:5" hidden="1" x14ac:dyDescent="0.3">
      <c r="A597">
        <v>2232</v>
      </c>
      <c r="B597">
        <v>1</v>
      </c>
      <c r="C597" t="s">
        <v>3379</v>
      </c>
      <c r="E597" s="20">
        <v>482.41</v>
      </c>
    </row>
    <row r="598" spans="1:5" hidden="1" x14ac:dyDescent="0.3">
      <c r="A598">
        <v>2232</v>
      </c>
      <c r="B598">
        <v>2</v>
      </c>
      <c r="C598" t="s">
        <v>3380</v>
      </c>
      <c r="E598" s="20">
        <v>480.8</v>
      </c>
    </row>
    <row r="599" spans="1:5" hidden="1" x14ac:dyDescent="0.3">
      <c r="A599">
        <v>2235</v>
      </c>
      <c r="B599">
        <v>1</v>
      </c>
      <c r="C599" t="s">
        <v>3387</v>
      </c>
      <c r="E599" s="20">
        <v>475</v>
      </c>
    </row>
    <row r="600" spans="1:5" hidden="1" x14ac:dyDescent="0.3">
      <c r="A600">
        <v>2235</v>
      </c>
      <c r="B600">
        <v>2</v>
      </c>
      <c r="C600" t="s">
        <v>3388</v>
      </c>
      <c r="E600" s="20">
        <v>473.04</v>
      </c>
    </row>
    <row r="601" spans="1:5" hidden="1" x14ac:dyDescent="0.3">
      <c r="A601">
        <v>2236</v>
      </c>
      <c r="B601">
        <v>1</v>
      </c>
      <c r="C601" t="s">
        <v>3392</v>
      </c>
      <c r="E601" s="20">
        <v>6.12</v>
      </c>
    </row>
    <row r="602" spans="1:5" hidden="1" x14ac:dyDescent="0.3">
      <c r="A602">
        <v>2236</v>
      </c>
      <c r="B602">
        <v>2</v>
      </c>
      <c r="C602" t="s">
        <v>3393</v>
      </c>
      <c r="E602" s="20">
        <v>6.06</v>
      </c>
    </row>
    <row r="603" spans="1:5" hidden="1" x14ac:dyDescent="0.3">
      <c r="A603">
        <v>2239</v>
      </c>
      <c r="B603">
        <v>1</v>
      </c>
      <c r="C603" t="s">
        <v>3402</v>
      </c>
      <c r="E603" s="20">
        <v>82.29</v>
      </c>
    </row>
    <row r="604" spans="1:5" hidden="1" x14ac:dyDescent="0.3">
      <c r="A604">
        <v>2239</v>
      </c>
      <c r="B604">
        <v>2</v>
      </c>
      <c r="C604" t="s">
        <v>3403</v>
      </c>
      <c r="E604" s="20">
        <v>81.33</v>
      </c>
    </row>
    <row r="605" spans="1:5" hidden="1" x14ac:dyDescent="0.3">
      <c r="A605">
        <v>2241</v>
      </c>
      <c r="B605">
        <v>1</v>
      </c>
      <c r="C605" t="s">
        <v>3409</v>
      </c>
      <c r="E605" s="20">
        <v>407.5</v>
      </c>
    </row>
    <row r="606" spans="1:5" hidden="1" x14ac:dyDescent="0.3">
      <c r="A606">
        <v>2241</v>
      </c>
      <c r="B606">
        <v>2</v>
      </c>
      <c r="C606" t="s">
        <v>3410</v>
      </c>
      <c r="E606" s="20">
        <v>404.46</v>
      </c>
    </row>
    <row r="607" spans="1:5" hidden="1" x14ac:dyDescent="0.3">
      <c r="A607">
        <v>2243</v>
      </c>
      <c r="B607">
        <v>1</v>
      </c>
      <c r="C607" t="s">
        <v>3414</v>
      </c>
      <c r="E607" s="20">
        <v>4.25</v>
      </c>
    </row>
    <row r="608" spans="1:5" hidden="1" x14ac:dyDescent="0.3">
      <c r="A608">
        <v>2243</v>
      </c>
      <c r="B608">
        <v>2</v>
      </c>
      <c r="C608" t="s">
        <v>3415</v>
      </c>
      <c r="E608" s="20">
        <v>4.24</v>
      </c>
    </row>
    <row r="609" spans="1:5" hidden="1" x14ac:dyDescent="0.3">
      <c r="A609">
        <v>2245</v>
      </c>
      <c r="B609">
        <v>1</v>
      </c>
      <c r="C609" t="s">
        <v>3422</v>
      </c>
      <c r="E609" s="20">
        <v>406.86</v>
      </c>
    </row>
    <row r="610" spans="1:5" hidden="1" x14ac:dyDescent="0.3">
      <c r="A610">
        <v>2246</v>
      </c>
      <c r="B610">
        <v>2</v>
      </c>
      <c r="C610" t="s">
        <v>3426</v>
      </c>
      <c r="E610" s="20">
        <v>479.38</v>
      </c>
    </row>
    <row r="611" spans="1:5" hidden="1" x14ac:dyDescent="0.3">
      <c r="A611">
        <v>2250</v>
      </c>
      <c r="B611">
        <v>1</v>
      </c>
      <c r="C611" t="s">
        <v>3437</v>
      </c>
      <c r="E611" s="20">
        <v>513.65</v>
      </c>
    </row>
    <row r="612" spans="1:5" hidden="1" x14ac:dyDescent="0.3">
      <c r="A612">
        <v>2250</v>
      </c>
      <c r="B612">
        <v>2</v>
      </c>
      <c r="C612" t="s">
        <v>3438</v>
      </c>
      <c r="E612" s="20">
        <v>510.65</v>
      </c>
    </row>
    <row r="613" spans="1:5" hidden="1" x14ac:dyDescent="0.3">
      <c r="A613">
        <v>2254</v>
      </c>
      <c r="B613">
        <v>1</v>
      </c>
      <c r="C613" t="s">
        <v>3447</v>
      </c>
      <c r="E613" s="20">
        <v>487.86</v>
      </c>
    </row>
    <row r="614" spans="1:5" hidden="1" x14ac:dyDescent="0.3">
      <c r="A614">
        <v>2254</v>
      </c>
      <c r="B614">
        <v>2</v>
      </c>
      <c r="C614" t="s">
        <v>3448</v>
      </c>
      <c r="E614" s="20">
        <v>483.84</v>
      </c>
    </row>
    <row r="615" spans="1:5" hidden="1" x14ac:dyDescent="0.3">
      <c r="A615">
        <v>2256</v>
      </c>
      <c r="B615">
        <v>1</v>
      </c>
      <c r="C615" t="s">
        <v>3454</v>
      </c>
      <c r="E615" s="20">
        <v>471.17</v>
      </c>
    </row>
    <row r="616" spans="1:5" hidden="1" x14ac:dyDescent="0.3">
      <c r="A616">
        <v>2281</v>
      </c>
      <c r="B616">
        <v>1</v>
      </c>
      <c r="C616" t="s">
        <v>3512</v>
      </c>
      <c r="E616" s="20">
        <v>367.05</v>
      </c>
    </row>
    <row r="617" spans="1:5" hidden="1" x14ac:dyDescent="0.3">
      <c r="A617">
        <v>2281</v>
      </c>
      <c r="B617">
        <v>2</v>
      </c>
      <c r="C617" t="s">
        <v>3513</v>
      </c>
      <c r="E617" s="20">
        <v>364.02</v>
      </c>
    </row>
    <row r="618" spans="1:5" hidden="1" x14ac:dyDescent="0.3">
      <c r="A618">
        <v>2282</v>
      </c>
      <c r="B618">
        <v>1</v>
      </c>
      <c r="C618" t="s">
        <v>3516</v>
      </c>
      <c r="E618" s="20">
        <v>276.16000000000003</v>
      </c>
    </row>
    <row r="619" spans="1:5" hidden="1" x14ac:dyDescent="0.3">
      <c r="A619">
        <v>2282</v>
      </c>
      <c r="B619">
        <v>2</v>
      </c>
      <c r="C619" t="s">
        <v>3517</v>
      </c>
      <c r="E619" s="20">
        <v>274.64</v>
      </c>
    </row>
    <row r="620" spans="1:5" hidden="1" x14ac:dyDescent="0.3">
      <c r="A620">
        <v>2284</v>
      </c>
      <c r="B620">
        <v>1</v>
      </c>
      <c r="C620" t="s">
        <v>3523</v>
      </c>
      <c r="E620" s="20">
        <v>270</v>
      </c>
    </row>
    <row r="621" spans="1:5" hidden="1" x14ac:dyDescent="0.3">
      <c r="A621">
        <v>2284</v>
      </c>
      <c r="B621">
        <v>2</v>
      </c>
      <c r="C621" t="s">
        <v>3524</v>
      </c>
      <c r="E621" s="20">
        <v>267</v>
      </c>
    </row>
    <row r="622" spans="1:5" hidden="1" x14ac:dyDescent="0.3">
      <c r="A622">
        <v>2285</v>
      </c>
      <c r="B622">
        <v>1</v>
      </c>
      <c r="C622" t="s">
        <v>3527</v>
      </c>
      <c r="E622" s="20">
        <v>232</v>
      </c>
    </row>
    <row r="623" spans="1:5" hidden="1" x14ac:dyDescent="0.3">
      <c r="A623">
        <v>2285</v>
      </c>
      <c r="B623">
        <v>2</v>
      </c>
      <c r="C623" t="s">
        <v>3528</v>
      </c>
      <c r="E623" s="20">
        <v>230</v>
      </c>
    </row>
    <row r="624" spans="1:5" hidden="1" x14ac:dyDescent="0.3">
      <c r="A624">
        <v>2286</v>
      </c>
      <c r="B624">
        <v>1</v>
      </c>
      <c r="C624" t="s">
        <v>3531</v>
      </c>
      <c r="E624" s="20">
        <v>185</v>
      </c>
    </row>
    <row r="625" spans="1:5" hidden="1" x14ac:dyDescent="0.3">
      <c r="A625">
        <v>2286</v>
      </c>
      <c r="B625">
        <v>2</v>
      </c>
      <c r="C625" t="s">
        <v>3532</v>
      </c>
      <c r="E625" s="20">
        <v>183</v>
      </c>
    </row>
    <row r="626" spans="1:5" hidden="1" x14ac:dyDescent="0.3">
      <c r="A626">
        <v>2288</v>
      </c>
      <c r="B626">
        <v>1</v>
      </c>
      <c r="C626" t="s">
        <v>3537</v>
      </c>
      <c r="E626" s="20">
        <v>511.61</v>
      </c>
    </row>
    <row r="627" spans="1:5" hidden="1" x14ac:dyDescent="0.3">
      <c r="A627">
        <v>2288</v>
      </c>
      <c r="B627">
        <v>2</v>
      </c>
      <c r="C627" t="s">
        <v>3538</v>
      </c>
      <c r="E627" s="20">
        <v>510.54</v>
      </c>
    </row>
    <row r="628" spans="1:5" hidden="1" x14ac:dyDescent="0.3">
      <c r="A628">
        <v>2289</v>
      </c>
      <c r="B628">
        <v>1</v>
      </c>
      <c r="C628" t="s">
        <v>3542</v>
      </c>
      <c r="E628" s="20">
        <v>210</v>
      </c>
    </row>
    <row r="629" spans="1:5" hidden="1" x14ac:dyDescent="0.3">
      <c r="A629">
        <v>2289</v>
      </c>
      <c r="B629">
        <v>2</v>
      </c>
      <c r="C629" t="s">
        <v>3543</v>
      </c>
      <c r="E629" s="20">
        <v>209.39</v>
      </c>
    </row>
    <row r="630" spans="1:5" hidden="1" x14ac:dyDescent="0.3">
      <c r="A630">
        <v>2291</v>
      </c>
      <c r="B630">
        <v>1</v>
      </c>
      <c r="C630" t="s">
        <v>3548</v>
      </c>
      <c r="E630" s="20">
        <v>465</v>
      </c>
    </row>
    <row r="631" spans="1:5" hidden="1" x14ac:dyDescent="0.3">
      <c r="A631">
        <v>2291</v>
      </c>
      <c r="B631">
        <v>2</v>
      </c>
      <c r="C631" t="s">
        <v>3549</v>
      </c>
      <c r="E631" s="20">
        <v>462.5</v>
      </c>
    </row>
    <row r="632" spans="1:5" hidden="1" x14ac:dyDescent="0.3">
      <c r="A632">
        <v>2292</v>
      </c>
      <c r="B632">
        <v>1</v>
      </c>
      <c r="C632" t="s">
        <v>3553</v>
      </c>
      <c r="E632" s="20">
        <v>69.39</v>
      </c>
    </row>
    <row r="633" spans="1:5" hidden="1" x14ac:dyDescent="0.3">
      <c r="A633">
        <v>2292</v>
      </c>
      <c r="B633">
        <v>2</v>
      </c>
      <c r="C633" t="s">
        <v>3554</v>
      </c>
      <c r="E633" s="20">
        <v>68.38</v>
      </c>
    </row>
    <row r="634" spans="1:5" hidden="1" x14ac:dyDescent="0.3">
      <c r="A634">
        <v>2293</v>
      </c>
      <c r="B634">
        <v>1</v>
      </c>
      <c r="C634" t="s">
        <v>3557</v>
      </c>
      <c r="E634" s="20">
        <v>97.68</v>
      </c>
    </row>
    <row r="635" spans="1:5" hidden="1" x14ac:dyDescent="0.3">
      <c r="A635">
        <v>2294</v>
      </c>
      <c r="B635">
        <v>1</v>
      </c>
      <c r="C635" t="s">
        <v>3560</v>
      </c>
      <c r="E635" s="20">
        <v>218</v>
      </c>
    </row>
    <row r="636" spans="1:5" hidden="1" x14ac:dyDescent="0.3">
      <c r="A636">
        <v>2294</v>
      </c>
      <c r="B636">
        <v>2</v>
      </c>
      <c r="C636" t="s">
        <v>3561</v>
      </c>
      <c r="E636" s="20">
        <v>216</v>
      </c>
    </row>
    <row r="637" spans="1:5" hidden="1" x14ac:dyDescent="0.3">
      <c r="A637">
        <v>2296</v>
      </c>
      <c r="B637">
        <v>1</v>
      </c>
      <c r="C637" t="s">
        <v>3566</v>
      </c>
      <c r="E637" s="20">
        <v>209.55</v>
      </c>
    </row>
    <row r="638" spans="1:5" hidden="1" x14ac:dyDescent="0.3">
      <c r="A638">
        <v>2296</v>
      </c>
      <c r="B638">
        <v>2</v>
      </c>
      <c r="C638" t="s">
        <v>3567</v>
      </c>
      <c r="E638" s="20">
        <v>209.02</v>
      </c>
    </row>
    <row r="639" spans="1:5" hidden="1" x14ac:dyDescent="0.3">
      <c r="A639">
        <v>2297</v>
      </c>
      <c r="B639">
        <v>1</v>
      </c>
      <c r="C639" t="s">
        <v>3566</v>
      </c>
      <c r="E639" s="20">
        <v>209.55</v>
      </c>
    </row>
    <row r="640" spans="1:5" hidden="1" x14ac:dyDescent="0.3">
      <c r="A640">
        <v>2297</v>
      </c>
      <c r="B640">
        <v>2</v>
      </c>
      <c r="C640" t="s">
        <v>3567</v>
      </c>
      <c r="E640" s="20">
        <v>209.02</v>
      </c>
    </row>
    <row r="641" spans="1:5" hidden="1" x14ac:dyDescent="0.3">
      <c r="A641">
        <v>2298</v>
      </c>
      <c r="B641">
        <v>1</v>
      </c>
      <c r="C641" t="s">
        <v>3573</v>
      </c>
      <c r="E641" s="20">
        <v>590</v>
      </c>
    </row>
    <row r="642" spans="1:5" hidden="1" x14ac:dyDescent="0.3">
      <c r="A642">
        <v>2298</v>
      </c>
      <c r="B642">
        <v>2</v>
      </c>
      <c r="C642" t="s">
        <v>3574</v>
      </c>
      <c r="E642" s="20">
        <v>589</v>
      </c>
    </row>
    <row r="643" spans="1:5" hidden="1" x14ac:dyDescent="0.3">
      <c r="A643">
        <v>2299</v>
      </c>
      <c r="B643">
        <v>1</v>
      </c>
      <c r="C643" t="s">
        <v>3577</v>
      </c>
      <c r="E643" s="20">
        <v>574.82000000000005</v>
      </c>
    </row>
    <row r="644" spans="1:5" hidden="1" x14ac:dyDescent="0.3">
      <c r="A644">
        <v>2299</v>
      </c>
      <c r="B644">
        <v>2</v>
      </c>
      <c r="C644" t="s">
        <v>3578</v>
      </c>
      <c r="E644" s="20">
        <v>572.86</v>
      </c>
    </row>
    <row r="645" spans="1:5" hidden="1" x14ac:dyDescent="0.3">
      <c r="A645">
        <v>2300</v>
      </c>
      <c r="B645">
        <v>1</v>
      </c>
      <c r="C645" t="s">
        <v>3581</v>
      </c>
      <c r="E645" s="20">
        <v>459.02</v>
      </c>
    </row>
    <row r="646" spans="1:5" hidden="1" x14ac:dyDescent="0.3">
      <c r="A646">
        <v>2300</v>
      </c>
      <c r="B646">
        <v>2</v>
      </c>
      <c r="C646" t="s">
        <v>3582</v>
      </c>
      <c r="E646" s="20">
        <v>458.04</v>
      </c>
    </row>
    <row r="647" spans="1:5" hidden="1" x14ac:dyDescent="0.3">
      <c r="A647">
        <v>2321</v>
      </c>
      <c r="B647">
        <v>1</v>
      </c>
      <c r="C647" t="s">
        <v>3627</v>
      </c>
      <c r="E647" s="20">
        <v>442.05</v>
      </c>
    </row>
    <row r="648" spans="1:5" hidden="1" x14ac:dyDescent="0.3">
      <c r="A648">
        <v>2321</v>
      </c>
      <c r="B648">
        <v>2</v>
      </c>
      <c r="C648" t="s">
        <v>3628</v>
      </c>
      <c r="E648" s="20">
        <v>440</v>
      </c>
    </row>
    <row r="649" spans="1:5" hidden="1" x14ac:dyDescent="0.3">
      <c r="A649">
        <v>2322</v>
      </c>
      <c r="B649">
        <v>1</v>
      </c>
      <c r="C649" t="s">
        <v>3631</v>
      </c>
      <c r="E649" s="20">
        <v>253.05</v>
      </c>
    </row>
    <row r="650" spans="1:5" hidden="1" x14ac:dyDescent="0.3">
      <c r="A650">
        <v>2322</v>
      </c>
      <c r="B650">
        <v>2</v>
      </c>
      <c r="C650" t="s">
        <v>3632</v>
      </c>
      <c r="E650" s="20">
        <v>251.05</v>
      </c>
    </row>
    <row r="651" spans="1:5" hidden="1" x14ac:dyDescent="0.3">
      <c r="A651">
        <v>2323</v>
      </c>
      <c r="B651">
        <v>1</v>
      </c>
      <c r="C651" t="s">
        <v>3635</v>
      </c>
      <c r="E651" s="20">
        <v>509.73</v>
      </c>
    </row>
    <row r="652" spans="1:5" hidden="1" x14ac:dyDescent="0.3">
      <c r="A652">
        <v>2323</v>
      </c>
      <c r="B652">
        <v>2</v>
      </c>
      <c r="C652" t="s">
        <v>3636</v>
      </c>
      <c r="E652" s="20">
        <v>508.75</v>
      </c>
    </row>
    <row r="653" spans="1:5" hidden="1" x14ac:dyDescent="0.3">
      <c r="A653">
        <v>2324</v>
      </c>
      <c r="B653">
        <v>1</v>
      </c>
      <c r="C653" t="s">
        <v>3640</v>
      </c>
      <c r="E653" s="20">
        <v>66.739999999999995</v>
      </c>
    </row>
    <row r="654" spans="1:5" hidden="1" x14ac:dyDescent="0.3">
      <c r="A654">
        <v>2324</v>
      </c>
      <c r="B654">
        <v>2</v>
      </c>
      <c r="C654" t="s">
        <v>3641</v>
      </c>
      <c r="E654" s="20">
        <v>65.64</v>
      </c>
    </row>
    <row r="655" spans="1:5" hidden="1" x14ac:dyDescent="0.3">
      <c r="A655">
        <v>2325</v>
      </c>
      <c r="B655">
        <v>1</v>
      </c>
      <c r="C655" t="s">
        <v>3644</v>
      </c>
      <c r="E655" s="20">
        <v>60.57</v>
      </c>
    </row>
    <row r="656" spans="1:5" hidden="1" x14ac:dyDescent="0.3">
      <c r="A656">
        <v>2326</v>
      </c>
      <c r="B656">
        <v>1</v>
      </c>
      <c r="C656" t="s">
        <v>3647</v>
      </c>
      <c r="E656" s="20">
        <v>54</v>
      </c>
    </row>
    <row r="657" spans="1:5" hidden="1" x14ac:dyDescent="0.3">
      <c r="A657">
        <v>2326</v>
      </c>
      <c r="B657">
        <v>2</v>
      </c>
      <c r="C657" t="s">
        <v>3648</v>
      </c>
      <c r="E657" s="20">
        <v>53.05</v>
      </c>
    </row>
    <row r="658" spans="1:5" hidden="1" x14ac:dyDescent="0.3">
      <c r="A658">
        <v>2327</v>
      </c>
      <c r="B658">
        <v>1</v>
      </c>
      <c r="C658" t="s">
        <v>3651</v>
      </c>
      <c r="E658" s="20">
        <v>412.95</v>
      </c>
    </row>
    <row r="659" spans="1:5" hidden="1" x14ac:dyDescent="0.3">
      <c r="A659">
        <v>2327</v>
      </c>
      <c r="B659">
        <v>2</v>
      </c>
      <c r="C659" t="s">
        <v>3652</v>
      </c>
      <c r="E659" s="20">
        <v>410.98</v>
      </c>
    </row>
    <row r="660" spans="1:5" hidden="1" x14ac:dyDescent="0.3">
      <c r="A660">
        <v>2328</v>
      </c>
      <c r="B660">
        <v>1</v>
      </c>
      <c r="C660" t="s">
        <v>3655</v>
      </c>
      <c r="E660" s="20">
        <v>502.23</v>
      </c>
    </row>
    <row r="661" spans="1:5" hidden="1" x14ac:dyDescent="0.3">
      <c r="A661">
        <v>2328</v>
      </c>
      <c r="B661">
        <v>2</v>
      </c>
      <c r="C661" t="s">
        <v>3656</v>
      </c>
      <c r="E661" s="20">
        <v>500.27</v>
      </c>
    </row>
    <row r="662" spans="1:5" hidden="1" x14ac:dyDescent="0.3">
      <c r="A662">
        <v>2329</v>
      </c>
      <c r="B662">
        <v>1</v>
      </c>
      <c r="C662" t="s">
        <v>3659</v>
      </c>
      <c r="E662" s="20">
        <v>320.57</v>
      </c>
    </row>
    <row r="663" spans="1:5" hidden="1" x14ac:dyDescent="0.3">
      <c r="A663">
        <v>2329</v>
      </c>
      <c r="B663">
        <v>2</v>
      </c>
      <c r="C663" t="s">
        <v>3660</v>
      </c>
      <c r="E663" s="20">
        <v>319.05</v>
      </c>
    </row>
    <row r="664" spans="1:5" hidden="1" x14ac:dyDescent="0.3">
      <c r="A664">
        <v>2330</v>
      </c>
      <c r="B664">
        <v>1</v>
      </c>
      <c r="C664" t="s">
        <v>3663</v>
      </c>
      <c r="E664" s="20">
        <v>416.48</v>
      </c>
    </row>
    <row r="665" spans="1:5" hidden="1" x14ac:dyDescent="0.3">
      <c r="A665">
        <v>2330</v>
      </c>
      <c r="B665">
        <v>2</v>
      </c>
      <c r="C665" t="s">
        <v>3664</v>
      </c>
      <c r="E665" s="20">
        <v>415.43</v>
      </c>
    </row>
    <row r="666" spans="1:5" hidden="1" x14ac:dyDescent="0.3">
      <c r="A666">
        <v>2331</v>
      </c>
      <c r="B666">
        <v>1</v>
      </c>
      <c r="C666" t="s">
        <v>3667</v>
      </c>
      <c r="E666" s="20">
        <v>54.29</v>
      </c>
    </row>
    <row r="667" spans="1:5" hidden="1" x14ac:dyDescent="0.3">
      <c r="A667">
        <v>2331</v>
      </c>
      <c r="B667">
        <v>2</v>
      </c>
      <c r="C667" t="s">
        <v>3668</v>
      </c>
      <c r="E667" s="20">
        <v>53.81</v>
      </c>
    </row>
    <row r="668" spans="1:5" hidden="1" x14ac:dyDescent="0.3">
      <c r="A668">
        <v>2332</v>
      </c>
      <c r="B668">
        <v>1</v>
      </c>
      <c r="C668" t="s">
        <v>3671</v>
      </c>
      <c r="E668" s="20">
        <v>553.75</v>
      </c>
    </row>
    <row r="669" spans="1:5" hidden="1" x14ac:dyDescent="0.3">
      <c r="A669">
        <v>2332</v>
      </c>
      <c r="B669">
        <v>2</v>
      </c>
      <c r="C669" t="s">
        <v>3672</v>
      </c>
      <c r="E669" s="20">
        <v>552.77</v>
      </c>
    </row>
    <row r="670" spans="1:5" hidden="1" x14ac:dyDescent="0.3">
      <c r="A670">
        <v>2334</v>
      </c>
      <c r="B670">
        <v>1</v>
      </c>
      <c r="C670" t="s">
        <v>3678</v>
      </c>
      <c r="E670" s="20">
        <v>6.03</v>
      </c>
    </row>
    <row r="671" spans="1:5" hidden="1" x14ac:dyDescent="0.3">
      <c r="A671">
        <v>2334</v>
      </c>
      <c r="B671">
        <v>2</v>
      </c>
      <c r="C671" t="s">
        <v>3679</v>
      </c>
      <c r="E671" s="20">
        <v>6</v>
      </c>
    </row>
    <row r="672" spans="1:5" hidden="1" x14ac:dyDescent="0.3">
      <c r="A672">
        <v>2335</v>
      </c>
      <c r="B672">
        <v>1</v>
      </c>
      <c r="C672" t="s">
        <v>3682</v>
      </c>
      <c r="E672" s="20">
        <v>230</v>
      </c>
    </row>
    <row r="673" spans="1:5" hidden="1" x14ac:dyDescent="0.3">
      <c r="A673">
        <v>2336</v>
      </c>
      <c r="B673">
        <v>1</v>
      </c>
      <c r="C673" t="s">
        <v>3685</v>
      </c>
      <c r="E673" s="20">
        <v>620.36</v>
      </c>
    </row>
    <row r="674" spans="1:5" hidden="1" x14ac:dyDescent="0.3">
      <c r="A674">
        <v>2336</v>
      </c>
      <c r="B674">
        <v>2</v>
      </c>
      <c r="C674" t="s">
        <v>3686</v>
      </c>
      <c r="E674" s="20">
        <v>618.92999999999995</v>
      </c>
    </row>
    <row r="675" spans="1:5" hidden="1" x14ac:dyDescent="0.3">
      <c r="A675">
        <v>2337</v>
      </c>
      <c r="B675">
        <v>1</v>
      </c>
      <c r="C675" t="s">
        <v>3689</v>
      </c>
      <c r="E675" s="20">
        <v>256</v>
      </c>
    </row>
    <row r="676" spans="1:5" hidden="1" x14ac:dyDescent="0.3">
      <c r="A676">
        <v>2337</v>
      </c>
      <c r="B676">
        <v>2</v>
      </c>
      <c r="C676" t="s">
        <v>3690</v>
      </c>
      <c r="E676" s="20">
        <v>254</v>
      </c>
    </row>
    <row r="677" spans="1:5" hidden="1" x14ac:dyDescent="0.3">
      <c r="A677">
        <v>2338</v>
      </c>
      <c r="B677">
        <v>1</v>
      </c>
      <c r="C677" t="s">
        <v>3693</v>
      </c>
      <c r="E677" s="20">
        <v>56.57</v>
      </c>
    </row>
    <row r="678" spans="1:5" hidden="1" x14ac:dyDescent="0.3">
      <c r="A678">
        <v>2338</v>
      </c>
      <c r="B678">
        <v>2</v>
      </c>
      <c r="C678" t="s">
        <v>3694</v>
      </c>
      <c r="E678" s="20">
        <v>55.62</v>
      </c>
    </row>
    <row r="679" spans="1:5" hidden="1" x14ac:dyDescent="0.3">
      <c r="A679">
        <v>2339</v>
      </c>
      <c r="B679">
        <v>1</v>
      </c>
      <c r="C679" t="s">
        <v>3697</v>
      </c>
      <c r="E679" s="20">
        <v>132.22999999999999</v>
      </c>
    </row>
    <row r="680" spans="1:5" hidden="1" x14ac:dyDescent="0.3">
      <c r="A680">
        <v>2339</v>
      </c>
      <c r="B680">
        <v>2</v>
      </c>
      <c r="C680" t="s">
        <v>3698</v>
      </c>
      <c r="E680" s="20">
        <v>132.05000000000001</v>
      </c>
    </row>
    <row r="681" spans="1:5" hidden="1" x14ac:dyDescent="0.3">
      <c r="A681">
        <v>2340</v>
      </c>
      <c r="B681">
        <v>1</v>
      </c>
      <c r="C681" t="s">
        <v>3701</v>
      </c>
      <c r="E681" s="20">
        <v>133.38999999999999</v>
      </c>
    </row>
    <row r="682" spans="1:5" hidden="1" x14ac:dyDescent="0.3">
      <c r="A682">
        <v>2340</v>
      </c>
      <c r="B682">
        <v>2</v>
      </c>
      <c r="C682" t="s">
        <v>3702</v>
      </c>
      <c r="E682" s="20">
        <v>133.21</v>
      </c>
    </row>
    <row r="683" spans="1:5" hidden="1" x14ac:dyDescent="0.3">
      <c r="A683">
        <v>2341</v>
      </c>
      <c r="B683">
        <v>1</v>
      </c>
      <c r="C683" t="s">
        <v>3705</v>
      </c>
      <c r="E683" s="20">
        <v>135.71</v>
      </c>
    </row>
    <row r="684" spans="1:5" hidden="1" x14ac:dyDescent="0.3">
      <c r="A684">
        <v>2341</v>
      </c>
      <c r="B684">
        <v>2</v>
      </c>
      <c r="C684" t="s">
        <v>3706</v>
      </c>
      <c r="E684" s="20">
        <v>135.44999999999999</v>
      </c>
    </row>
    <row r="685" spans="1:5" hidden="1" x14ac:dyDescent="0.3">
      <c r="A685">
        <v>2342</v>
      </c>
      <c r="B685">
        <v>1</v>
      </c>
      <c r="C685" t="s">
        <v>3709</v>
      </c>
      <c r="E685" s="20">
        <v>135.71</v>
      </c>
    </row>
    <row r="686" spans="1:5" hidden="1" x14ac:dyDescent="0.3">
      <c r="A686">
        <v>2342</v>
      </c>
      <c r="B686">
        <v>2</v>
      </c>
      <c r="C686" t="s">
        <v>3710</v>
      </c>
      <c r="E686" s="20">
        <v>135.44999999999999</v>
      </c>
    </row>
    <row r="687" spans="1:5" hidden="1" x14ac:dyDescent="0.3">
      <c r="A687">
        <v>2343</v>
      </c>
      <c r="B687">
        <v>1</v>
      </c>
      <c r="C687" t="s">
        <v>3709</v>
      </c>
      <c r="E687" s="20">
        <v>135.71</v>
      </c>
    </row>
    <row r="688" spans="1:5" hidden="1" x14ac:dyDescent="0.3">
      <c r="A688">
        <v>2343</v>
      </c>
      <c r="B688">
        <v>2</v>
      </c>
      <c r="C688" t="s">
        <v>3710</v>
      </c>
      <c r="E688" s="20">
        <v>135.44999999999999</v>
      </c>
    </row>
    <row r="689" spans="1:5" hidden="1" x14ac:dyDescent="0.3">
      <c r="A689">
        <v>2344</v>
      </c>
      <c r="B689">
        <v>1</v>
      </c>
      <c r="C689" t="s">
        <v>3709</v>
      </c>
      <c r="E689" s="20">
        <v>135.71</v>
      </c>
    </row>
    <row r="690" spans="1:5" hidden="1" x14ac:dyDescent="0.3">
      <c r="A690">
        <v>2344</v>
      </c>
      <c r="B690">
        <v>2</v>
      </c>
      <c r="C690" t="s">
        <v>3710</v>
      </c>
      <c r="E690" s="20">
        <v>135.44999999999999</v>
      </c>
    </row>
    <row r="691" spans="1:5" hidden="1" x14ac:dyDescent="0.3">
      <c r="A691">
        <v>2345</v>
      </c>
      <c r="B691">
        <v>1</v>
      </c>
      <c r="C691" t="s">
        <v>3717</v>
      </c>
      <c r="E691" s="20">
        <v>315.05</v>
      </c>
    </row>
    <row r="692" spans="1:5" hidden="1" x14ac:dyDescent="0.3">
      <c r="A692">
        <v>2345</v>
      </c>
      <c r="B692">
        <v>2</v>
      </c>
      <c r="C692" t="s">
        <v>3718</v>
      </c>
      <c r="E692" s="20">
        <v>313.43</v>
      </c>
    </row>
    <row r="693" spans="1:5" x14ac:dyDescent="0.3">
      <c r="A693">
        <v>2346</v>
      </c>
      <c r="B693">
        <v>1</v>
      </c>
      <c r="C693" t="s">
        <v>3721</v>
      </c>
      <c r="E693" s="20">
        <v>136</v>
      </c>
    </row>
    <row r="694" spans="1:5" hidden="1" x14ac:dyDescent="0.3">
      <c r="A694">
        <v>2349</v>
      </c>
      <c r="B694">
        <v>2</v>
      </c>
      <c r="C694" t="s">
        <v>3728</v>
      </c>
      <c r="E694" s="20">
        <v>65.52</v>
      </c>
    </row>
    <row r="695" spans="1:5" hidden="1" x14ac:dyDescent="0.3">
      <c r="A695">
        <v>2350</v>
      </c>
      <c r="B695">
        <v>1</v>
      </c>
      <c r="C695" t="s">
        <v>3731</v>
      </c>
      <c r="E695" s="20">
        <v>312</v>
      </c>
    </row>
    <row r="696" spans="1:5" hidden="1" x14ac:dyDescent="0.3">
      <c r="A696">
        <v>2350</v>
      </c>
      <c r="B696">
        <v>2</v>
      </c>
      <c r="C696" t="s">
        <v>3732</v>
      </c>
      <c r="E696" s="20">
        <v>310</v>
      </c>
    </row>
    <row r="697" spans="1:5" hidden="1" x14ac:dyDescent="0.3">
      <c r="A697">
        <v>2351</v>
      </c>
      <c r="B697">
        <v>1</v>
      </c>
      <c r="C697" t="s">
        <v>3735</v>
      </c>
      <c r="E697" s="20">
        <v>303</v>
      </c>
    </row>
    <row r="698" spans="1:5" hidden="1" x14ac:dyDescent="0.3">
      <c r="A698">
        <v>2351</v>
      </c>
      <c r="B698">
        <v>2</v>
      </c>
      <c r="C698" t="s">
        <v>3736</v>
      </c>
      <c r="E698" s="20">
        <v>301</v>
      </c>
    </row>
    <row r="699" spans="1:5" hidden="1" x14ac:dyDescent="0.3">
      <c r="A699">
        <v>2352</v>
      </c>
      <c r="B699">
        <v>1</v>
      </c>
      <c r="C699" t="s">
        <v>3739</v>
      </c>
      <c r="E699" s="20">
        <v>61</v>
      </c>
    </row>
    <row r="700" spans="1:5" hidden="1" x14ac:dyDescent="0.3">
      <c r="A700">
        <v>2352</v>
      </c>
      <c r="B700">
        <v>2</v>
      </c>
      <c r="C700" t="s">
        <v>3740</v>
      </c>
      <c r="E700" s="20">
        <v>60</v>
      </c>
    </row>
    <row r="701" spans="1:5" hidden="1" x14ac:dyDescent="0.3">
      <c r="A701">
        <v>2353</v>
      </c>
      <c r="B701">
        <v>1</v>
      </c>
      <c r="C701" t="s">
        <v>3743</v>
      </c>
      <c r="E701" s="20">
        <v>341</v>
      </c>
    </row>
    <row r="702" spans="1:5" hidden="1" x14ac:dyDescent="0.3">
      <c r="A702">
        <v>2353</v>
      </c>
      <c r="B702">
        <v>2</v>
      </c>
      <c r="C702" t="s">
        <v>3744</v>
      </c>
      <c r="E702" s="20">
        <v>339</v>
      </c>
    </row>
    <row r="703" spans="1:5" hidden="1" x14ac:dyDescent="0.3">
      <c r="A703">
        <v>2354</v>
      </c>
      <c r="B703">
        <v>1</v>
      </c>
      <c r="C703" t="s">
        <v>3748</v>
      </c>
      <c r="E703" s="20">
        <v>68.510000000000005</v>
      </c>
    </row>
    <row r="704" spans="1:5" hidden="1" x14ac:dyDescent="0.3">
      <c r="A704">
        <v>2354</v>
      </c>
      <c r="B704">
        <v>2</v>
      </c>
      <c r="C704" t="s">
        <v>3749</v>
      </c>
      <c r="E704" s="20">
        <v>67</v>
      </c>
    </row>
    <row r="705" spans="1:5" hidden="1" x14ac:dyDescent="0.3">
      <c r="A705">
        <v>2355</v>
      </c>
      <c r="B705">
        <v>1</v>
      </c>
      <c r="C705" t="s">
        <v>3752</v>
      </c>
      <c r="E705" s="20">
        <v>252</v>
      </c>
    </row>
    <row r="706" spans="1:5" hidden="1" x14ac:dyDescent="0.3">
      <c r="A706">
        <v>2355</v>
      </c>
      <c r="B706">
        <v>2</v>
      </c>
      <c r="C706" t="s">
        <v>3753</v>
      </c>
      <c r="E706" s="20">
        <v>251.05</v>
      </c>
    </row>
    <row r="707" spans="1:5" hidden="1" x14ac:dyDescent="0.3">
      <c r="A707">
        <v>2357</v>
      </c>
      <c r="B707">
        <v>1</v>
      </c>
      <c r="C707" t="s">
        <v>3759</v>
      </c>
      <c r="E707" s="20">
        <v>55.62</v>
      </c>
    </row>
    <row r="708" spans="1:5" hidden="1" x14ac:dyDescent="0.3">
      <c r="A708">
        <v>2357</v>
      </c>
      <c r="B708">
        <v>2</v>
      </c>
      <c r="C708" t="s">
        <v>3760</v>
      </c>
      <c r="E708" s="20">
        <v>54.67</v>
      </c>
    </row>
    <row r="709" spans="1:5" hidden="1" x14ac:dyDescent="0.3">
      <c r="A709">
        <v>2358</v>
      </c>
      <c r="B709">
        <v>1</v>
      </c>
      <c r="C709" t="s">
        <v>3763</v>
      </c>
      <c r="E709" s="20">
        <v>481.07</v>
      </c>
    </row>
    <row r="710" spans="1:5" hidden="1" x14ac:dyDescent="0.3">
      <c r="A710">
        <v>2358</v>
      </c>
      <c r="B710">
        <v>2</v>
      </c>
      <c r="C710" t="s">
        <v>3764</v>
      </c>
      <c r="E710" s="20">
        <v>479.02</v>
      </c>
    </row>
    <row r="711" spans="1:5" hidden="1" x14ac:dyDescent="0.3">
      <c r="A711">
        <v>2359</v>
      </c>
      <c r="B711">
        <v>1</v>
      </c>
      <c r="C711" t="s">
        <v>3767</v>
      </c>
      <c r="E711" s="20">
        <v>8107.32</v>
      </c>
    </row>
    <row r="712" spans="1:5" hidden="1" x14ac:dyDescent="0.3">
      <c r="A712">
        <v>2359</v>
      </c>
      <c r="B712">
        <v>2</v>
      </c>
      <c r="C712" t="s">
        <v>3768</v>
      </c>
      <c r="E712" s="20">
        <v>8077.32</v>
      </c>
    </row>
    <row r="713" spans="1:5" hidden="1" x14ac:dyDescent="0.3">
      <c r="A713">
        <v>2381</v>
      </c>
      <c r="B713">
        <v>1</v>
      </c>
      <c r="C713" t="s">
        <v>3817</v>
      </c>
      <c r="E713" s="20">
        <v>502.05</v>
      </c>
    </row>
    <row r="714" spans="1:5" hidden="1" x14ac:dyDescent="0.3">
      <c r="A714">
        <v>2382</v>
      </c>
      <c r="B714">
        <v>2</v>
      </c>
      <c r="C714" t="s">
        <v>3820</v>
      </c>
      <c r="E714" s="20">
        <v>49.55</v>
      </c>
    </row>
    <row r="715" spans="1:5" hidden="1" x14ac:dyDescent="0.3">
      <c r="A715">
        <v>2383</v>
      </c>
      <c r="B715">
        <v>1</v>
      </c>
      <c r="C715" t="s">
        <v>3823</v>
      </c>
      <c r="E715" s="20">
        <v>361.07</v>
      </c>
    </row>
    <row r="716" spans="1:5" hidden="1" x14ac:dyDescent="0.3">
      <c r="A716">
        <v>2383</v>
      </c>
      <c r="B716">
        <v>2</v>
      </c>
      <c r="C716" t="s">
        <v>3824</v>
      </c>
      <c r="E716" s="20">
        <v>360</v>
      </c>
    </row>
    <row r="717" spans="1:5" hidden="1" x14ac:dyDescent="0.3">
      <c r="A717">
        <v>2384</v>
      </c>
      <c r="B717">
        <v>1</v>
      </c>
      <c r="C717" t="s">
        <v>3827</v>
      </c>
      <c r="E717" s="20">
        <v>321.52</v>
      </c>
    </row>
    <row r="718" spans="1:5" hidden="1" x14ac:dyDescent="0.3">
      <c r="A718">
        <v>2384</v>
      </c>
      <c r="B718">
        <v>2</v>
      </c>
      <c r="C718" t="s">
        <v>3828</v>
      </c>
      <c r="E718" s="20">
        <v>320.57</v>
      </c>
    </row>
    <row r="719" spans="1:5" hidden="1" x14ac:dyDescent="0.3">
      <c r="A719">
        <v>2385</v>
      </c>
      <c r="B719">
        <v>1</v>
      </c>
      <c r="C719" t="s">
        <v>3831</v>
      </c>
      <c r="E719" s="20">
        <v>66.760000000000005</v>
      </c>
    </row>
    <row r="720" spans="1:5" hidden="1" x14ac:dyDescent="0.3">
      <c r="A720">
        <v>2385</v>
      </c>
      <c r="B720">
        <v>2</v>
      </c>
      <c r="C720" t="s">
        <v>3832</v>
      </c>
      <c r="E720" s="20">
        <v>66.290000000000006</v>
      </c>
    </row>
    <row r="721" spans="1:5" hidden="1" x14ac:dyDescent="0.3">
      <c r="A721">
        <v>2386</v>
      </c>
      <c r="B721">
        <v>1</v>
      </c>
      <c r="C721" t="s">
        <v>3835</v>
      </c>
      <c r="E721" s="20">
        <v>461.52</v>
      </c>
    </row>
    <row r="722" spans="1:5" hidden="1" x14ac:dyDescent="0.3">
      <c r="A722">
        <v>2386</v>
      </c>
      <c r="B722">
        <v>2</v>
      </c>
      <c r="C722" t="s">
        <v>3836</v>
      </c>
      <c r="E722" s="20">
        <v>460.54</v>
      </c>
    </row>
    <row r="723" spans="1:5" hidden="1" x14ac:dyDescent="0.3">
      <c r="A723">
        <v>2387</v>
      </c>
      <c r="B723">
        <v>1</v>
      </c>
      <c r="C723" t="s">
        <v>3839</v>
      </c>
      <c r="E723" s="20">
        <v>70.19</v>
      </c>
    </row>
    <row r="724" spans="1:5" hidden="1" x14ac:dyDescent="0.3">
      <c r="A724">
        <v>2387</v>
      </c>
      <c r="B724">
        <v>2</v>
      </c>
      <c r="C724" t="s">
        <v>3840</v>
      </c>
      <c r="E724" s="20">
        <v>69.709999999999994</v>
      </c>
    </row>
    <row r="725" spans="1:5" hidden="1" x14ac:dyDescent="0.3">
      <c r="A725">
        <v>2388</v>
      </c>
      <c r="B725">
        <v>1</v>
      </c>
      <c r="C725" t="s">
        <v>3843</v>
      </c>
      <c r="E725" s="20">
        <v>338.67</v>
      </c>
    </row>
    <row r="726" spans="1:5" hidden="1" x14ac:dyDescent="0.3">
      <c r="A726">
        <v>2388</v>
      </c>
      <c r="B726">
        <v>2</v>
      </c>
      <c r="C726" t="s">
        <v>3844</v>
      </c>
      <c r="E726" s="20">
        <v>337.71</v>
      </c>
    </row>
    <row r="727" spans="1:5" hidden="1" x14ac:dyDescent="0.3">
      <c r="A727">
        <v>2389</v>
      </c>
      <c r="B727">
        <v>1</v>
      </c>
      <c r="C727" t="s">
        <v>3847</v>
      </c>
      <c r="E727" s="20">
        <v>328</v>
      </c>
    </row>
    <row r="728" spans="1:5" hidden="1" x14ac:dyDescent="0.3">
      <c r="A728">
        <v>2389</v>
      </c>
      <c r="B728">
        <v>2</v>
      </c>
      <c r="C728" t="s">
        <v>3848</v>
      </c>
      <c r="E728" s="20">
        <v>326.38</v>
      </c>
    </row>
    <row r="729" spans="1:5" hidden="1" x14ac:dyDescent="0.3">
      <c r="A729">
        <v>2390</v>
      </c>
      <c r="B729">
        <v>1</v>
      </c>
      <c r="C729" t="s">
        <v>3851</v>
      </c>
      <c r="E729" s="20">
        <v>384.02</v>
      </c>
    </row>
    <row r="730" spans="1:5" hidden="1" x14ac:dyDescent="0.3">
      <c r="A730">
        <v>2390</v>
      </c>
      <c r="B730">
        <v>2</v>
      </c>
      <c r="C730" t="s">
        <v>3852</v>
      </c>
      <c r="E730" s="20">
        <v>383.04</v>
      </c>
    </row>
    <row r="731" spans="1:5" hidden="1" x14ac:dyDescent="0.3">
      <c r="A731">
        <v>2391</v>
      </c>
      <c r="B731">
        <v>1</v>
      </c>
      <c r="C731" t="s">
        <v>3855</v>
      </c>
      <c r="E731" s="20">
        <v>522.86</v>
      </c>
    </row>
    <row r="732" spans="1:5" hidden="1" x14ac:dyDescent="0.3">
      <c r="A732">
        <v>2392</v>
      </c>
      <c r="B732">
        <v>1</v>
      </c>
      <c r="C732" t="s">
        <v>3858</v>
      </c>
      <c r="E732" s="20">
        <v>371.07</v>
      </c>
    </row>
    <row r="733" spans="1:5" hidden="1" x14ac:dyDescent="0.3">
      <c r="A733">
        <v>2392</v>
      </c>
      <c r="B733">
        <v>2</v>
      </c>
      <c r="C733" t="s">
        <v>3859</v>
      </c>
      <c r="E733" s="20">
        <v>370</v>
      </c>
    </row>
    <row r="734" spans="1:5" hidden="1" x14ac:dyDescent="0.3">
      <c r="A734">
        <v>2393</v>
      </c>
      <c r="B734">
        <v>1</v>
      </c>
      <c r="C734" t="s">
        <v>3862</v>
      </c>
      <c r="E734" s="20">
        <v>348.04</v>
      </c>
    </row>
    <row r="735" spans="1:5" hidden="1" x14ac:dyDescent="0.3">
      <c r="A735">
        <v>2393</v>
      </c>
      <c r="B735">
        <v>2</v>
      </c>
      <c r="C735" t="s">
        <v>3863</v>
      </c>
      <c r="E735" s="20">
        <v>347.05</v>
      </c>
    </row>
    <row r="736" spans="1:5" hidden="1" x14ac:dyDescent="0.3">
      <c r="A736">
        <v>2394</v>
      </c>
      <c r="B736">
        <v>1</v>
      </c>
      <c r="C736" t="s">
        <v>3867</v>
      </c>
      <c r="E736" s="20">
        <v>5.94</v>
      </c>
    </row>
    <row r="737" spans="1:5" hidden="1" x14ac:dyDescent="0.3">
      <c r="A737">
        <v>2394</v>
      </c>
      <c r="B737">
        <v>2</v>
      </c>
      <c r="C737" t="s">
        <v>3868</v>
      </c>
      <c r="E737" s="20">
        <v>5.93</v>
      </c>
    </row>
    <row r="738" spans="1:5" hidden="1" x14ac:dyDescent="0.3">
      <c r="A738">
        <v>2395</v>
      </c>
      <c r="B738">
        <v>1</v>
      </c>
      <c r="C738" t="s">
        <v>3871</v>
      </c>
      <c r="E738" s="20">
        <v>381.07</v>
      </c>
    </row>
    <row r="739" spans="1:5" hidden="1" x14ac:dyDescent="0.3">
      <c r="A739">
        <v>2395</v>
      </c>
      <c r="B739">
        <v>2</v>
      </c>
      <c r="C739" t="s">
        <v>3872</v>
      </c>
      <c r="E739" s="20">
        <v>380</v>
      </c>
    </row>
    <row r="740" spans="1:5" hidden="1" x14ac:dyDescent="0.3">
      <c r="A740">
        <v>2396</v>
      </c>
      <c r="B740">
        <v>1</v>
      </c>
      <c r="C740" t="s">
        <v>3875</v>
      </c>
      <c r="E740" s="20">
        <v>373.04</v>
      </c>
    </row>
    <row r="741" spans="1:5" hidden="1" x14ac:dyDescent="0.3">
      <c r="A741">
        <v>2396</v>
      </c>
      <c r="B741">
        <v>2</v>
      </c>
      <c r="C741" t="s">
        <v>3876</v>
      </c>
      <c r="E741" s="20">
        <v>372.05</v>
      </c>
    </row>
    <row r="742" spans="1:5" hidden="1" x14ac:dyDescent="0.3">
      <c r="A742">
        <v>2397</v>
      </c>
      <c r="B742">
        <v>1</v>
      </c>
      <c r="C742" t="s">
        <v>3879</v>
      </c>
      <c r="E742" s="20">
        <v>470.36</v>
      </c>
    </row>
    <row r="743" spans="1:5" hidden="1" x14ac:dyDescent="0.3">
      <c r="A743">
        <v>2397</v>
      </c>
      <c r="B743">
        <v>2</v>
      </c>
      <c r="C743" t="s">
        <v>3880</v>
      </c>
      <c r="E743" s="20">
        <v>468.39</v>
      </c>
    </row>
    <row r="744" spans="1:5" hidden="1" x14ac:dyDescent="0.3">
      <c r="A744">
        <v>2398</v>
      </c>
      <c r="B744">
        <v>1</v>
      </c>
      <c r="C744" t="s">
        <v>3883</v>
      </c>
      <c r="E744" s="20">
        <v>68</v>
      </c>
    </row>
    <row r="745" spans="1:5" hidden="1" x14ac:dyDescent="0.3">
      <c r="A745">
        <v>2398</v>
      </c>
      <c r="B745">
        <v>2</v>
      </c>
      <c r="C745" t="s">
        <v>3884</v>
      </c>
      <c r="E745" s="20">
        <v>67.05</v>
      </c>
    </row>
    <row r="746" spans="1:5" hidden="1" x14ac:dyDescent="0.3">
      <c r="A746">
        <v>2399</v>
      </c>
      <c r="B746">
        <v>1</v>
      </c>
      <c r="C746" t="s">
        <v>3887</v>
      </c>
      <c r="E746" s="20">
        <v>172.8</v>
      </c>
    </row>
    <row r="747" spans="1:5" hidden="1" x14ac:dyDescent="0.3">
      <c r="A747">
        <v>2399</v>
      </c>
      <c r="B747">
        <v>2</v>
      </c>
      <c r="C747" t="s">
        <v>3888</v>
      </c>
      <c r="E747" s="20">
        <v>170.8</v>
      </c>
    </row>
    <row r="748" spans="1:5" hidden="1" x14ac:dyDescent="0.3">
      <c r="A748">
        <v>2441</v>
      </c>
      <c r="B748">
        <v>1</v>
      </c>
      <c r="C748" t="s">
        <v>3979</v>
      </c>
      <c r="E748" s="20">
        <v>67.14</v>
      </c>
    </row>
    <row r="749" spans="1:5" hidden="1" x14ac:dyDescent="0.3">
      <c r="A749">
        <v>2441</v>
      </c>
      <c r="B749">
        <v>2</v>
      </c>
      <c r="C749" t="s">
        <v>3980</v>
      </c>
      <c r="E749" s="20">
        <v>64.19</v>
      </c>
    </row>
    <row r="750" spans="1:5" hidden="1" x14ac:dyDescent="0.3">
      <c r="A750">
        <v>2442</v>
      </c>
      <c r="B750">
        <v>1</v>
      </c>
      <c r="C750" t="s">
        <v>3983</v>
      </c>
      <c r="E750" s="20">
        <v>237.77</v>
      </c>
    </row>
    <row r="751" spans="1:5" hidden="1" x14ac:dyDescent="0.3">
      <c r="A751">
        <v>2442</v>
      </c>
      <c r="B751">
        <v>2</v>
      </c>
      <c r="C751" t="s">
        <v>3984</v>
      </c>
      <c r="E751" s="20">
        <v>237.23</v>
      </c>
    </row>
    <row r="752" spans="1:5" hidden="1" x14ac:dyDescent="0.3">
      <c r="A752">
        <v>2443</v>
      </c>
      <c r="B752">
        <v>1</v>
      </c>
      <c r="C752" t="s">
        <v>3987</v>
      </c>
      <c r="E752" s="20">
        <v>330.29</v>
      </c>
    </row>
    <row r="753" spans="1:5" hidden="1" x14ac:dyDescent="0.3">
      <c r="A753">
        <v>2446</v>
      </c>
      <c r="B753">
        <v>2</v>
      </c>
      <c r="C753" t="s">
        <v>3994</v>
      </c>
      <c r="E753" s="20">
        <v>410</v>
      </c>
    </row>
    <row r="754" spans="1:5" hidden="1" x14ac:dyDescent="0.3">
      <c r="A754">
        <v>2447</v>
      </c>
      <c r="B754">
        <v>1</v>
      </c>
      <c r="C754" t="s">
        <v>3997</v>
      </c>
      <c r="E754" s="20">
        <v>513.66</v>
      </c>
    </row>
    <row r="755" spans="1:5" hidden="1" x14ac:dyDescent="0.3">
      <c r="A755">
        <v>2447</v>
      </c>
      <c r="B755">
        <v>2</v>
      </c>
      <c r="C755" t="s">
        <v>3998</v>
      </c>
      <c r="E755" s="20">
        <v>511.61</v>
      </c>
    </row>
    <row r="756" spans="1:5" hidden="1" x14ac:dyDescent="0.3">
      <c r="A756">
        <v>2448</v>
      </c>
      <c r="B756">
        <v>1</v>
      </c>
      <c r="C756" t="s">
        <v>4001</v>
      </c>
      <c r="E756" s="20">
        <v>486.52</v>
      </c>
    </row>
    <row r="757" spans="1:5" hidden="1" x14ac:dyDescent="0.3">
      <c r="A757">
        <v>2448</v>
      </c>
      <c r="B757">
        <v>2</v>
      </c>
      <c r="C757" t="s">
        <v>4002</v>
      </c>
      <c r="E757" s="20">
        <v>485</v>
      </c>
    </row>
    <row r="758" spans="1:5" hidden="1" x14ac:dyDescent="0.3">
      <c r="A758">
        <v>2449</v>
      </c>
      <c r="B758">
        <v>1</v>
      </c>
      <c r="C758" t="s">
        <v>4005</v>
      </c>
      <c r="E758" s="20">
        <v>40.54</v>
      </c>
    </row>
    <row r="759" spans="1:5" hidden="1" x14ac:dyDescent="0.3">
      <c r="A759">
        <v>2449</v>
      </c>
      <c r="B759">
        <v>2</v>
      </c>
      <c r="C759" t="s">
        <v>4006</v>
      </c>
      <c r="E759" s="20">
        <v>40.450000000000003</v>
      </c>
    </row>
    <row r="760" spans="1:5" hidden="1" x14ac:dyDescent="0.3">
      <c r="A760">
        <v>2450</v>
      </c>
      <c r="B760">
        <v>1</v>
      </c>
      <c r="C760" t="s">
        <v>4009</v>
      </c>
      <c r="E760" s="20">
        <v>54.57</v>
      </c>
    </row>
    <row r="761" spans="1:5" hidden="1" x14ac:dyDescent="0.3">
      <c r="A761">
        <v>2450</v>
      </c>
      <c r="B761">
        <v>2</v>
      </c>
      <c r="C761" t="s">
        <v>4010</v>
      </c>
      <c r="E761" s="20">
        <v>53.52</v>
      </c>
    </row>
    <row r="762" spans="1:5" hidden="1" x14ac:dyDescent="0.3">
      <c r="A762">
        <v>2452</v>
      </c>
      <c r="B762">
        <v>1</v>
      </c>
      <c r="C762" t="s">
        <v>4015</v>
      </c>
      <c r="E762" s="20">
        <v>241.52</v>
      </c>
    </row>
    <row r="763" spans="1:5" hidden="1" x14ac:dyDescent="0.3">
      <c r="A763">
        <v>2452</v>
      </c>
      <c r="B763">
        <v>2</v>
      </c>
      <c r="C763" t="s">
        <v>4016</v>
      </c>
      <c r="E763" s="20">
        <v>241.07</v>
      </c>
    </row>
    <row r="764" spans="1:5" hidden="1" x14ac:dyDescent="0.3">
      <c r="A764">
        <v>2453</v>
      </c>
      <c r="B764">
        <v>1</v>
      </c>
      <c r="C764" t="s">
        <v>4019</v>
      </c>
      <c r="E764" s="20">
        <v>241.52</v>
      </c>
    </row>
    <row r="765" spans="1:5" hidden="1" x14ac:dyDescent="0.3">
      <c r="A765">
        <v>2453</v>
      </c>
      <c r="B765">
        <v>2</v>
      </c>
      <c r="C765" t="s">
        <v>4020</v>
      </c>
      <c r="E765" s="20">
        <v>240</v>
      </c>
    </row>
    <row r="766" spans="1:5" hidden="1" x14ac:dyDescent="0.3">
      <c r="A766">
        <v>2454</v>
      </c>
      <c r="B766">
        <v>1</v>
      </c>
      <c r="C766" t="s">
        <v>4024</v>
      </c>
      <c r="E766" s="20">
        <v>413.04</v>
      </c>
    </row>
    <row r="767" spans="1:5" hidden="1" x14ac:dyDescent="0.3">
      <c r="A767">
        <v>2454</v>
      </c>
      <c r="B767">
        <v>2</v>
      </c>
      <c r="C767" t="s">
        <v>4025</v>
      </c>
      <c r="E767" s="20">
        <v>411.03</v>
      </c>
    </row>
    <row r="768" spans="1:5" hidden="1" x14ac:dyDescent="0.3">
      <c r="A768">
        <v>2455</v>
      </c>
      <c r="B768">
        <v>1</v>
      </c>
      <c r="C768" t="s">
        <v>4029</v>
      </c>
      <c r="E768" s="20">
        <v>536.75</v>
      </c>
    </row>
    <row r="769" spans="1:5" hidden="1" x14ac:dyDescent="0.3">
      <c r="A769">
        <v>2455</v>
      </c>
      <c r="B769">
        <v>2</v>
      </c>
      <c r="C769" t="s">
        <v>4030</v>
      </c>
      <c r="E769" s="20">
        <v>533.75</v>
      </c>
    </row>
    <row r="770" spans="1:5" hidden="1" x14ac:dyDescent="0.3">
      <c r="A770">
        <v>2456</v>
      </c>
      <c r="B770">
        <v>1</v>
      </c>
      <c r="C770" t="s">
        <v>4034</v>
      </c>
      <c r="E770" s="20">
        <v>88.93</v>
      </c>
    </row>
    <row r="771" spans="1:5" hidden="1" x14ac:dyDescent="0.3">
      <c r="A771">
        <v>2456</v>
      </c>
      <c r="B771">
        <v>2</v>
      </c>
      <c r="C771" t="s">
        <v>4035</v>
      </c>
      <c r="E771" s="20">
        <v>88.63</v>
      </c>
    </row>
    <row r="772" spans="1:5" hidden="1" x14ac:dyDescent="0.3">
      <c r="A772">
        <v>2457</v>
      </c>
      <c r="B772">
        <v>1</v>
      </c>
      <c r="C772" t="s">
        <v>4038</v>
      </c>
      <c r="E772" s="20">
        <v>63.71</v>
      </c>
    </row>
    <row r="773" spans="1:5" hidden="1" x14ac:dyDescent="0.3">
      <c r="A773">
        <v>2457</v>
      </c>
      <c r="B773">
        <v>2</v>
      </c>
      <c r="C773" t="s">
        <v>4039</v>
      </c>
      <c r="E773" s="20">
        <v>62.67</v>
      </c>
    </row>
    <row r="774" spans="1:5" hidden="1" x14ac:dyDescent="0.3">
      <c r="A774">
        <v>2458</v>
      </c>
      <c r="B774">
        <v>1</v>
      </c>
      <c r="C774" t="s">
        <v>4042</v>
      </c>
      <c r="E774" s="20">
        <v>304.95</v>
      </c>
    </row>
    <row r="775" spans="1:5" hidden="1" x14ac:dyDescent="0.3">
      <c r="A775">
        <v>2458</v>
      </c>
      <c r="B775">
        <v>2</v>
      </c>
      <c r="C775" t="s">
        <v>4043</v>
      </c>
      <c r="E775" s="20">
        <v>302.95</v>
      </c>
    </row>
    <row r="776" spans="1:5" hidden="1" x14ac:dyDescent="0.3">
      <c r="A776">
        <v>2460</v>
      </c>
      <c r="B776">
        <v>1</v>
      </c>
      <c r="C776" t="s">
        <v>4048</v>
      </c>
      <c r="E776" s="20">
        <v>285.54000000000002</v>
      </c>
    </row>
    <row r="777" spans="1:5" hidden="1" x14ac:dyDescent="0.3">
      <c r="A777">
        <v>2460</v>
      </c>
      <c r="B777">
        <v>2</v>
      </c>
      <c r="C777" t="s">
        <v>4049</v>
      </c>
      <c r="E777" s="20">
        <v>285</v>
      </c>
    </row>
  </sheetData>
  <autoFilter ref="A1:E777" xr:uid="{0D0AABA9-2D8D-4F98-A73B-28F8311E624E}">
    <filterColumn colId="0">
      <filters>
        <filter val="2346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BF961-DD79-46DB-A7D4-55A78879C9B4}">
  <sheetPr codeName="Sheet8"/>
  <dimension ref="A1:E1"/>
  <sheetViews>
    <sheetView workbookViewId="0">
      <selection sqref="A1:Q9224"/>
    </sheetView>
  </sheetViews>
  <sheetFormatPr defaultRowHeight="14.4" x14ac:dyDescent="0.3"/>
  <sheetData>
    <row r="1" spans="1:5" x14ac:dyDescent="0.3">
      <c r="A1">
        <v>2346</v>
      </c>
      <c r="B1">
        <v>1</v>
      </c>
      <c r="C1" t="s">
        <v>3721</v>
      </c>
      <c r="E1" s="20">
        <v>136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D1:D9994"/>
  <sheetViews>
    <sheetView workbookViewId="0">
      <selection sqref="A1:N9312"/>
    </sheetView>
  </sheetViews>
  <sheetFormatPr defaultRowHeight="14.4" x14ac:dyDescent="0.3"/>
  <sheetData>
    <row r="1" spans="4:4" x14ac:dyDescent="0.3">
      <c r="D1" s="7"/>
    </row>
    <row r="2" spans="4:4" x14ac:dyDescent="0.3">
      <c r="D2" s="7"/>
    </row>
    <row r="3" spans="4:4" x14ac:dyDescent="0.3">
      <c r="D3" s="7"/>
    </row>
    <row r="4" spans="4:4" x14ac:dyDescent="0.3">
      <c r="D4" s="7"/>
    </row>
    <row r="5" spans="4:4" x14ac:dyDescent="0.3">
      <c r="D5" s="7"/>
    </row>
    <row r="6" spans="4:4" x14ac:dyDescent="0.3">
      <c r="D6" s="7"/>
    </row>
    <row r="7" spans="4:4" x14ac:dyDescent="0.3">
      <c r="D7" s="7"/>
    </row>
    <row r="8" spans="4:4" x14ac:dyDescent="0.3">
      <c r="D8" s="7"/>
    </row>
    <row r="9" spans="4:4" x14ac:dyDescent="0.3">
      <c r="D9" s="7"/>
    </row>
    <row r="10" spans="4:4" x14ac:dyDescent="0.3">
      <c r="D10" s="7"/>
    </row>
    <row r="11" spans="4:4" x14ac:dyDescent="0.3">
      <c r="D11" s="7"/>
    </row>
    <row r="12" spans="4:4" x14ac:dyDescent="0.3">
      <c r="D12" s="7"/>
    </row>
    <row r="13" spans="4:4" x14ac:dyDescent="0.3">
      <c r="D13" s="7"/>
    </row>
    <row r="14" spans="4:4" x14ac:dyDescent="0.3">
      <c r="D14" s="7"/>
    </row>
    <row r="15" spans="4:4" x14ac:dyDescent="0.3">
      <c r="D15" s="7"/>
    </row>
    <row r="16" spans="4:4" x14ac:dyDescent="0.3">
      <c r="D16" s="7"/>
    </row>
    <row r="17" spans="4:4" x14ac:dyDescent="0.3">
      <c r="D17" s="7"/>
    </row>
    <row r="18" spans="4:4" x14ac:dyDescent="0.3">
      <c r="D18" s="7"/>
    </row>
    <row r="19" spans="4:4" x14ac:dyDescent="0.3">
      <c r="D19" s="7"/>
    </row>
    <row r="20" spans="4:4" x14ac:dyDescent="0.3">
      <c r="D20" s="7"/>
    </row>
    <row r="21" spans="4:4" x14ac:dyDescent="0.3">
      <c r="D21" s="7"/>
    </row>
    <row r="22" spans="4:4" x14ac:dyDescent="0.3">
      <c r="D22" s="7"/>
    </row>
    <row r="23" spans="4:4" x14ac:dyDescent="0.3">
      <c r="D23" s="7"/>
    </row>
    <row r="24" spans="4:4" x14ac:dyDescent="0.3">
      <c r="D24" s="7"/>
    </row>
    <row r="25" spans="4:4" x14ac:dyDescent="0.3">
      <c r="D25" s="7"/>
    </row>
    <row r="26" spans="4:4" x14ac:dyDescent="0.3">
      <c r="D26" s="7"/>
    </row>
    <row r="27" spans="4:4" x14ac:dyDescent="0.3">
      <c r="D27" s="7"/>
    </row>
    <row r="28" spans="4:4" x14ac:dyDescent="0.3">
      <c r="D28" s="7"/>
    </row>
    <row r="29" spans="4:4" x14ac:dyDescent="0.3">
      <c r="D29" s="7"/>
    </row>
    <row r="30" spans="4:4" x14ac:dyDescent="0.3">
      <c r="D30" s="7"/>
    </row>
    <row r="31" spans="4:4" x14ac:dyDescent="0.3">
      <c r="D31" s="7"/>
    </row>
    <row r="32" spans="4:4" x14ac:dyDescent="0.3">
      <c r="D32" s="7"/>
    </row>
    <row r="33" spans="4:4" x14ac:dyDescent="0.3">
      <c r="D33" s="7"/>
    </row>
    <row r="34" spans="4:4" x14ac:dyDescent="0.3">
      <c r="D34" s="7"/>
    </row>
    <row r="35" spans="4:4" x14ac:dyDescent="0.3">
      <c r="D35" s="7"/>
    </row>
    <row r="36" spans="4:4" x14ac:dyDescent="0.3">
      <c r="D36" s="7"/>
    </row>
    <row r="37" spans="4:4" x14ac:dyDescent="0.3">
      <c r="D37" s="7"/>
    </row>
    <row r="38" spans="4:4" x14ac:dyDescent="0.3">
      <c r="D38" s="7"/>
    </row>
    <row r="39" spans="4:4" x14ac:dyDescent="0.3">
      <c r="D39" s="7"/>
    </row>
    <row r="40" spans="4:4" x14ac:dyDescent="0.3">
      <c r="D40" s="7"/>
    </row>
    <row r="41" spans="4:4" x14ac:dyDescent="0.3">
      <c r="D41" s="7"/>
    </row>
    <row r="42" spans="4:4" x14ac:dyDescent="0.3">
      <c r="D42" s="7"/>
    </row>
    <row r="43" spans="4:4" x14ac:dyDescent="0.3">
      <c r="D43" s="7"/>
    </row>
    <row r="44" spans="4:4" x14ac:dyDescent="0.3">
      <c r="D44" s="7"/>
    </row>
    <row r="45" spans="4:4" x14ac:dyDescent="0.3">
      <c r="D45" s="7"/>
    </row>
    <row r="46" spans="4:4" x14ac:dyDescent="0.3">
      <c r="D46" s="7"/>
    </row>
    <row r="47" spans="4:4" x14ac:dyDescent="0.3">
      <c r="D47" s="7"/>
    </row>
    <row r="48" spans="4:4" x14ac:dyDescent="0.3">
      <c r="D48" s="7"/>
    </row>
    <row r="49" spans="4:4" x14ac:dyDescent="0.3">
      <c r="D49" s="7"/>
    </row>
    <row r="50" spans="4:4" x14ac:dyDescent="0.3">
      <c r="D50" s="7"/>
    </row>
    <row r="51" spans="4:4" x14ac:dyDescent="0.3">
      <c r="D51" s="7"/>
    </row>
    <row r="52" spans="4:4" x14ac:dyDescent="0.3">
      <c r="D52" s="7"/>
    </row>
    <row r="53" spans="4:4" x14ac:dyDescent="0.3">
      <c r="D53" s="7"/>
    </row>
    <row r="54" spans="4:4" x14ac:dyDescent="0.3">
      <c r="D54" s="7"/>
    </row>
    <row r="55" spans="4:4" x14ac:dyDescent="0.3">
      <c r="D55" s="7"/>
    </row>
    <row r="56" spans="4:4" x14ac:dyDescent="0.3">
      <c r="D56" s="7"/>
    </row>
    <row r="57" spans="4:4" x14ac:dyDescent="0.3">
      <c r="D57" s="7"/>
    </row>
    <row r="58" spans="4:4" x14ac:dyDescent="0.3">
      <c r="D58" s="7"/>
    </row>
    <row r="59" spans="4:4" x14ac:dyDescent="0.3">
      <c r="D59" s="7"/>
    </row>
    <row r="60" spans="4:4" x14ac:dyDescent="0.3">
      <c r="D60" s="7"/>
    </row>
    <row r="61" spans="4:4" x14ac:dyDescent="0.3">
      <c r="D61" s="7"/>
    </row>
    <row r="62" spans="4:4" x14ac:dyDescent="0.3">
      <c r="D62" s="7"/>
    </row>
    <row r="63" spans="4:4" x14ac:dyDescent="0.3">
      <c r="D63" s="7"/>
    </row>
    <row r="64" spans="4:4" x14ac:dyDescent="0.3">
      <c r="D64" s="7"/>
    </row>
    <row r="65" spans="4:4" x14ac:dyDescent="0.3">
      <c r="D65" s="7"/>
    </row>
    <row r="66" spans="4:4" x14ac:dyDescent="0.3">
      <c r="D66" s="7"/>
    </row>
    <row r="67" spans="4:4" x14ac:dyDescent="0.3">
      <c r="D67" s="7"/>
    </row>
    <row r="68" spans="4:4" x14ac:dyDescent="0.3">
      <c r="D68" s="7"/>
    </row>
    <row r="69" spans="4:4" x14ac:dyDescent="0.3">
      <c r="D69" s="7"/>
    </row>
    <row r="70" spans="4:4" x14ac:dyDescent="0.3">
      <c r="D70" s="7"/>
    </row>
    <row r="71" spans="4:4" x14ac:dyDescent="0.3">
      <c r="D71" s="7"/>
    </row>
    <row r="72" spans="4:4" x14ac:dyDescent="0.3">
      <c r="D72" s="7"/>
    </row>
    <row r="73" spans="4:4" x14ac:dyDescent="0.3">
      <c r="D73" s="7"/>
    </row>
    <row r="74" spans="4:4" x14ac:dyDescent="0.3">
      <c r="D74" s="7"/>
    </row>
    <row r="75" spans="4:4" x14ac:dyDescent="0.3">
      <c r="D75" s="7"/>
    </row>
    <row r="76" spans="4:4" x14ac:dyDescent="0.3">
      <c r="D76" s="7"/>
    </row>
    <row r="77" spans="4:4" x14ac:dyDescent="0.3">
      <c r="D77" s="7"/>
    </row>
    <row r="78" spans="4:4" x14ac:dyDescent="0.3">
      <c r="D78" s="7"/>
    </row>
    <row r="79" spans="4:4" x14ac:dyDescent="0.3">
      <c r="D79" s="7"/>
    </row>
    <row r="80" spans="4:4" x14ac:dyDescent="0.3">
      <c r="D80" s="7"/>
    </row>
    <row r="81" spans="4:4" x14ac:dyDescent="0.3">
      <c r="D81" s="7"/>
    </row>
    <row r="82" spans="4:4" x14ac:dyDescent="0.3">
      <c r="D82" s="7"/>
    </row>
    <row r="83" spans="4:4" x14ac:dyDescent="0.3">
      <c r="D83" s="7"/>
    </row>
    <row r="84" spans="4:4" x14ac:dyDescent="0.3">
      <c r="D84" s="7"/>
    </row>
    <row r="85" spans="4:4" x14ac:dyDescent="0.3">
      <c r="D85" s="7"/>
    </row>
    <row r="86" spans="4:4" x14ac:dyDescent="0.3">
      <c r="D86" s="7"/>
    </row>
    <row r="87" spans="4:4" x14ac:dyDescent="0.3">
      <c r="D87" s="7"/>
    </row>
    <row r="88" spans="4:4" x14ac:dyDescent="0.3">
      <c r="D88" s="7"/>
    </row>
    <row r="89" spans="4:4" x14ac:dyDescent="0.3">
      <c r="D89" s="7"/>
    </row>
    <row r="90" spans="4:4" x14ac:dyDescent="0.3">
      <c r="D90" s="7"/>
    </row>
    <row r="91" spans="4:4" x14ac:dyDescent="0.3">
      <c r="D91" s="7"/>
    </row>
    <row r="92" spans="4:4" x14ac:dyDescent="0.3">
      <c r="D92" s="7"/>
    </row>
    <row r="93" spans="4:4" x14ac:dyDescent="0.3">
      <c r="D93" s="7"/>
    </row>
    <row r="94" spans="4:4" x14ac:dyDescent="0.3">
      <c r="D94" s="7"/>
    </row>
    <row r="95" spans="4:4" x14ac:dyDescent="0.3">
      <c r="D95" s="7"/>
    </row>
    <row r="96" spans="4:4" x14ac:dyDescent="0.3">
      <c r="D96" s="7"/>
    </row>
    <row r="97" spans="4:4" x14ac:dyDescent="0.3">
      <c r="D97" s="7"/>
    </row>
    <row r="98" spans="4:4" x14ac:dyDescent="0.3">
      <c r="D98" s="7"/>
    </row>
    <row r="99" spans="4:4" x14ac:dyDescent="0.3">
      <c r="D99" s="7"/>
    </row>
    <row r="100" spans="4:4" x14ac:dyDescent="0.3">
      <c r="D100" s="7"/>
    </row>
    <row r="101" spans="4:4" x14ac:dyDescent="0.3">
      <c r="D101" s="7"/>
    </row>
    <row r="102" spans="4:4" x14ac:dyDescent="0.3">
      <c r="D102" s="7"/>
    </row>
    <row r="103" spans="4:4" x14ac:dyDescent="0.3">
      <c r="D103" s="7"/>
    </row>
    <row r="104" spans="4:4" x14ac:dyDescent="0.3">
      <c r="D104" s="7"/>
    </row>
    <row r="105" spans="4:4" x14ac:dyDescent="0.3">
      <c r="D105" s="7"/>
    </row>
    <row r="106" spans="4:4" x14ac:dyDescent="0.3">
      <c r="D106" s="7"/>
    </row>
    <row r="107" spans="4:4" x14ac:dyDescent="0.3">
      <c r="D107" s="7"/>
    </row>
    <row r="108" spans="4:4" x14ac:dyDescent="0.3">
      <c r="D108" s="7"/>
    </row>
    <row r="109" spans="4:4" x14ac:dyDescent="0.3">
      <c r="D109" s="7"/>
    </row>
    <row r="110" spans="4:4" x14ac:dyDescent="0.3">
      <c r="D110" s="7"/>
    </row>
    <row r="111" spans="4:4" x14ac:dyDescent="0.3">
      <c r="D111" s="7"/>
    </row>
    <row r="112" spans="4:4" x14ac:dyDescent="0.3">
      <c r="D112" s="7"/>
    </row>
    <row r="113" spans="4:4" x14ac:dyDescent="0.3">
      <c r="D113" s="7"/>
    </row>
    <row r="114" spans="4:4" x14ac:dyDescent="0.3">
      <c r="D114" s="7"/>
    </row>
    <row r="115" spans="4:4" x14ac:dyDescent="0.3">
      <c r="D115" s="7"/>
    </row>
    <row r="116" spans="4:4" x14ac:dyDescent="0.3">
      <c r="D116" s="7"/>
    </row>
    <row r="117" spans="4:4" x14ac:dyDescent="0.3">
      <c r="D117" s="7"/>
    </row>
    <row r="118" spans="4:4" x14ac:dyDescent="0.3">
      <c r="D118" s="7"/>
    </row>
    <row r="119" spans="4:4" x14ac:dyDescent="0.3">
      <c r="D119" s="7"/>
    </row>
    <row r="120" spans="4:4" x14ac:dyDescent="0.3">
      <c r="D120" s="7"/>
    </row>
    <row r="121" spans="4:4" x14ac:dyDescent="0.3">
      <c r="D121" s="7"/>
    </row>
    <row r="122" spans="4:4" x14ac:dyDescent="0.3">
      <c r="D122" s="7"/>
    </row>
    <row r="123" spans="4:4" x14ac:dyDescent="0.3">
      <c r="D123" s="7"/>
    </row>
    <row r="124" spans="4:4" x14ac:dyDescent="0.3">
      <c r="D124" s="7"/>
    </row>
    <row r="125" spans="4:4" x14ac:dyDescent="0.3">
      <c r="D125" s="7"/>
    </row>
    <row r="126" spans="4:4" x14ac:dyDescent="0.3">
      <c r="D126" s="7"/>
    </row>
    <row r="127" spans="4:4" x14ac:dyDescent="0.3">
      <c r="D127" s="7"/>
    </row>
    <row r="128" spans="4:4" x14ac:dyDescent="0.3">
      <c r="D128" s="7"/>
    </row>
    <row r="129" spans="4:4" x14ac:dyDescent="0.3">
      <c r="D129" s="7"/>
    </row>
    <row r="130" spans="4:4" x14ac:dyDescent="0.3">
      <c r="D130" s="7"/>
    </row>
    <row r="131" spans="4:4" x14ac:dyDescent="0.3">
      <c r="D131" s="7"/>
    </row>
    <row r="132" spans="4:4" x14ac:dyDescent="0.3">
      <c r="D132" s="7"/>
    </row>
    <row r="133" spans="4:4" x14ac:dyDescent="0.3">
      <c r="D133" s="7"/>
    </row>
    <row r="134" spans="4:4" x14ac:dyDescent="0.3">
      <c r="D134" s="7"/>
    </row>
    <row r="135" spans="4:4" x14ac:dyDescent="0.3">
      <c r="D135" s="7"/>
    </row>
    <row r="136" spans="4:4" x14ac:dyDescent="0.3">
      <c r="D136" s="7"/>
    </row>
    <row r="137" spans="4:4" x14ac:dyDescent="0.3">
      <c r="D137" s="7"/>
    </row>
    <row r="138" spans="4:4" x14ac:dyDescent="0.3">
      <c r="D138" s="7"/>
    </row>
    <row r="139" spans="4:4" x14ac:dyDescent="0.3">
      <c r="D139" s="7"/>
    </row>
    <row r="140" spans="4:4" x14ac:dyDescent="0.3">
      <c r="D140" s="7"/>
    </row>
    <row r="141" spans="4:4" x14ac:dyDescent="0.3">
      <c r="D141" s="7"/>
    </row>
    <row r="142" spans="4:4" x14ac:dyDescent="0.3">
      <c r="D142" s="7"/>
    </row>
    <row r="143" spans="4:4" x14ac:dyDescent="0.3">
      <c r="D143" s="7"/>
    </row>
    <row r="144" spans="4:4" x14ac:dyDescent="0.3">
      <c r="D144" s="7"/>
    </row>
    <row r="145" spans="4:4" x14ac:dyDescent="0.3">
      <c r="D145" s="7"/>
    </row>
    <row r="146" spans="4:4" x14ac:dyDescent="0.3">
      <c r="D146" s="7"/>
    </row>
    <row r="147" spans="4:4" x14ac:dyDescent="0.3">
      <c r="D147" s="7"/>
    </row>
    <row r="148" spans="4:4" x14ac:dyDescent="0.3">
      <c r="D148" s="7"/>
    </row>
    <row r="149" spans="4:4" x14ac:dyDescent="0.3">
      <c r="D149" s="7"/>
    </row>
    <row r="150" spans="4:4" x14ac:dyDescent="0.3">
      <c r="D150" s="7"/>
    </row>
    <row r="151" spans="4:4" x14ac:dyDescent="0.3">
      <c r="D151" s="7"/>
    </row>
    <row r="152" spans="4:4" x14ac:dyDescent="0.3">
      <c r="D152" s="7"/>
    </row>
    <row r="153" spans="4:4" x14ac:dyDescent="0.3">
      <c r="D153" s="7"/>
    </row>
    <row r="154" spans="4:4" x14ac:dyDescent="0.3">
      <c r="D154" s="7"/>
    </row>
    <row r="155" spans="4:4" x14ac:dyDescent="0.3">
      <c r="D155" s="7"/>
    </row>
    <row r="156" spans="4:4" x14ac:dyDescent="0.3">
      <c r="D156" s="7"/>
    </row>
    <row r="157" spans="4:4" x14ac:dyDescent="0.3">
      <c r="D157" s="7"/>
    </row>
    <row r="158" spans="4:4" x14ac:dyDescent="0.3">
      <c r="D158" s="7"/>
    </row>
    <row r="159" spans="4:4" x14ac:dyDescent="0.3">
      <c r="D159" s="7"/>
    </row>
    <row r="160" spans="4:4" x14ac:dyDescent="0.3">
      <c r="D160" s="7"/>
    </row>
    <row r="161" spans="4:4" x14ac:dyDescent="0.3">
      <c r="D161" s="7"/>
    </row>
    <row r="162" spans="4:4" x14ac:dyDescent="0.3">
      <c r="D162" s="7"/>
    </row>
    <row r="163" spans="4:4" x14ac:dyDescent="0.3">
      <c r="D163" s="7"/>
    </row>
    <row r="164" spans="4:4" x14ac:dyDescent="0.3">
      <c r="D164" s="7"/>
    </row>
    <row r="165" spans="4:4" x14ac:dyDescent="0.3">
      <c r="D165" s="7"/>
    </row>
    <row r="166" spans="4:4" x14ac:dyDescent="0.3">
      <c r="D166" s="7"/>
    </row>
    <row r="167" spans="4:4" x14ac:dyDescent="0.3">
      <c r="D167" s="7"/>
    </row>
    <row r="168" spans="4:4" x14ac:dyDescent="0.3">
      <c r="D168" s="7"/>
    </row>
    <row r="169" spans="4:4" x14ac:dyDescent="0.3">
      <c r="D169" s="7"/>
    </row>
    <row r="170" spans="4:4" x14ac:dyDescent="0.3">
      <c r="D170" s="7"/>
    </row>
    <row r="171" spans="4:4" x14ac:dyDescent="0.3">
      <c r="D171" s="7"/>
    </row>
    <row r="172" spans="4:4" x14ac:dyDescent="0.3">
      <c r="D172" s="7"/>
    </row>
    <row r="173" spans="4:4" x14ac:dyDescent="0.3">
      <c r="D173" s="7"/>
    </row>
    <row r="174" spans="4:4" x14ac:dyDescent="0.3">
      <c r="D174" s="7"/>
    </row>
    <row r="175" spans="4:4" x14ac:dyDescent="0.3">
      <c r="D175" s="7"/>
    </row>
    <row r="176" spans="4:4" x14ac:dyDescent="0.3">
      <c r="D176" s="7"/>
    </row>
    <row r="177" spans="4:4" x14ac:dyDescent="0.3">
      <c r="D177" s="7"/>
    </row>
    <row r="178" spans="4:4" x14ac:dyDescent="0.3">
      <c r="D178" s="7"/>
    </row>
    <row r="179" spans="4:4" x14ac:dyDescent="0.3">
      <c r="D179" s="7"/>
    </row>
    <row r="180" spans="4:4" x14ac:dyDescent="0.3">
      <c r="D180" s="7"/>
    </row>
    <row r="181" spans="4:4" x14ac:dyDescent="0.3">
      <c r="D181" s="7"/>
    </row>
    <row r="182" spans="4:4" x14ac:dyDescent="0.3">
      <c r="D182" s="7"/>
    </row>
    <row r="183" spans="4:4" x14ac:dyDescent="0.3">
      <c r="D183" s="7"/>
    </row>
    <row r="184" spans="4:4" x14ac:dyDescent="0.3">
      <c r="D184" s="7"/>
    </row>
    <row r="185" spans="4:4" x14ac:dyDescent="0.3">
      <c r="D185" s="7"/>
    </row>
    <row r="186" spans="4:4" x14ac:dyDescent="0.3">
      <c r="D186" s="7"/>
    </row>
    <row r="187" spans="4:4" x14ac:dyDescent="0.3">
      <c r="D187" s="7"/>
    </row>
    <row r="188" spans="4:4" x14ac:dyDescent="0.3">
      <c r="D188" s="7"/>
    </row>
    <row r="189" spans="4:4" x14ac:dyDescent="0.3">
      <c r="D189" s="7"/>
    </row>
    <row r="190" spans="4:4" x14ac:dyDescent="0.3">
      <c r="D190" s="7"/>
    </row>
    <row r="191" spans="4:4" x14ac:dyDescent="0.3">
      <c r="D191" s="7"/>
    </row>
    <row r="192" spans="4:4" x14ac:dyDescent="0.3">
      <c r="D192" s="7"/>
    </row>
    <row r="193" spans="4:4" x14ac:dyDescent="0.3">
      <c r="D193" s="7"/>
    </row>
    <row r="194" spans="4:4" x14ac:dyDescent="0.3">
      <c r="D194" s="7"/>
    </row>
    <row r="195" spans="4:4" x14ac:dyDescent="0.3">
      <c r="D195" s="7"/>
    </row>
    <row r="196" spans="4:4" x14ac:dyDescent="0.3">
      <c r="D196" s="7"/>
    </row>
    <row r="197" spans="4:4" x14ac:dyDescent="0.3">
      <c r="D197" s="7"/>
    </row>
    <row r="198" spans="4:4" x14ac:dyDescent="0.3">
      <c r="D198" s="7"/>
    </row>
    <row r="199" spans="4:4" x14ac:dyDescent="0.3">
      <c r="D199" s="7"/>
    </row>
    <row r="200" spans="4:4" x14ac:dyDescent="0.3">
      <c r="D200" s="7"/>
    </row>
    <row r="201" spans="4:4" x14ac:dyDescent="0.3">
      <c r="D201" s="7"/>
    </row>
    <row r="202" spans="4:4" x14ac:dyDescent="0.3">
      <c r="D202" s="7"/>
    </row>
    <row r="203" spans="4:4" x14ac:dyDescent="0.3">
      <c r="D203" s="7"/>
    </row>
    <row r="204" spans="4:4" x14ac:dyDescent="0.3">
      <c r="D204" s="7"/>
    </row>
    <row r="205" spans="4:4" x14ac:dyDescent="0.3">
      <c r="D205" s="7"/>
    </row>
    <row r="206" spans="4:4" x14ac:dyDescent="0.3">
      <c r="D206" s="7"/>
    </row>
    <row r="207" spans="4:4" x14ac:dyDescent="0.3">
      <c r="D207" s="7"/>
    </row>
    <row r="208" spans="4:4" x14ac:dyDescent="0.3">
      <c r="D208" s="7"/>
    </row>
    <row r="209" spans="4:4" x14ac:dyDescent="0.3">
      <c r="D209" s="7"/>
    </row>
    <row r="210" spans="4:4" x14ac:dyDescent="0.3">
      <c r="D210" s="7"/>
    </row>
    <row r="211" spans="4:4" x14ac:dyDescent="0.3">
      <c r="D211" s="7"/>
    </row>
    <row r="212" spans="4:4" x14ac:dyDescent="0.3">
      <c r="D212" s="7"/>
    </row>
    <row r="213" spans="4:4" x14ac:dyDescent="0.3">
      <c r="D213" s="7"/>
    </row>
    <row r="214" spans="4:4" x14ac:dyDescent="0.3">
      <c r="D214" s="7"/>
    </row>
    <row r="215" spans="4:4" x14ac:dyDescent="0.3">
      <c r="D215" s="7"/>
    </row>
    <row r="216" spans="4:4" x14ac:dyDescent="0.3">
      <c r="D216" s="7"/>
    </row>
    <row r="217" spans="4:4" x14ac:dyDescent="0.3">
      <c r="D217" s="7"/>
    </row>
    <row r="218" spans="4:4" x14ac:dyDescent="0.3">
      <c r="D218" s="7"/>
    </row>
    <row r="219" spans="4:4" x14ac:dyDescent="0.3">
      <c r="D219" s="7"/>
    </row>
    <row r="220" spans="4:4" x14ac:dyDescent="0.3">
      <c r="D220" s="7"/>
    </row>
    <row r="221" spans="4:4" x14ac:dyDescent="0.3">
      <c r="D221" s="7"/>
    </row>
    <row r="222" spans="4:4" x14ac:dyDescent="0.3">
      <c r="D222" s="7"/>
    </row>
    <row r="223" spans="4:4" x14ac:dyDescent="0.3">
      <c r="D223" s="7"/>
    </row>
    <row r="224" spans="4:4" x14ac:dyDescent="0.3">
      <c r="D224" s="7"/>
    </row>
    <row r="225" spans="4:4" x14ac:dyDescent="0.3">
      <c r="D225" s="7"/>
    </row>
    <row r="226" spans="4:4" x14ac:dyDescent="0.3">
      <c r="D226" s="7"/>
    </row>
    <row r="227" spans="4:4" x14ac:dyDescent="0.3">
      <c r="D227" s="7"/>
    </row>
    <row r="228" spans="4:4" x14ac:dyDescent="0.3">
      <c r="D228" s="7"/>
    </row>
    <row r="229" spans="4:4" x14ac:dyDescent="0.3">
      <c r="D229" s="7"/>
    </row>
    <row r="230" spans="4:4" x14ac:dyDescent="0.3">
      <c r="D230" s="7"/>
    </row>
    <row r="231" spans="4:4" x14ac:dyDescent="0.3">
      <c r="D231" s="7"/>
    </row>
    <row r="232" spans="4:4" x14ac:dyDescent="0.3">
      <c r="D232" s="7"/>
    </row>
    <row r="233" spans="4:4" x14ac:dyDescent="0.3">
      <c r="D233" s="7"/>
    </row>
    <row r="234" spans="4:4" x14ac:dyDescent="0.3">
      <c r="D234" s="7"/>
    </row>
    <row r="235" spans="4:4" x14ac:dyDescent="0.3">
      <c r="D235" s="7"/>
    </row>
    <row r="236" spans="4:4" x14ac:dyDescent="0.3">
      <c r="D236" s="7"/>
    </row>
    <row r="237" spans="4:4" x14ac:dyDescent="0.3">
      <c r="D237" s="7"/>
    </row>
    <row r="238" spans="4:4" x14ac:dyDescent="0.3">
      <c r="D238" s="7"/>
    </row>
    <row r="239" spans="4:4" x14ac:dyDescent="0.3">
      <c r="D239" s="7"/>
    </row>
    <row r="240" spans="4:4" x14ac:dyDescent="0.3">
      <c r="D240" s="7"/>
    </row>
    <row r="241" spans="4:4" x14ac:dyDescent="0.3">
      <c r="D241" s="7"/>
    </row>
    <row r="242" spans="4:4" x14ac:dyDescent="0.3">
      <c r="D242" s="7"/>
    </row>
    <row r="243" spans="4:4" x14ac:dyDescent="0.3">
      <c r="D243" s="7"/>
    </row>
    <row r="244" spans="4:4" x14ac:dyDescent="0.3">
      <c r="D244" s="7"/>
    </row>
    <row r="245" spans="4:4" x14ac:dyDescent="0.3">
      <c r="D245" s="7"/>
    </row>
    <row r="246" spans="4:4" x14ac:dyDescent="0.3">
      <c r="D246" s="7"/>
    </row>
    <row r="247" spans="4:4" x14ac:dyDescent="0.3">
      <c r="D247" s="7"/>
    </row>
    <row r="248" spans="4:4" x14ac:dyDescent="0.3">
      <c r="D248" s="7"/>
    </row>
    <row r="249" spans="4:4" x14ac:dyDescent="0.3">
      <c r="D249" s="7"/>
    </row>
    <row r="250" spans="4:4" x14ac:dyDescent="0.3">
      <c r="D250" s="7"/>
    </row>
    <row r="251" spans="4:4" x14ac:dyDescent="0.3">
      <c r="D251" s="7"/>
    </row>
    <row r="252" spans="4:4" x14ac:dyDescent="0.3">
      <c r="D252" s="7"/>
    </row>
    <row r="253" spans="4:4" x14ac:dyDescent="0.3">
      <c r="D253" s="7"/>
    </row>
    <row r="254" spans="4:4" x14ac:dyDescent="0.3">
      <c r="D254" s="7"/>
    </row>
    <row r="255" spans="4:4" x14ac:dyDescent="0.3">
      <c r="D255" s="7"/>
    </row>
    <row r="256" spans="4:4" x14ac:dyDescent="0.3">
      <c r="D256" s="7"/>
    </row>
    <row r="257" spans="4:4" x14ac:dyDescent="0.3">
      <c r="D257" s="7"/>
    </row>
    <row r="258" spans="4:4" x14ac:dyDescent="0.3">
      <c r="D258" s="7"/>
    </row>
    <row r="259" spans="4:4" x14ac:dyDescent="0.3">
      <c r="D259" s="7"/>
    </row>
    <row r="260" spans="4:4" x14ac:dyDescent="0.3">
      <c r="D260" s="7"/>
    </row>
    <row r="261" spans="4:4" x14ac:dyDescent="0.3">
      <c r="D261" s="7"/>
    </row>
    <row r="262" spans="4:4" x14ac:dyDescent="0.3">
      <c r="D262" s="7"/>
    </row>
    <row r="263" spans="4:4" x14ac:dyDescent="0.3">
      <c r="D263" s="7"/>
    </row>
    <row r="264" spans="4:4" x14ac:dyDescent="0.3">
      <c r="D264" s="7"/>
    </row>
    <row r="265" spans="4:4" x14ac:dyDescent="0.3">
      <c r="D265" s="7"/>
    </row>
    <row r="266" spans="4:4" x14ac:dyDescent="0.3">
      <c r="D266" s="7"/>
    </row>
    <row r="267" spans="4:4" x14ac:dyDescent="0.3">
      <c r="D267" s="7"/>
    </row>
    <row r="268" spans="4:4" x14ac:dyDescent="0.3">
      <c r="D268" s="7"/>
    </row>
    <row r="269" spans="4:4" x14ac:dyDescent="0.3">
      <c r="D269" s="7"/>
    </row>
    <row r="270" spans="4:4" x14ac:dyDescent="0.3">
      <c r="D270" s="7"/>
    </row>
    <row r="271" spans="4:4" x14ac:dyDescent="0.3">
      <c r="D271" s="7"/>
    </row>
    <row r="272" spans="4:4" x14ac:dyDescent="0.3">
      <c r="D272" s="7"/>
    </row>
    <row r="273" spans="4:4" x14ac:dyDescent="0.3">
      <c r="D273" s="7"/>
    </row>
    <row r="274" spans="4:4" x14ac:dyDescent="0.3">
      <c r="D274" s="7"/>
    </row>
    <row r="275" spans="4:4" x14ac:dyDescent="0.3">
      <c r="D275" s="7"/>
    </row>
    <row r="276" spans="4:4" x14ac:dyDescent="0.3">
      <c r="D276" s="7"/>
    </row>
    <row r="277" spans="4:4" x14ac:dyDescent="0.3">
      <c r="D277" s="7"/>
    </row>
    <row r="278" spans="4:4" x14ac:dyDescent="0.3">
      <c r="D278" s="7"/>
    </row>
    <row r="279" spans="4:4" x14ac:dyDescent="0.3">
      <c r="D279" s="7"/>
    </row>
    <row r="280" spans="4:4" x14ac:dyDescent="0.3">
      <c r="D280" s="7"/>
    </row>
    <row r="281" spans="4:4" x14ac:dyDescent="0.3">
      <c r="D281" s="7"/>
    </row>
    <row r="282" spans="4:4" x14ac:dyDescent="0.3">
      <c r="D282" s="7"/>
    </row>
    <row r="283" spans="4:4" x14ac:dyDescent="0.3">
      <c r="D283" s="7"/>
    </row>
    <row r="284" spans="4:4" x14ac:dyDescent="0.3">
      <c r="D284" s="7"/>
    </row>
    <row r="285" spans="4:4" x14ac:dyDescent="0.3">
      <c r="D285" s="7"/>
    </row>
    <row r="286" spans="4:4" x14ac:dyDescent="0.3">
      <c r="D286" s="7"/>
    </row>
    <row r="287" spans="4:4" x14ac:dyDescent="0.3">
      <c r="D287" s="7"/>
    </row>
    <row r="288" spans="4:4" x14ac:dyDescent="0.3">
      <c r="D288" s="7"/>
    </row>
    <row r="289" spans="4:4" x14ac:dyDescent="0.3">
      <c r="D289" s="7"/>
    </row>
    <row r="290" spans="4:4" x14ac:dyDescent="0.3">
      <c r="D290" s="7"/>
    </row>
    <row r="291" spans="4:4" x14ac:dyDescent="0.3">
      <c r="D291" s="7"/>
    </row>
    <row r="292" spans="4:4" x14ac:dyDescent="0.3">
      <c r="D292" s="7"/>
    </row>
    <row r="293" spans="4:4" x14ac:dyDescent="0.3">
      <c r="D293" s="7"/>
    </row>
    <row r="294" spans="4:4" x14ac:dyDescent="0.3">
      <c r="D294" s="7"/>
    </row>
    <row r="295" spans="4:4" x14ac:dyDescent="0.3">
      <c r="D295" s="7"/>
    </row>
    <row r="296" spans="4:4" x14ac:dyDescent="0.3">
      <c r="D296" s="7"/>
    </row>
    <row r="297" spans="4:4" x14ac:dyDescent="0.3">
      <c r="D297" s="7"/>
    </row>
    <row r="298" spans="4:4" x14ac:dyDescent="0.3">
      <c r="D298" s="7"/>
    </row>
    <row r="299" spans="4:4" x14ac:dyDescent="0.3">
      <c r="D299" s="7"/>
    </row>
    <row r="300" spans="4:4" x14ac:dyDescent="0.3">
      <c r="D300" s="7"/>
    </row>
    <row r="301" spans="4:4" x14ac:dyDescent="0.3">
      <c r="D301" s="7"/>
    </row>
    <row r="302" spans="4:4" x14ac:dyDescent="0.3">
      <c r="D302" s="7"/>
    </row>
    <row r="303" spans="4:4" x14ac:dyDescent="0.3">
      <c r="D303" s="7"/>
    </row>
    <row r="304" spans="4:4" x14ac:dyDescent="0.3">
      <c r="D304" s="7"/>
    </row>
    <row r="305" spans="4:4" x14ac:dyDescent="0.3">
      <c r="D305" s="7"/>
    </row>
    <row r="306" spans="4:4" x14ac:dyDescent="0.3">
      <c r="D306" s="7"/>
    </row>
    <row r="307" spans="4:4" x14ac:dyDescent="0.3">
      <c r="D307" s="7"/>
    </row>
    <row r="308" spans="4:4" x14ac:dyDescent="0.3">
      <c r="D308" s="7"/>
    </row>
    <row r="309" spans="4:4" x14ac:dyDescent="0.3">
      <c r="D309" s="7"/>
    </row>
    <row r="310" spans="4:4" x14ac:dyDescent="0.3">
      <c r="D310" s="7"/>
    </row>
    <row r="311" spans="4:4" x14ac:dyDescent="0.3">
      <c r="D311" s="7"/>
    </row>
    <row r="312" spans="4:4" x14ac:dyDescent="0.3">
      <c r="D312" s="7"/>
    </row>
    <row r="313" spans="4:4" x14ac:dyDescent="0.3">
      <c r="D313" s="7"/>
    </row>
    <row r="314" spans="4:4" x14ac:dyDescent="0.3">
      <c r="D314" s="7"/>
    </row>
    <row r="315" spans="4:4" x14ac:dyDescent="0.3">
      <c r="D315" s="7"/>
    </row>
    <row r="316" spans="4:4" x14ac:dyDescent="0.3">
      <c r="D316" s="7"/>
    </row>
    <row r="317" spans="4:4" x14ac:dyDescent="0.3">
      <c r="D317" s="7"/>
    </row>
    <row r="318" spans="4:4" x14ac:dyDescent="0.3">
      <c r="D318" s="7"/>
    </row>
    <row r="319" spans="4:4" x14ac:dyDescent="0.3">
      <c r="D319" s="7"/>
    </row>
    <row r="320" spans="4:4" x14ac:dyDescent="0.3">
      <c r="D320" s="7"/>
    </row>
    <row r="321" spans="4:4" x14ac:dyDescent="0.3">
      <c r="D321" s="7"/>
    </row>
    <row r="322" spans="4:4" x14ac:dyDescent="0.3">
      <c r="D322" s="7"/>
    </row>
    <row r="323" spans="4:4" x14ac:dyDescent="0.3">
      <c r="D323" s="7"/>
    </row>
    <row r="324" spans="4:4" x14ac:dyDescent="0.3">
      <c r="D324" s="7"/>
    </row>
    <row r="325" spans="4:4" x14ac:dyDescent="0.3">
      <c r="D325" s="7"/>
    </row>
    <row r="326" spans="4:4" x14ac:dyDescent="0.3">
      <c r="D326" s="7"/>
    </row>
    <row r="327" spans="4:4" x14ac:dyDescent="0.3">
      <c r="D327" s="7"/>
    </row>
    <row r="328" spans="4:4" x14ac:dyDescent="0.3">
      <c r="D328" s="7"/>
    </row>
    <row r="329" spans="4:4" x14ac:dyDescent="0.3">
      <c r="D329" s="7"/>
    </row>
    <row r="330" spans="4:4" x14ac:dyDescent="0.3">
      <c r="D330" s="7"/>
    </row>
    <row r="331" spans="4:4" x14ac:dyDescent="0.3">
      <c r="D331" s="7"/>
    </row>
    <row r="332" spans="4:4" x14ac:dyDescent="0.3">
      <c r="D332" s="7"/>
    </row>
    <row r="333" spans="4:4" x14ac:dyDescent="0.3">
      <c r="D333" s="7"/>
    </row>
    <row r="334" spans="4:4" x14ac:dyDescent="0.3">
      <c r="D334" s="7"/>
    </row>
    <row r="335" spans="4:4" x14ac:dyDescent="0.3">
      <c r="D335" s="7"/>
    </row>
    <row r="336" spans="4:4" x14ac:dyDescent="0.3">
      <c r="D336" s="7"/>
    </row>
    <row r="337" spans="4:4" x14ac:dyDescent="0.3">
      <c r="D337" s="7"/>
    </row>
    <row r="338" spans="4:4" x14ac:dyDescent="0.3">
      <c r="D338" s="7"/>
    </row>
    <row r="339" spans="4:4" x14ac:dyDescent="0.3">
      <c r="D339" s="7"/>
    </row>
    <row r="340" spans="4:4" x14ac:dyDescent="0.3">
      <c r="D340" s="7"/>
    </row>
    <row r="341" spans="4:4" x14ac:dyDescent="0.3">
      <c r="D341" s="7"/>
    </row>
    <row r="342" spans="4:4" x14ac:dyDescent="0.3">
      <c r="D342" s="7"/>
    </row>
    <row r="343" spans="4:4" x14ac:dyDescent="0.3">
      <c r="D343" s="7"/>
    </row>
    <row r="344" spans="4:4" x14ac:dyDescent="0.3">
      <c r="D344" s="7"/>
    </row>
    <row r="345" spans="4:4" x14ac:dyDescent="0.3">
      <c r="D345" s="7"/>
    </row>
    <row r="346" spans="4:4" x14ac:dyDescent="0.3">
      <c r="D346" s="7"/>
    </row>
    <row r="347" spans="4:4" x14ac:dyDescent="0.3">
      <c r="D347" s="7"/>
    </row>
    <row r="348" spans="4:4" x14ac:dyDescent="0.3">
      <c r="D348" s="7"/>
    </row>
    <row r="349" spans="4:4" x14ac:dyDescent="0.3">
      <c r="D349" s="7"/>
    </row>
    <row r="350" spans="4:4" x14ac:dyDescent="0.3">
      <c r="D350" s="7"/>
    </row>
    <row r="351" spans="4:4" x14ac:dyDescent="0.3">
      <c r="D351" s="7"/>
    </row>
    <row r="352" spans="4:4" x14ac:dyDescent="0.3">
      <c r="D352" s="7"/>
    </row>
    <row r="353" spans="4:4" x14ac:dyDescent="0.3">
      <c r="D353" s="7"/>
    </row>
    <row r="354" spans="4:4" x14ac:dyDescent="0.3">
      <c r="D354" s="7"/>
    </row>
    <row r="355" spans="4:4" x14ac:dyDescent="0.3">
      <c r="D355" s="7"/>
    </row>
    <row r="356" spans="4:4" x14ac:dyDescent="0.3">
      <c r="D356" s="7"/>
    </row>
    <row r="357" spans="4:4" x14ac:dyDescent="0.3">
      <c r="D357" s="7"/>
    </row>
    <row r="358" spans="4:4" x14ac:dyDescent="0.3">
      <c r="D358" s="7"/>
    </row>
    <row r="359" spans="4:4" x14ac:dyDescent="0.3">
      <c r="D359" s="7"/>
    </row>
    <row r="360" spans="4:4" x14ac:dyDescent="0.3">
      <c r="D360" s="7"/>
    </row>
    <row r="361" spans="4:4" x14ac:dyDescent="0.3">
      <c r="D361" s="7"/>
    </row>
    <row r="362" spans="4:4" x14ac:dyDescent="0.3">
      <c r="D362" s="7"/>
    </row>
    <row r="363" spans="4:4" x14ac:dyDescent="0.3">
      <c r="D363" s="7"/>
    </row>
    <row r="364" spans="4:4" x14ac:dyDescent="0.3">
      <c r="D364" s="7"/>
    </row>
    <row r="365" spans="4:4" x14ac:dyDescent="0.3">
      <c r="D365" s="7"/>
    </row>
    <row r="366" spans="4:4" x14ac:dyDescent="0.3">
      <c r="D366" s="7"/>
    </row>
    <row r="367" spans="4:4" x14ac:dyDescent="0.3">
      <c r="D367" s="7"/>
    </row>
    <row r="368" spans="4:4" x14ac:dyDescent="0.3">
      <c r="D368" s="7"/>
    </row>
    <row r="369" spans="4:4" x14ac:dyDescent="0.3">
      <c r="D369" s="7"/>
    </row>
    <row r="370" spans="4:4" x14ac:dyDescent="0.3">
      <c r="D370" s="7"/>
    </row>
    <row r="371" spans="4:4" x14ac:dyDescent="0.3">
      <c r="D371" s="7"/>
    </row>
    <row r="372" spans="4:4" x14ac:dyDescent="0.3">
      <c r="D372" s="7"/>
    </row>
    <row r="373" spans="4:4" x14ac:dyDescent="0.3">
      <c r="D373" s="7"/>
    </row>
    <row r="374" spans="4:4" x14ac:dyDescent="0.3">
      <c r="D374" s="7"/>
    </row>
    <row r="375" spans="4:4" x14ac:dyDescent="0.3">
      <c r="D375" s="7"/>
    </row>
    <row r="376" spans="4:4" x14ac:dyDescent="0.3">
      <c r="D376" s="7"/>
    </row>
    <row r="377" spans="4:4" x14ac:dyDescent="0.3">
      <c r="D377" s="7"/>
    </row>
    <row r="378" spans="4:4" x14ac:dyDescent="0.3">
      <c r="D378" s="7"/>
    </row>
    <row r="379" spans="4:4" x14ac:dyDescent="0.3">
      <c r="D379" s="7"/>
    </row>
    <row r="380" spans="4:4" x14ac:dyDescent="0.3">
      <c r="D380" s="7"/>
    </row>
    <row r="381" spans="4:4" x14ac:dyDescent="0.3">
      <c r="D381" s="7"/>
    </row>
    <row r="382" spans="4:4" x14ac:dyDescent="0.3">
      <c r="D382" s="7"/>
    </row>
    <row r="383" spans="4:4" x14ac:dyDescent="0.3">
      <c r="D383" s="7"/>
    </row>
    <row r="384" spans="4:4" x14ac:dyDescent="0.3">
      <c r="D384" s="7"/>
    </row>
    <row r="385" spans="4:4" x14ac:dyDescent="0.3">
      <c r="D385" s="7"/>
    </row>
    <row r="386" spans="4:4" x14ac:dyDescent="0.3">
      <c r="D386" s="7"/>
    </row>
    <row r="387" spans="4:4" x14ac:dyDescent="0.3">
      <c r="D387" s="7"/>
    </row>
    <row r="388" spans="4:4" x14ac:dyDescent="0.3">
      <c r="D388" s="7"/>
    </row>
    <row r="389" spans="4:4" x14ac:dyDescent="0.3">
      <c r="D389" s="7"/>
    </row>
    <row r="390" spans="4:4" x14ac:dyDescent="0.3">
      <c r="D390" s="7"/>
    </row>
    <row r="391" spans="4:4" x14ac:dyDescent="0.3">
      <c r="D391" s="7"/>
    </row>
    <row r="392" spans="4:4" x14ac:dyDescent="0.3">
      <c r="D392" s="7"/>
    </row>
    <row r="393" spans="4:4" x14ac:dyDescent="0.3">
      <c r="D393" s="7"/>
    </row>
    <row r="394" spans="4:4" x14ac:dyDescent="0.3">
      <c r="D394" s="7"/>
    </row>
    <row r="395" spans="4:4" x14ac:dyDescent="0.3">
      <c r="D395" s="7"/>
    </row>
    <row r="396" spans="4:4" x14ac:dyDescent="0.3">
      <c r="D396" s="7"/>
    </row>
    <row r="397" spans="4:4" x14ac:dyDescent="0.3">
      <c r="D397" s="7"/>
    </row>
    <row r="398" spans="4:4" x14ac:dyDescent="0.3">
      <c r="D398" s="7"/>
    </row>
    <row r="399" spans="4:4" x14ac:dyDescent="0.3">
      <c r="D399" s="7"/>
    </row>
    <row r="400" spans="4:4" x14ac:dyDescent="0.3">
      <c r="D400" s="7"/>
    </row>
    <row r="401" spans="4:4" x14ac:dyDescent="0.3">
      <c r="D401" s="7"/>
    </row>
    <row r="402" spans="4:4" x14ac:dyDescent="0.3">
      <c r="D402" s="7"/>
    </row>
    <row r="403" spans="4:4" x14ac:dyDescent="0.3">
      <c r="D403" s="7"/>
    </row>
    <row r="404" spans="4:4" x14ac:dyDescent="0.3">
      <c r="D404" s="7"/>
    </row>
    <row r="405" spans="4:4" x14ac:dyDescent="0.3">
      <c r="D405" s="7"/>
    </row>
    <row r="406" spans="4:4" x14ac:dyDescent="0.3">
      <c r="D406" s="7"/>
    </row>
    <row r="407" spans="4:4" x14ac:dyDescent="0.3">
      <c r="D407" s="7"/>
    </row>
    <row r="408" spans="4:4" x14ac:dyDescent="0.3">
      <c r="D408" s="7"/>
    </row>
    <row r="409" spans="4:4" x14ac:dyDescent="0.3">
      <c r="D409" s="7"/>
    </row>
    <row r="410" spans="4:4" x14ac:dyDescent="0.3">
      <c r="D410" s="7"/>
    </row>
    <row r="411" spans="4:4" x14ac:dyDescent="0.3">
      <c r="D411" s="7"/>
    </row>
    <row r="412" spans="4:4" x14ac:dyDescent="0.3">
      <c r="D412" s="7"/>
    </row>
    <row r="413" spans="4:4" x14ac:dyDescent="0.3">
      <c r="D413" s="7"/>
    </row>
    <row r="414" spans="4:4" x14ac:dyDescent="0.3">
      <c r="D414" s="7"/>
    </row>
    <row r="415" spans="4:4" x14ac:dyDescent="0.3">
      <c r="D415" s="7"/>
    </row>
    <row r="416" spans="4:4" x14ac:dyDescent="0.3">
      <c r="D416" s="7"/>
    </row>
    <row r="417" spans="4:4" x14ac:dyDescent="0.3">
      <c r="D417" s="7"/>
    </row>
    <row r="418" spans="4:4" x14ac:dyDescent="0.3">
      <c r="D418" s="7"/>
    </row>
    <row r="419" spans="4:4" x14ac:dyDescent="0.3">
      <c r="D419" s="7"/>
    </row>
    <row r="420" spans="4:4" x14ac:dyDescent="0.3">
      <c r="D420" s="7"/>
    </row>
    <row r="421" spans="4:4" x14ac:dyDescent="0.3">
      <c r="D421" s="7"/>
    </row>
    <row r="422" spans="4:4" x14ac:dyDescent="0.3">
      <c r="D422" s="7"/>
    </row>
    <row r="423" spans="4:4" x14ac:dyDescent="0.3">
      <c r="D423" s="7"/>
    </row>
    <row r="424" spans="4:4" x14ac:dyDescent="0.3">
      <c r="D424" s="7"/>
    </row>
    <row r="425" spans="4:4" x14ac:dyDescent="0.3">
      <c r="D425" s="7"/>
    </row>
    <row r="426" spans="4:4" x14ac:dyDescent="0.3">
      <c r="D426" s="7"/>
    </row>
    <row r="427" spans="4:4" x14ac:dyDescent="0.3">
      <c r="D427" s="7"/>
    </row>
    <row r="428" spans="4:4" x14ac:dyDescent="0.3">
      <c r="D428" s="7"/>
    </row>
    <row r="429" spans="4:4" x14ac:dyDescent="0.3">
      <c r="D429" s="7"/>
    </row>
    <row r="430" spans="4:4" x14ac:dyDescent="0.3">
      <c r="D430" s="7"/>
    </row>
    <row r="431" spans="4:4" x14ac:dyDescent="0.3">
      <c r="D431" s="7"/>
    </row>
    <row r="432" spans="4:4" x14ac:dyDescent="0.3">
      <c r="D432" s="7"/>
    </row>
    <row r="433" spans="4:4" x14ac:dyDescent="0.3">
      <c r="D433" s="7"/>
    </row>
    <row r="434" spans="4:4" x14ac:dyDescent="0.3">
      <c r="D434" s="7"/>
    </row>
    <row r="435" spans="4:4" x14ac:dyDescent="0.3">
      <c r="D435" s="7"/>
    </row>
    <row r="436" spans="4:4" x14ac:dyDescent="0.3">
      <c r="D436" s="7"/>
    </row>
    <row r="437" spans="4:4" x14ac:dyDescent="0.3">
      <c r="D437" s="7"/>
    </row>
    <row r="438" spans="4:4" x14ac:dyDescent="0.3">
      <c r="D438" s="7"/>
    </row>
    <row r="439" spans="4:4" x14ac:dyDescent="0.3">
      <c r="D439" s="7"/>
    </row>
    <row r="440" spans="4:4" x14ac:dyDescent="0.3">
      <c r="D440" s="7"/>
    </row>
    <row r="441" spans="4:4" x14ac:dyDescent="0.3">
      <c r="D441" s="7"/>
    </row>
    <row r="442" spans="4:4" x14ac:dyDescent="0.3">
      <c r="D442" s="7"/>
    </row>
    <row r="443" spans="4:4" x14ac:dyDescent="0.3">
      <c r="D443" s="7"/>
    </row>
    <row r="444" spans="4:4" x14ac:dyDescent="0.3">
      <c r="D444" s="7"/>
    </row>
    <row r="445" spans="4:4" x14ac:dyDescent="0.3">
      <c r="D445" s="7"/>
    </row>
    <row r="446" spans="4:4" x14ac:dyDescent="0.3">
      <c r="D446" s="7"/>
    </row>
    <row r="447" spans="4:4" x14ac:dyDescent="0.3">
      <c r="D447" s="7"/>
    </row>
    <row r="448" spans="4:4" x14ac:dyDescent="0.3">
      <c r="D448" s="7"/>
    </row>
    <row r="449" spans="4:4" x14ac:dyDescent="0.3">
      <c r="D449" s="7"/>
    </row>
    <row r="450" spans="4:4" x14ac:dyDescent="0.3">
      <c r="D450" s="7"/>
    </row>
    <row r="451" spans="4:4" x14ac:dyDescent="0.3">
      <c r="D451" s="7"/>
    </row>
    <row r="452" spans="4:4" x14ac:dyDescent="0.3">
      <c r="D452" s="7"/>
    </row>
    <row r="453" spans="4:4" x14ac:dyDescent="0.3">
      <c r="D453" s="7"/>
    </row>
    <row r="454" spans="4:4" x14ac:dyDescent="0.3">
      <c r="D454" s="7"/>
    </row>
    <row r="455" spans="4:4" x14ac:dyDescent="0.3">
      <c r="D455" s="7"/>
    </row>
    <row r="456" spans="4:4" x14ac:dyDescent="0.3">
      <c r="D456" s="7"/>
    </row>
    <row r="457" spans="4:4" x14ac:dyDescent="0.3">
      <c r="D457" s="7"/>
    </row>
    <row r="458" spans="4:4" x14ac:dyDescent="0.3">
      <c r="D458" s="7"/>
    </row>
    <row r="459" spans="4:4" x14ac:dyDescent="0.3">
      <c r="D459" s="7"/>
    </row>
    <row r="460" spans="4:4" x14ac:dyDescent="0.3">
      <c r="D460" s="7"/>
    </row>
    <row r="461" spans="4:4" x14ac:dyDescent="0.3">
      <c r="D461" s="7"/>
    </row>
    <row r="462" spans="4:4" x14ac:dyDescent="0.3">
      <c r="D462" s="7"/>
    </row>
    <row r="463" spans="4:4" x14ac:dyDescent="0.3">
      <c r="D463" s="7"/>
    </row>
    <row r="464" spans="4:4" x14ac:dyDescent="0.3">
      <c r="D464" s="7"/>
    </row>
    <row r="465" spans="4:4" x14ac:dyDescent="0.3">
      <c r="D465" s="7"/>
    </row>
    <row r="466" spans="4:4" x14ac:dyDescent="0.3">
      <c r="D466" s="7"/>
    </row>
    <row r="467" spans="4:4" x14ac:dyDescent="0.3">
      <c r="D467" s="7"/>
    </row>
    <row r="468" spans="4:4" x14ac:dyDescent="0.3">
      <c r="D468" s="7"/>
    </row>
    <row r="469" spans="4:4" x14ac:dyDescent="0.3">
      <c r="D469" s="7"/>
    </row>
    <row r="470" spans="4:4" x14ac:dyDescent="0.3">
      <c r="D470" s="7"/>
    </row>
    <row r="471" spans="4:4" x14ac:dyDescent="0.3">
      <c r="D471" s="7"/>
    </row>
    <row r="472" spans="4:4" x14ac:dyDescent="0.3">
      <c r="D472" s="7"/>
    </row>
    <row r="473" spans="4:4" x14ac:dyDescent="0.3">
      <c r="D473" s="7"/>
    </row>
    <row r="474" spans="4:4" x14ac:dyDescent="0.3">
      <c r="D474" s="7"/>
    </row>
    <row r="475" spans="4:4" x14ac:dyDescent="0.3">
      <c r="D475" s="7"/>
    </row>
    <row r="476" spans="4:4" x14ac:dyDescent="0.3">
      <c r="D476" s="7"/>
    </row>
    <row r="477" spans="4:4" x14ac:dyDescent="0.3">
      <c r="D477" s="7"/>
    </row>
    <row r="478" spans="4:4" x14ac:dyDescent="0.3">
      <c r="D478" s="7"/>
    </row>
    <row r="479" spans="4:4" x14ac:dyDescent="0.3">
      <c r="D479" s="7"/>
    </row>
    <row r="480" spans="4:4" x14ac:dyDescent="0.3">
      <c r="D480" s="7"/>
    </row>
    <row r="481" spans="4:4" x14ac:dyDescent="0.3">
      <c r="D481" s="7"/>
    </row>
    <row r="482" spans="4:4" x14ac:dyDescent="0.3">
      <c r="D482" s="7"/>
    </row>
    <row r="483" spans="4:4" x14ac:dyDescent="0.3">
      <c r="D483" s="7"/>
    </row>
    <row r="484" spans="4:4" x14ac:dyDescent="0.3">
      <c r="D484" s="7"/>
    </row>
    <row r="485" spans="4:4" x14ac:dyDescent="0.3">
      <c r="D485" s="7"/>
    </row>
    <row r="486" spans="4:4" x14ac:dyDescent="0.3">
      <c r="D486" s="7"/>
    </row>
    <row r="487" spans="4:4" x14ac:dyDescent="0.3">
      <c r="D487" s="7"/>
    </row>
    <row r="488" spans="4:4" x14ac:dyDescent="0.3">
      <c r="D488" s="7"/>
    </row>
    <row r="489" spans="4:4" x14ac:dyDescent="0.3">
      <c r="D489" s="7"/>
    </row>
    <row r="490" spans="4:4" x14ac:dyDescent="0.3">
      <c r="D490" s="7"/>
    </row>
    <row r="491" spans="4:4" x14ac:dyDescent="0.3">
      <c r="D491" s="7"/>
    </row>
    <row r="492" spans="4:4" x14ac:dyDescent="0.3">
      <c r="D492" s="7"/>
    </row>
    <row r="493" spans="4:4" x14ac:dyDescent="0.3">
      <c r="D493" s="7"/>
    </row>
    <row r="494" spans="4:4" x14ac:dyDescent="0.3">
      <c r="D494" s="7"/>
    </row>
    <row r="495" spans="4:4" x14ac:dyDescent="0.3">
      <c r="D495" s="7"/>
    </row>
    <row r="496" spans="4:4" x14ac:dyDescent="0.3">
      <c r="D496" s="7"/>
    </row>
    <row r="497" spans="4:4" x14ac:dyDescent="0.3">
      <c r="D497" s="7"/>
    </row>
    <row r="498" spans="4:4" x14ac:dyDescent="0.3">
      <c r="D498" s="7"/>
    </row>
    <row r="499" spans="4:4" x14ac:dyDescent="0.3">
      <c r="D499" s="7"/>
    </row>
    <row r="500" spans="4:4" x14ac:dyDescent="0.3">
      <c r="D500" s="7"/>
    </row>
    <row r="501" spans="4:4" x14ac:dyDescent="0.3">
      <c r="D501" s="7"/>
    </row>
    <row r="502" spans="4:4" x14ac:dyDescent="0.3">
      <c r="D502" s="7"/>
    </row>
    <row r="503" spans="4:4" x14ac:dyDescent="0.3">
      <c r="D503" s="7"/>
    </row>
    <row r="504" spans="4:4" x14ac:dyDescent="0.3">
      <c r="D504" s="7"/>
    </row>
    <row r="505" spans="4:4" x14ac:dyDescent="0.3">
      <c r="D505" s="7"/>
    </row>
    <row r="506" spans="4:4" x14ac:dyDescent="0.3">
      <c r="D506" s="7"/>
    </row>
    <row r="507" spans="4:4" x14ac:dyDescent="0.3">
      <c r="D507" s="7"/>
    </row>
    <row r="508" spans="4:4" x14ac:dyDescent="0.3">
      <c r="D508" s="7"/>
    </row>
    <row r="509" spans="4:4" x14ac:dyDescent="0.3">
      <c r="D509" s="7"/>
    </row>
    <row r="510" spans="4:4" x14ac:dyDescent="0.3">
      <c r="D510" s="7"/>
    </row>
    <row r="511" spans="4:4" x14ac:dyDescent="0.3">
      <c r="D511" s="7"/>
    </row>
    <row r="512" spans="4:4" x14ac:dyDescent="0.3">
      <c r="D512" s="7"/>
    </row>
    <row r="513" spans="4:4" x14ac:dyDescent="0.3">
      <c r="D513" s="7"/>
    </row>
    <row r="514" spans="4:4" x14ac:dyDescent="0.3">
      <c r="D514" s="7"/>
    </row>
    <row r="515" spans="4:4" x14ac:dyDescent="0.3">
      <c r="D515" s="7"/>
    </row>
    <row r="516" spans="4:4" x14ac:dyDescent="0.3">
      <c r="D516" s="7"/>
    </row>
    <row r="517" spans="4:4" x14ac:dyDescent="0.3">
      <c r="D517" s="7"/>
    </row>
    <row r="518" spans="4:4" x14ac:dyDescent="0.3">
      <c r="D518" s="7"/>
    </row>
    <row r="519" spans="4:4" x14ac:dyDescent="0.3">
      <c r="D519" s="7"/>
    </row>
    <row r="520" spans="4:4" x14ac:dyDescent="0.3">
      <c r="D520" s="7"/>
    </row>
    <row r="521" spans="4:4" x14ac:dyDescent="0.3">
      <c r="D521" s="7"/>
    </row>
    <row r="522" spans="4:4" x14ac:dyDescent="0.3">
      <c r="D522" s="7"/>
    </row>
    <row r="523" spans="4:4" x14ac:dyDescent="0.3">
      <c r="D523" s="7"/>
    </row>
    <row r="524" spans="4:4" x14ac:dyDescent="0.3">
      <c r="D524" s="7"/>
    </row>
    <row r="525" spans="4:4" x14ac:dyDescent="0.3">
      <c r="D525" s="7"/>
    </row>
    <row r="526" spans="4:4" x14ac:dyDescent="0.3">
      <c r="D526" s="7"/>
    </row>
    <row r="527" spans="4:4" x14ac:dyDescent="0.3">
      <c r="D527" s="7"/>
    </row>
    <row r="528" spans="4:4" x14ac:dyDescent="0.3">
      <c r="D528" s="7"/>
    </row>
    <row r="529" spans="4:4" x14ac:dyDescent="0.3">
      <c r="D529" s="7"/>
    </row>
    <row r="530" spans="4:4" x14ac:dyDescent="0.3">
      <c r="D530" s="7"/>
    </row>
    <row r="531" spans="4:4" x14ac:dyDescent="0.3">
      <c r="D531" s="7"/>
    </row>
    <row r="532" spans="4:4" x14ac:dyDescent="0.3">
      <c r="D532" s="7"/>
    </row>
    <row r="533" spans="4:4" x14ac:dyDescent="0.3">
      <c r="D533" s="7"/>
    </row>
    <row r="534" spans="4:4" x14ac:dyDescent="0.3">
      <c r="D534" s="7"/>
    </row>
    <row r="535" spans="4:4" x14ac:dyDescent="0.3">
      <c r="D535" s="7"/>
    </row>
    <row r="536" spans="4:4" x14ac:dyDescent="0.3">
      <c r="D536" s="7"/>
    </row>
    <row r="537" spans="4:4" x14ac:dyDescent="0.3">
      <c r="D537" s="7"/>
    </row>
    <row r="538" spans="4:4" x14ac:dyDescent="0.3">
      <c r="D538" s="7"/>
    </row>
    <row r="539" spans="4:4" x14ac:dyDescent="0.3">
      <c r="D539" s="7"/>
    </row>
    <row r="540" spans="4:4" x14ac:dyDescent="0.3">
      <c r="D540" s="7"/>
    </row>
    <row r="541" spans="4:4" x14ac:dyDescent="0.3">
      <c r="D541" s="7"/>
    </row>
    <row r="542" spans="4:4" x14ac:dyDescent="0.3">
      <c r="D542" s="7"/>
    </row>
    <row r="543" spans="4:4" x14ac:dyDescent="0.3">
      <c r="D543" s="7"/>
    </row>
    <row r="544" spans="4:4" x14ac:dyDescent="0.3">
      <c r="D544" s="7"/>
    </row>
    <row r="545" spans="4:4" x14ac:dyDescent="0.3">
      <c r="D545" s="7"/>
    </row>
    <row r="546" spans="4:4" x14ac:dyDescent="0.3">
      <c r="D546" s="7"/>
    </row>
    <row r="547" spans="4:4" x14ac:dyDescent="0.3">
      <c r="D547" s="7"/>
    </row>
    <row r="548" spans="4:4" x14ac:dyDescent="0.3">
      <c r="D548" s="7"/>
    </row>
    <row r="549" spans="4:4" x14ac:dyDescent="0.3">
      <c r="D549" s="7"/>
    </row>
    <row r="550" spans="4:4" x14ac:dyDescent="0.3">
      <c r="D550" s="7"/>
    </row>
    <row r="551" spans="4:4" x14ac:dyDescent="0.3">
      <c r="D551" s="7"/>
    </row>
    <row r="552" spans="4:4" x14ac:dyDescent="0.3">
      <c r="D552" s="7"/>
    </row>
    <row r="553" spans="4:4" x14ac:dyDescent="0.3">
      <c r="D553" s="7"/>
    </row>
    <row r="554" spans="4:4" x14ac:dyDescent="0.3">
      <c r="D554" s="7"/>
    </row>
    <row r="555" spans="4:4" x14ac:dyDescent="0.3">
      <c r="D555" s="7"/>
    </row>
    <row r="556" spans="4:4" x14ac:dyDescent="0.3">
      <c r="D556" s="7"/>
    </row>
    <row r="557" spans="4:4" x14ac:dyDescent="0.3">
      <c r="D557" s="7"/>
    </row>
    <row r="558" spans="4:4" x14ac:dyDescent="0.3">
      <c r="D558" s="7"/>
    </row>
    <row r="559" spans="4:4" x14ac:dyDescent="0.3">
      <c r="D559" s="7"/>
    </row>
    <row r="560" spans="4:4" x14ac:dyDescent="0.3">
      <c r="D560" s="7"/>
    </row>
    <row r="561" spans="4:4" x14ac:dyDescent="0.3">
      <c r="D561" s="7"/>
    </row>
    <row r="562" spans="4:4" x14ac:dyDescent="0.3">
      <c r="D562" s="7"/>
    </row>
    <row r="563" spans="4:4" x14ac:dyDescent="0.3">
      <c r="D563" s="7"/>
    </row>
    <row r="564" spans="4:4" x14ac:dyDescent="0.3">
      <c r="D564" s="7"/>
    </row>
    <row r="565" spans="4:4" x14ac:dyDescent="0.3">
      <c r="D565" s="7"/>
    </row>
    <row r="566" spans="4:4" x14ac:dyDescent="0.3">
      <c r="D566" s="7"/>
    </row>
    <row r="567" spans="4:4" x14ac:dyDescent="0.3">
      <c r="D567" s="7"/>
    </row>
    <row r="568" spans="4:4" x14ac:dyDescent="0.3">
      <c r="D568" s="7"/>
    </row>
    <row r="569" spans="4:4" x14ac:dyDescent="0.3">
      <c r="D569" s="7"/>
    </row>
    <row r="570" spans="4:4" x14ac:dyDescent="0.3">
      <c r="D570" s="7"/>
    </row>
    <row r="571" spans="4:4" x14ac:dyDescent="0.3">
      <c r="D571" s="7"/>
    </row>
    <row r="572" spans="4:4" x14ac:dyDescent="0.3">
      <c r="D572" s="7"/>
    </row>
    <row r="573" spans="4:4" x14ac:dyDescent="0.3">
      <c r="D573" s="7"/>
    </row>
    <row r="574" spans="4:4" x14ac:dyDescent="0.3">
      <c r="D574" s="7"/>
    </row>
    <row r="575" spans="4:4" x14ac:dyDescent="0.3">
      <c r="D575" s="7"/>
    </row>
    <row r="576" spans="4:4" x14ac:dyDescent="0.3">
      <c r="D576" s="7"/>
    </row>
    <row r="577" spans="4:4" x14ac:dyDescent="0.3">
      <c r="D577" s="7"/>
    </row>
    <row r="578" spans="4:4" x14ac:dyDescent="0.3">
      <c r="D578" s="7"/>
    </row>
    <row r="579" spans="4:4" x14ac:dyDescent="0.3">
      <c r="D579" s="7"/>
    </row>
    <row r="580" spans="4:4" x14ac:dyDescent="0.3">
      <c r="D580" s="7"/>
    </row>
    <row r="581" spans="4:4" x14ac:dyDescent="0.3">
      <c r="D581" s="7"/>
    </row>
    <row r="582" spans="4:4" x14ac:dyDescent="0.3">
      <c r="D582" s="7"/>
    </row>
    <row r="583" spans="4:4" x14ac:dyDescent="0.3">
      <c r="D583" s="7"/>
    </row>
    <row r="584" spans="4:4" x14ac:dyDescent="0.3">
      <c r="D584" s="7"/>
    </row>
    <row r="585" spans="4:4" x14ac:dyDescent="0.3">
      <c r="D585" s="7"/>
    </row>
    <row r="586" spans="4:4" x14ac:dyDescent="0.3">
      <c r="D586" s="7"/>
    </row>
    <row r="587" spans="4:4" x14ac:dyDescent="0.3">
      <c r="D587" s="7"/>
    </row>
    <row r="588" spans="4:4" x14ac:dyDescent="0.3">
      <c r="D588" s="7"/>
    </row>
    <row r="589" spans="4:4" x14ac:dyDescent="0.3">
      <c r="D589" s="7"/>
    </row>
    <row r="590" spans="4:4" x14ac:dyDescent="0.3">
      <c r="D590" s="7"/>
    </row>
    <row r="591" spans="4:4" x14ac:dyDescent="0.3">
      <c r="D591" s="7"/>
    </row>
    <row r="592" spans="4:4" x14ac:dyDescent="0.3">
      <c r="D592" s="7"/>
    </row>
    <row r="593" spans="4:4" x14ac:dyDescent="0.3">
      <c r="D593" s="7"/>
    </row>
    <row r="594" spans="4:4" x14ac:dyDescent="0.3">
      <c r="D594" s="7"/>
    </row>
    <row r="595" spans="4:4" x14ac:dyDescent="0.3">
      <c r="D595" s="7"/>
    </row>
    <row r="596" spans="4:4" x14ac:dyDescent="0.3">
      <c r="D596" s="7"/>
    </row>
    <row r="597" spans="4:4" x14ac:dyDescent="0.3">
      <c r="D597" s="7"/>
    </row>
    <row r="598" spans="4:4" x14ac:dyDescent="0.3">
      <c r="D598" s="7"/>
    </row>
    <row r="599" spans="4:4" x14ac:dyDescent="0.3">
      <c r="D599" s="7"/>
    </row>
    <row r="600" spans="4:4" x14ac:dyDescent="0.3">
      <c r="D600" s="7"/>
    </row>
    <row r="601" spans="4:4" x14ac:dyDescent="0.3">
      <c r="D601" s="7"/>
    </row>
    <row r="602" spans="4:4" x14ac:dyDescent="0.3">
      <c r="D602" s="7"/>
    </row>
    <row r="603" spans="4:4" x14ac:dyDescent="0.3">
      <c r="D603" s="7"/>
    </row>
    <row r="604" spans="4:4" x14ac:dyDescent="0.3">
      <c r="D604" s="7"/>
    </row>
    <row r="605" spans="4:4" x14ac:dyDescent="0.3">
      <c r="D605" s="7"/>
    </row>
    <row r="606" spans="4:4" x14ac:dyDescent="0.3">
      <c r="D606" s="7"/>
    </row>
    <row r="607" spans="4:4" x14ac:dyDescent="0.3">
      <c r="D607" s="7"/>
    </row>
    <row r="608" spans="4:4" x14ac:dyDescent="0.3">
      <c r="D608" s="7"/>
    </row>
    <row r="609" spans="4:4" x14ac:dyDescent="0.3">
      <c r="D609" s="7"/>
    </row>
    <row r="610" spans="4:4" x14ac:dyDescent="0.3">
      <c r="D610" s="7"/>
    </row>
    <row r="611" spans="4:4" x14ac:dyDescent="0.3">
      <c r="D611" s="7"/>
    </row>
    <row r="612" spans="4:4" x14ac:dyDescent="0.3">
      <c r="D612" s="7"/>
    </row>
    <row r="613" spans="4:4" x14ac:dyDescent="0.3">
      <c r="D613" s="7"/>
    </row>
    <row r="614" spans="4:4" x14ac:dyDescent="0.3">
      <c r="D614" s="7"/>
    </row>
    <row r="615" spans="4:4" x14ac:dyDescent="0.3">
      <c r="D615" s="7"/>
    </row>
    <row r="616" spans="4:4" x14ac:dyDescent="0.3">
      <c r="D616" s="7"/>
    </row>
    <row r="617" spans="4:4" x14ac:dyDescent="0.3">
      <c r="D617" s="7"/>
    </row>
    <row r="618" spans="4:4" x14ac:dyDescent="0.3">
      <c r="D618" s="7"/>
    </row>
    <row r="619" spans="4:4" x14ac:dyDescent="0.3">
      <c r="D619" s="7"/>
    </row>
    <row r="620" spans="4:4" x14ac:dyDescent="0.3">
      <c r="D620" s="7"/>
    </row>
    <row r="621" spans="4:4" x14ac:dyDescent="0.3">
      <c r="D621" s="7"/>
    </row>
    <row r="622" spans="4:4" x14ac:dyDescent="0.3">
      <c r="D622" s="7"/>
    </row>
    <row r="623" spans="4:4" x14ac:dyDescent="0.3">
      <c r="D623" s="7"/>
    </row>
    <row r="624" spans="4:4" x14ac:dyDescent="0.3">
      <c r="D624" s="7"/>
    </row>
    <row r="625" spans="4:4" x14ac:dyDescent="0.3">
      <c r="D625" s="7"/>
    </row>
    <row r="626" spans="4:4" x14ac:dyDescent="0.3">
      <c r="D626" s="7"/>
    </row>
    <row r="627" spans="4:4" x14ac:dyDescent="0.3">
      <c r="D627" s="7"/>
    </row>
    <row r="628" spans="4:4" x14ac:dyDescent="0.3">
      <c r="D628" s="7"/>
    </row>
    <row r="629" spans="4:4" x14ac:dyDescent="0.3">
      <c r="D629" s="7"/>
    </row>
    <row r="630" spans="4:4" x14ac:dyDescent="0.3">
      <c r="D630" s="7"/>
    </row>
    <row r="631" spans="4:4" x14ac:dyDescent="0.3">
      <c r="D631" s="7"/>
    </row>
    <row r="632" spans="4:4" x14ac:dyDescent="0.3">
      <c r="D632" s="7"/>
    </row>
    <row r="633" spans="4:4" x14ac:dyDescent="0.3">
      <c r="D633" s="7"/>
    </row>
    <row r="634" spans="4:4" x14ac:dyDescent="0.3">
      <c r="D634" s="7"/>
    </row>
    <row r="635" spans="4:4" x14ac:dyDescent="0.3">
      <c r="D635" s="7"/>
    </row>
    <row r="636" spans="4:4" x14ac:dyDescent="0.3">
      <c r="D636" s="7"/>
    </row>
    <row r="637" spans="4:4" x14ac:dyDescent="0.3">
      <c r="D637" s="7"/>
    </row>
    <row r="638" spans="4:4" x14ac:dyDescent="0.3">
      <c r="D638" s="7"/>
    </row>
    <row r="639" spans="4:4" x14ac:dyDescent="0.3">
      <c r="D639" s="7"/>
    </row>
    <row r="640" spans="4:4" x14ac:dyDescent="0.3">
      <c r="D640" s="7"/>
    </row>
    <row r="641" spans="4:4" x14ac:dyDescent="0.3">
      <c r="D641" s="7"/>
    </row>
    <row r="642" spans="4:4" x14ac:dyDescent="0.3">
      <c r="D642" s="7"/>
    </row>
    <row r="643" spans="4:4" x14ac:dyDescent="0.3">
      <c r="D643" s="7"/>
    </row>
    <row r="644" spans="4:4" x14ac:dyDescent="0.3">
      <c r="D644" s="7"/>
    </row>
    <row r="645" spans="4:4" x14ac:dyDescent="0.3">
      <c r="D645" s="7"/>
    </row>
    <row r="646" spans="4:4" x14ac:dyDescent="0.3">
      <c r="D646" s="7"/>
    </row>
    <row r="647" spans="4:4" x14ac:dyDescent="0.3">
      <c r="D647" s="7"/>
    </row>
    <row r="648" spans="4:4" x14ac:dyDescent="0.3">
      <c r="D648" s="7"/>
    </row>
    <row r="649" spans="4:4" x14ac:dyDescent="0.3">
      <c r="D649" s="7"/>
    </row>
    <row r="650" spans="4:4" x14ac:dyDescent="0.3">
      <c r="D650" s="7"/>
    </row>
    <row r="651" spans="4:4" x14ac:dyDescent="0.3">
      <c r="D651" s="7"/>
    </row>
    <row r="652" spans="4:4" x14ac:dyDescent="0.3">
      <c r="D652" s="7"/>
    </row>
    <row r="653" spans="4:4" x14ac:dyDescent="0.3">
      <c r="D653" s="7"/>
    </row>
    <row r="654" spans="4:4" x14ac:dyDescent="0.3">
      <c r="D654" s="7"/>
    </row>
    <row r="655" spans="4:4" x14ac:dyDescent="0.3">
      <c r="D655" s="7"/>
    </row>
    <row r="656" spans="4:4" x14ac:dyDescent="0.3">
      <c r="D656" s="7"/>
    </row>
    <row r="657" spans="4:4" x14ac:dyDescent="0.3">
      <c r="D657" s="7"/>
    </row>
    <row r="658" spans="4:4" x14ac:dyDescent="0.3">
      <c r="D658" s="7"/>
    </row>
    <row r="659" spans="4:4" x14ac:dyDescent="0.3">
      <c r="D659" s="7"/>
    </row>
    <row r="660" spans="4:4" x14ac:dyDescent="0.3">
      <c r="D660" s="7"/>
    </row>
    <row r="661" spans="4:4" x14ac:dyDescent="0.3">
      <c r="D661" s="7"/>
    </row>
    <row r="662" spans="4:4" x14ac:dyDescent="0.3">
      <c r="D662" s="7"/>
    </row>
    <row r="663" spans="4:4" x14ac:dyDescent="0.3">
      <c r="D663" s="7"/>
    </row>
    <row r="664" spans="4:4" x14ac:dyDescent="0.3">
      <c r="D664" s="7"/>
    </row>
    <row r="665" spans="4:4" x14ac:dyDescent="0.3">
      <c r="D665" s="7"/>
    </row>
    <row r="666" spans="4:4" x14ac:dyDescent="0.3">
      <c r="D666" s="7"/>
    </row>
    <row r="667" spans="4:4" x14ac:dyDescent="0.3">
      <c r="D667" s="7"/>
    </row>
    <row r="668" spans="4:4" x14ac:dyDescent="0.3">
      <c r="D668" s="7"/>
    </row>
    <row r="669" spans="4:4" x14ac:dyDescent="0.3">
      <c r="D669" s="7"/>
    </row>
    <row r="670" spans="4:4" x14ac:dyDescent="0.3">
      <c r="D670" s="7"/>
    </row>
    <row r="671" spans="4:4" x14ac:dyDescent="0.3">
      <c r="D671" s="7"/>
    </row>
    <row r="672" spans="4:4" x14ac:dyDescent="0.3">
      <c r="D672" s="7"/>
    </row>
    <row r="673" spans="4:4" x14ac:dyDescent="0.3">
      <c r="D673" s="7"/>
    </row>
    <row r="674" spans="4:4" x14ac:dyDescent="0.3">
      <c r="D674" s="7"/>
    </row>
    <row r="675" spans="4:4" x14ac:dyDescent="0.3">
      <c r="D675" s="7"/>
    </row>
    <row r="676" spans="4:4" x14ac:dyDescent="0.3">
      <c r="D676" s="7"/>
    </row>
    <row r="677" spans="4:4" x14ac:dyDescent="0.3">
      <c r="D677" s="7"/>
    </row>
    <row r="678" spans="4:4" x14ac:dyDescent="0.3">
      <c r="D678" s="7"/>
    </row>
    <row r="679" spans="4:4" x14ac:dyDescent="0.3">
      <c r="D679" s="7"/>
    </row>
    <row r="680" spans="4:4" x14ac:dyDescent="0.3">
      <c r="D680" s="7"/>
    </row>
    <row r="681" spans="4:4" x14ac:dyDescent="0.3">
      <c r="D681" s="7"/>
    </row>
    <row r="682" spans="4:4" x14ac:dyDescent="0.3">
      <c r="D682" s="7"/>
    </row>
    <row r="683" spans="4:4" x14ac:dyDescent="0.3">
      <c r="D683" s="7"/>
    </row>
    <row r="684" spans="4:4" x14ac:dyDescent="0.3">
      <c r="D684" s="7"/>
    </row>
    <row r="685" spans="4:4" x14ac:dyDescent="0.3">
      <c r="D685" s="7"/>
    </row>
    <row r="686" spans="4:4" x14ac:dyDescent="0.3">
      <c r="D686" s="7"/>
    </row>
    <row r="687" spans="4:4" x14ac:dyDescent="0.3">
      <c r="D687" s="7"/>
    </row>
    <row r="688" spans="4:4" x14ac:dyDescent="0.3">
      <c r="D688" s="7"/>
    </row>
    <row r="689" spans="4:4" x14ac:dyDescent="0.3">
      <c r="D689" s="7"/>
    </row>
    <row r="690" spans="4:4" x14ac:dyDescent="0.3">
      <c r="D690" s="7"/>
    </row>
    <row r="691" spans="4:4" x14ac:dyDescent="0.3">
      <c r="D691" s="7"/>
    </row>
    <row r="692" spans="4:4" x14ac:dyDescent="0.3">
      <c r="D692" s="7"/>
    </row>
    <row r="693" spans="4:4" x14ac:dyDescent="0.3">
      <c r="D693" s="7"/>
    </row>
    <row r="694" spans="4:4" x14ac:dyDescent="0.3">
      <c r="D694" s="7"/>
    </row>
    <row r="695" spans="4:4" x14ac:dyDescent="0.3">
      <c r="D695" s="7"/>
    </row>
    <row r="696" spans="4:4" x14ac:dyDescent="0.3">
      <c r="D696" s="7"/>
    </row>
    <row r="697" spans="4:4" x14ac:dyDescent="0.3">
      <c r="D697" s="7"/>
    </row>
    <row r="698" spans="4:4" x14ac:dyDescent="0.3">
      <c r="D698" s="7"/>
    </row>
    <row r="699" spans="4:4" x14ac:dyDescent="0.3">
      <c r="D699" s="7"/>
    </row>
    <row r="700" spans="4:4" x14ac:dyDescent="0.3">
      <c r="D700" s="7"/>
    </row>
    <row r="701" spans="4:4" x14ac:dyDescent="0.3">
      <c r="D701" s="7"/>
    </row>
    <row r="702" spans="4:4" x14ac:dyDescent="0.3">
      <c r="D702" s="7"/>
    </row>
    <row r="703" spans="4:4" x14ac:dyDescent="0.3">
      <c r="D703" s="7"/>
    </row>
    <row r="704" spans="4:4" x14ac:dyDescent="0.3">
      <c r="D704" s="7"/>
    </row>
    <row r="705" spans="4:4" x14ac:dyDescent="0.3">
      <c r="D705" s="7"/>
    </row>
    <row r="706" spans="4:4" x14ac:dyDescent="0.3">
      <c r="D706" s="7"/>
    </row>
    <row r="707" spans="4:4" x14ac:dyDescent="0.3">
      <c r="D707" s="7"/>
    </row>
    <row r="708" spans="4:4" x14ac:dyDescent="0.3">
      <c r="D708" s="7"/>
    </row>
    <row r="709" spans="4:4" x14ac:dyDescent="0.3">
      <c r="D709" s="7"/>
    </row>
    <row r="710" spans="4:4" x14ac:dyDescent="0.3">
      <c r="D710" s="7"/>
    </row>
    <row r="711" spans="4:4" x14ac:dyDescent="0.3">
      <c r="D711" s="7"/>
    </row>
    <row r="712" spans="4:4" x14ac:dyDescent="0.3">
      <c r="D712" s="7"/>
    </row>
    <row r="713" spans="4:4" x14ac:dyDescent="0.3">
      <c r="D713" s="7"/>
    </row>
    <row r="714" spans="4:4" x14ac:dyDescent="0.3">
      <c r="D714" s="7"/>
    </row>
    <row r="715" spans="4:4" x14ac:dyDescent="0.3">
      <c r="D715" s="7"/>
    </row>
    <row r="716" spans="4:4" x14ac:dyDescent="0.3">
      <c r="D716" s="7"/>
    </row>
    <row r="717" spans="4:4" x14ac:dyDescent="0.3">
      <c r="D717" s="7"/>
    </row>
    <row r="718" spans="4:4" x14ac:dyDescent="0.3">
      <c r="D718" s="7"/>
    </row>
    <row r="719" spans="4:4" x14ac:dyDescent="0.3">
      <c r="D719" s="7"/>
    </row>
    <row r="720" spans="4:4" x14ac:dyDescent="0.3">
      <c r="D720" s="7"/>
    </row>
    <row r="721" spans="4:4" x14ac:dyDescent="0.3">
      <c r="D721" s="7"/>
    </row>
    <row r="722" spans="4:4" x14ac:dyDescent="0.3">
      <c r="D722" s="7"/>
    </row>
    <row r="723" spans="4:4" x14ac:dyDescent="0.3">
      <c r="D723" s="7"/>
    </row>
    <row r="724" spans="4:4" x14ac:dyDescent="0.3">
      <c r="D724" s="7"/>
    </row>
    <row r="725" spans="4:4" x14ac:dyDescent="0.3">
      <c r="D725" s="7"/>
    </row>
    <row r="726" spans="4:4" x14ac:dyDescent="0.3">
      <c r="D726" s="7"/>
    </row>
    <row r="727" spans="4:4" x14ac:dyDescent="0.3">
      <c r="D727" s="7"/>
    </row>
    <row r="728" spans="4:4" x14ac:dyDescent="0.3">
      <c r="D728" s="7"/>
    </row>
    <row r="729" spans="4:4" x14ac:dyDescent="0.3">
      <c r="D729" s="7"/>
    </row>
    <row r="730" spans="4:4" x14ac:dyDescent="0.3">
      <c r="D730" s="7"/>
    </row>
    <row r="731" spans="4:4" x14ac:dyDescent="0.3">
      <c r="D731" s="7"/>
    </row>
    <row r="732" spans="4:4" x14ac:dyDescent="0.3">
      <c r="D732" s="7"/>
    </row>
    <row r="733" spans="4:4" x14ac:dyDescent="0.3">
      <c r="D733" s="7"/>
    </row>
    <row r="734" spans="4:4" x14ac:dyDescent="0.3">
      <c r="D734" s="7"/>
    </row>
    <row r="735" spans="4:4" x14ac:dyDescent="0.3">
      <c r="D735" s="7"/>
    </row>
    <row r="736" spans="4:4" x14ac:dyDescent="0.3">
      <c r="D736" s="7"/>
    </row>
    <row r="737" spans="4:4" x14ac:dyDescent="0.3">
      <c r="D737" s="7"/>
    </row>
    <row r="738" spans="4:4" x14ac:dyDescent="0.3">
      <c r="D738" s="7"/>
    </row>
    <row r="739" spans="4:4" x14ac:dyDescent="0.3">
      <c r="D739" s="7"/>
    </row>
    <row r="740" spans="4:4" x14ac:dyDescent="0.3">
      <c r="D740" s="7"/>
    </row>
    <row r="741" spans="4:4" x14ac:dyDescent="0.3">
      <c r="D741" s="7"/>
    </row>
    <row r="742" spans="4:4" x14ac:dyDescent="0.3">
      <c r="D742" s="7"/>
    </row>
    <row r="743" spans="4:4" x14ac:dyDescent="0.3">
      <c r="D743" s="7"/>
    </row>
    <row r="744" spans="4:4" x14ac:dyDescent="0.3">
      <c r="D744" s="7"/>
    </row>
    <row r="745" spans="4:4" x14ac:dyDescent="0.3">
      <c r="D745" s="7"/>
    </row>
    <row r="746" spans="4:4" x14ac:dyDescent="0.3">
      <c r="D746" s="7"/>
    </row>
    <row r="747" spans="4:4" x14ac:dyDescent="0.3">
      <c r="D747" s="7"/>
    </row>
    <row r="748" spans="4:4" x14ac:dyDescent="0.3">
      <c r="D748" s="7"/>
    </row>
    <row r="749" spans="4:4" x14ac:dyDescent="0.3">
      <c r="D749" s="7"/>
    </row>
    <row r="750" spans="4:4" x14ac:dyDescent="0.3">
      <c r="D750" s="7"/>
    </row>
    <row r="751" spans="4:4" x14ac:dyDescent="0.3">
      <c r="D751" s="7"/>
    </row>
    <row r="752" spans="4:4" x14ac:dyDescent="0.3">
      <c r="D752" s="7"/>
    </row>
    <row r="753" spans="4:4" x14ac:dyDescent="0.3">
      <c r="D753" s="7"/>
    </row>
    <row r="754" spans="4:4" x14ac:dyDescent="0.3">
      <c r="D754" s="7"/>
    </row>
    <row r="755" spans="4:4" x14ac:dyDescent="0.3">
      <c r="D755" s="7"/>
    </row>
    <row r="756" spans="4:4" x14ac:dyDescent="0.3">
      <c r="D756" s="7"/>
    </row>
    <row r="757" spans="4:4" x14ac:dyDescent="0.3">
      <c r="D757" s="7"/>
    </row>
    <row r="758" spans="4:4" x14ac:dyDescent="0.3">
      <c r="D758" s="7"/>
    </row>
    <row r="759" spans="4:4" x14ac:dyDescent="0.3">
      <c r="D759" s="7"/>
    </row>
    <row r="760" spans="4:4" x14ac:dyDescent="0.3">
      <c r="D760" s="7"/>
    </row>
    <row r="761" spans="4:4" x14ac:dyDescent="0.3">
      <c r="D761" s="7"/>
    </row>
    <row r="762" spans="4:4" x14ac:dyDescent="0.3">
      <c r="D762" s="7"/>
    </row>
    <row r="763" spans="4:4" x14ac:dyDescent="0.3">
      <c r="D763" s="7"/>
    </row>
    <row r="764" spans="4:4" x14ac:dyDescent="0.3">
      <c r="D764" s="7"/>
    </row>
    <row r="765" spans="4:4" x14ac:dyDescent="0.3">
      <c r="D765" s="7"/>
    </row>
    <row r="766" spans="4:4" x14ac:dyDescent="0.3">
      <c r="D766" s="7"/>
    </row>
    <row r="767" spans="4:4" x14ac:dyDescent="0.3">
      <c r="D767" s="7"/>
    </row>
    <row r="768" spans="4:4" x14ac:dyDescent="0.3">
      <c r="D768" s="7"/>
    </row>
    <row r="769" spans="4:4" x14ac:dyDescent="0.3">
      <c r="D769" s="7"/>
    </row>
    <row r="770" spans="4:4" x14ac:dyDescent="0.3">
      <c r="D770" s="7"/>
    </row>
    <row r="771" spans="4:4" x14ac:dyDescent="0.3">
      <c r="D771" s="7"/>
    </row>
    <row r="772" spans="4:4" x14ac:dyDescent="0.3">
      <c r="D772" s="7"/>
    </row>
    <row r="773" spans="4:4" x14ac:dyDescent="0.3">
      <c r="D773" s="7"/>
    </row>
    <row r="774" spans="4:4" x14ac:dyDescent="0.3">
      <c r="D774" s="7"/>
    </row>
    <row r="775" spans="4:4" x14ac:dyDescent="0.3">
      <c r="D775" s="7"/>
    </row>
    <row r="776" spans="4:4" x14ac:dyDescent="0.3">
      <c r="D776" s="7"/>
    </row>
    <row r="777" spans="4:4" x14ac:dyDescent="0.3">
      <c r="D777" s="7"/>
    </row>
    <row r="778" spans="4:4" x14ac:dyDescent="0.3">
      <c r="D778" s="7"/>
    </row>
    <row r="779" spans="4:4" x14ac:dyDescent="0.3">
      <c r="D779" s="7"/>
    </row>
    <row r="780" spans="4:4" x14ac:dyDescent="0.3">
      <c r="D780" s="7"/>
    </row>
    <row r="781" spans="4:4" x14ac:dyDescent="0.3">
      <c r="D781" s="7"/>
    </row>
    <row r="782" spans="4:4" x14ac:dyDescent="0.3">
      <c r="D782" s="7"/>
    </row>
    <row r="783" spans="4:4" x14ac:dyDescent="0.3">
      <c r="D783" s="7"/>
    </row>
    <row r="784" spans="4:4" x14ac:dyDescent="0.3">
      <c r="D784" s="7"/>
    </row>
    <row r="785" spans="4:4" x14ac:dyDescent="0.3">
      <c r="D785" s="7"/>
    </row>
    <row r="786" spans="4:4" x14ac:dyDescent="0.3">
      <c r="D786" s="7"/>
    </row>
    <row r="787" spans="4:4" x14ac:dyDescent="0.3">
      <c r="D787" s="7"/>
    </row>
    <row r="788" spans="4:4" x14ac:dyDescent="0.3">
      <c r="D788" s="7"/>
    </row>
    <row r="789" spans="4:4" x14ac:dyDescent="0.3">
      <c r="D789" s="7"/>
    </row>
    <row r="790" spans="4:4" x14ac:dyDescent="0.3">
      <c r="D790" s="7"/>
    </row>
    <row r="791" spans="4:4" x14ac:dyDescent="0.3">
      <c r="D791" s="7"/>
    </row>
    <row r="792" spans="4:4" x14ac:dyDescent="0.3">
      <c r="D792" s="7"/>
    </row>
    <row r="793" spans="4:4" x14ac:dyDescent="0.3">
      <c r="D793" s="7"/>
    </row>
    <row r="794" spans="4:4" x14ac:dyDescent="0.3">
      <c r="D794" s="7"/>
    </row>
    <row r="795" spans="4:4" x14ac:dyDescent="0.3">
      <c r="D795" s="7"/>
    </row>
    <row r="796" spans="4:4" x14ac:dyDescent="0.3">
      <c r="D796" s="7"/>
    </row>
    <row r="797" spans="4:4" x14ac:dyDescent="0.3">
      <c r="D797" s="7"/>
    </row>
    <row r="798" spans="4:4" x14ac:dyDescent="0.3">
      <c r="D798" s="7"/>
    </row>
    <row r="799" spans="4:4" x14ac:dyDescent="0.3">
      <c r="D799" s="7"/>
    </row>
    <row r="800" spans="4:4" x14ac:dyDescent="0.3">
      <c r="D800" s="7"/>
    </row>
    <row r="801" spans="4:4" x14ac:dyDescent="0.3">
      <c r="D801" s="7"/>
    </row>
    <row r="802" spans="4:4" x14ac:dyDescent="0.3">
      <c r="D802" s="7"/>
    </row>
    <row r="803" spans="4:4" x14ac:dyDescent="0.3">
      <c r="D803" s="7"/>
    </row>
    <row r="804" spans="4:4" x14ac:dyDescent="0.3">
      <c r="D804" s="7"/>
    </row>
    <row r="805" spans="4:4" x14ac:dyDescent="0.3">
      <c r="D805" s="7"/>
    </row>
    <row r="806" spans="4:4" x14ac:dyDescent="0.3">
      <c r="D806" s="7"/>
    </row>
    <row r="807" spans="4:4" x14ac:dyDescent="0.3">
      <c r="D807" s="7"/>
    </row>
    <row r="808" spans="4:4" x14ac:dyDescent="0.3">
      <c r="D808" s="7"/>
    </row>
    <row r="809" spans="4:4" x14ac:dyDescent="0.3">
      <c r="D809" s="7"/>
    </row>
    <row r="810" spans="4:4" x14ac:dyDescent="0.3">
      <c r="D810" s="7"/>
    </row>
    <row r="811" spans="4:4" x14ac:dyDescent="0.3">
      <c r="D811" s="7"/>
    </row>
    <row r="812" spans="4:4" x14ac:dyDescent="0.3">
      <c r="D812" s="7"/>
    </row>
    <row r="813" spans="4:4" x14ac:dyDescent="0.3">
      <c r="D813" s="7"/>
    </row>
    <row r="814" spans="4:4" x14ac:dyDescent="0.3">
      <c r="D814" s="7"/>
    </row>
    <row r="815" spans="4:4" x14ac:dyDescent="0.3">
      <c r="D815" s="7"/>
    </row>
    <row r="816" spans="4:4" x14ac:dyDescent="0.3">
      <c r="D816" s="7"/>
    </row>
    <row r="817" spans="4:4" x14ac:dyDescent="0.3">
      <c r="D817" s="7"/>
    </row>
    <row r="818" spans="4:4" x14ac:dyDescent="0.3">
      <c r="D818" s="7"/>
    </row>
    <row r="819" spans="4:4" x14ac:dyDescent="0.3">
      <c r="D819" s="7"/>
    </row>
    <row r="820" spans="4:4" x14ac:dyDescent="0.3">
      <c r="D820" s="7"/>
    </row>
    <row r="821" spans="4:4" x14ac:dyDescent="0.3">
      <c r="D821" s="7"/>
    </row>
    <row r="822" spans="4:4" x14ac:dyDescent="0.3">
      <c r="D822" s="7"/>
    </row>
    <row r="823" spans="4:4" x14ac:dyDescent="0.3">
      <c r="D823" s="7"/>
    </row>
    <row r="824" spans="4:4" x14ac:dyDescent="0.3">
      <c r="D824" s="7"/>
    </row>
    <row r="825" spans="4:4" x14ac:dyDescent="0.3">
      <c r="D825" s="7"/>
    </row>
    <row r="826" spans="4:4" x14ac:dyDescent="0.3">
      <c r="D826" s="7"/>
    </row>
    <row r="827" spans="4:4" x14ac:dyDescent="0.3">
      <c r="D827" s="7"/>
    </row>
    <row r="828" spans="4:4" x14ac:dyDescent="0.3">
      <c r="D828" s="7"/>
    </row>
    <row r="829" spans="4:4" x14ac:dyDescent="0.3">
      <c r="D829" s="7"/>
    </row>
    <row r="830" spans="4:4" x14ac:dyDescent="0.3">
      <c r="D830" s="7"/>
    </row>
    <row r="831" spans="4:4" x14ac:dyDescent="0.3">
      <c r="D831" s="7"/>
    </row>
    <row r="832" spans="4:4" x14ac:dyDescent="0.3">
      <c r="D832" s="7"/>
    </row>
    <row r="833" spans="4:4" x14ac:dyDescent="0.3">
      <c r="D833" s="7"/>
    </row>
    <row r="834" spans="4:4" x14ac:dyDescent="0.3">
      <c r="D834" s="7"/>
    </row>
    <row r="835" spans="4:4" x14ac:dyDescent="0.3">
      <c r="D835" s="7"/>
    </row>
    <row r="836" spans="4:4" x14ac:dyDescent="0.3">
      <c r="D836" s="7"/>
    </row>
    <row r="837" spans="4:4" x14ac:dyDescent="0.3">
      <c r="D837" s="7"/>
    </row>
    <row r="838" spans="4:4" x14ac:dyDescent="0.3">
      <c r="D838" s="7"/>
    </row>
    <row r="839" spans="4:4" x14ac:dyDescent="0.3">
      <c r="D839" s="7"/>
    </row>
    <row r="840" spans="4:4" x14ac:dyDescent="0.3">
      <c r="D840" s="7"/>
    </row>
    <row r="841" spans="4:4" x14ac:dyDescent="0.3">
      <c r="D841" s="7"/>
    </row>
    <row r="842" spans="4:4" x14ac:dyDescent="0.3">
      <c r="D842" s="7"/>
    </row>
    <row r="843" spans="4:4" x14ac:dyDescent="0.3">
      <c r="D843" s="7"/>
    </row>
    <row r="844" spans="4:4" x14ac:dyDescent="0.3">
      <c r="D844" s="7"/>
    </row>
    <row r="845" spans="4:4" x14ac:dyDescent="0.3">
      <c r="D845" s="7"/>
    </row>
    <row r="846" spans="4:4" x14ac:dyDescent="0.3">
      <c r="D846" s="7"/>
    </row>
    <row r="847" spans="4:4" x14ac:dyDescent="0.3">
      <c r="D847" s="7"/>
    </row>
    <row r="848" spans="4:4" x14ac:dyDescent="0.3">
      <c r="D848" s="7"/>
    </row>
    <row r="849" spans="4:4" x14ac:dyDescent="0.3">
      <c r="D849" s="7"/>
    </row>
    <row r="850" spans="4:4" x14ac:dyDescent="0.3">
      <c r="D850" s="7"/>
    </row>
    <row r="851" spans="4:4" x14ac:dyDescent="0.3">
      <c r="D851" s="7"/>
    </row>
    <row r="852" spans="4:4" x14ac:dyDescent="0.3">
      <c r="D852" s="7"/>
    </row>
    <row r="853" spans="4:4" x14ac:dyDescent="0.3">
      <c r="D853" s="7"/>
    </row>
    <row r="854" spans="4:4" x14ac:dyDescent="0.3">
      <c r="D854" s="7"/>
    </row>
    <row r="855" spans="4:4" x14ac:dyDescent="0.3">
      <c r="D855" s="7"/>
    </row>
    <row r="856" spans="4:4" x14ac:dyDescent="0.3">
      <c r="D856" s="7"/>
    </row>
    <row r="857" spans="4:4" x14ac:dyDescent="0.3">
      <c r="D857" s="7"/>
    </row>
    <row r="858" spans="4:4" x14ac:dyDescent="0.3">
      <c r="D858" s="7"/>
    </row>
    <row r="859" spans="4:4" x14ac:dyDescent="0.3">
      <c r="D859" s="7"/>
    </row>
    <row r="860" spans="4:4" x14ac:dyDescent="0.3">
      <c r="D860" s="7"/>
    </row>
    <row r="861" spans="4:4" x14ac:dyDescent="0.3">
      <c r="D861" s="7"/>
    </row>
    <row r="862" spans="4:4" x14ac:dyDescent="0.3">
      <c r="D862" s="7"/>
    </row>
    <row r="863" spans="4:4" x14ac:dyDescent="0.3">
      <c r="D863" s="7"/>
    </row>
    <row r="864" spans="4:4" x14ac:dyDescent="0.3">
      <c r="D864" s="7"/>
    </row>
    <row r="865" spans="4:4" x14ac:dyDescent="0.3">
      <c r="D865" s="7"/>
    </row>
    <row r="866" spans="4:4" x14ac:dyDescent="0.3">
      <c r="D866" s="7"/>
    </row>
    <row r="867" spans="4:4" x14ac:dyDescent="0.3">
      <c r="D867" s="7"/>
    </row>
    <row r="868" spans="4:4" x14ac:dyDescent="0.3">
      <c r="D868" s="7"/>
    </row>
    <row r="869" spans="4:4" x14ac:dyDescent="0.3">
      <c r="D869" s="7"/>
    </row>
    <row r="870" spans="4:4" x14ac:dyDescent="0.3">
      <c r="D870" s="7"/>
    </row>
    <row r="871" spans="4:4" x14ac:dyDescent="0.3">
      <c r="D871" s="7"/>
    </row>
    <row r="872" spans="4:4" x14ac:dyDescent="0.3">
      <c r="D872" s="7"/>
    </row>
    <row r="873" spans="4:4" x14ac:dyDescent="0.3">
      <c r="D873" s="7"/>
    </row>
    <row r="874" spans="4:4" x14ac:dyDescent="0.3">
      <c r="D874" s="7"/>
    </row>
    <row r="875" spans="4:4" x14ac:dyDescent="0.3">
      <c r="D875" s="7"/>
    </row>
    <row r="876" spans="4:4" x14ac:dyDescent="0.3">
      <c r="D876" s="7"/>
    </row>
    <row r="877" spans="4:4" x14ac:dyDescent="0.3">
      <c r="D877" s="7"/>
    </row>
    <row r="878" spans="4:4" x14ac:dyDescent="0.3">
      <c r="D878" s="7"/>
    </row>
    <row r="879" spans="4:4" x14ac:dyDescent="0.3">
      <c r="D879" s="7"/>
    </row>
    <row r="880" spans="4:4" x14ac:dyDescent="0.3">
      <c r="D880" s="7"/>
    </row>
    <row r="881" spans="4:4" x14ac:dyDescent="0.3">
      <c r="D881" s="7"/>
    </row>
    <row r="882" spans="4:4" x14ac:dyDescent="0.3">
      <c r="D882" s="7"/>
    </row>
    <row r="883" spans="4:4" x14ac:dyDescent="0.3">
      <c r="D883" s="7"/>
    </row>
    <row r="884" spans="4:4" x14ac:dyDescent="0.3">
      <c r="D884" s="7"/>
    </row>
    <row r="885" spans="4:4" x14ac:dyDescent="0.3">
      <c r="D885" s="7"/>
    </row>
    <row r="886" spans="4:4" x14ac:dyDescent="0.3">
      <c r="D886" s="7"/>
    </row>
    <row r="887" spans="4:4" x14ac:dyDescent="0.3">
      <c r="D887" s="7"/>
    </row>
    <row r="888" spans="4:4" x14ac:dyDescent="0.3">
      <c r="D888" s="7"/>
    </row>
    <row r="889" spans="4:4" x14ac:dyDescent="0.3">
      <c r="D889" s="7"/>
    </row>
    <row r="890" spans="4:4" x14ac:dyDescent="0.3">
      <c r="D890" s="7"/>
    </row>
    <row r="891" spans="4:4" x14ac:dyDescent="0.3">
      <c r="D891" s="7"/>
    </row>
    <row r="892" spans="4:4" x14ac:dyDescent="0.3">
      <c r="D892" s="7"/>
    </row>
    <row r="893" spans="4:4" x14ac:dyDescent="0.3">
      <c r="D893" s="7"/>
    </row>
    <row r="894" spans="4:4" x14ac:dyDescent="0.3">
      <c r="D894" s="7"/>
    </row>
    <row r="895" spans="4:4" x14ac:dyDescent="0.3">
      <c r="D895" s="7"/>
    </row>
    <row r="896" spans="4:4" x14ac:dyDescent="0.3">
      <c r="D896" s="7"/>
    </row>
    <row r="897" spans="4:4" x14ac:dyDescent="0.3">
      <c r="D897" s="7"/>
    </row>
    <row r="898" spans="4:4" x14ac:dyDescent="0.3">
      <c r="D898" s="7"/>
    </row>
    <row r="899" spans="4:4" x14ac:dyDescent="0.3">
      <c r="D899" s="7"/>
    </row>
    <row r="900" spans="4:4" x14ac:dyDescent="0.3">
      <c r="D900" s="7"/>
    </row>
    <row r="901" spans="4:4" x14ac:dyDescent="0.3">
      <c r="D901" s="7"/>
    </row>
    <row r="902" spans="4:4" x14ac:dyDescent="0.3">
      <c r="D902" s="7"/>
    </row>
    <row r="903" spans="4:4" x14ac:dyDescent="0.3">
      <c r="D903" s="7"/>
    </row>
    <row r="904" spans="4:4" x14ac:dyDescent="0.3">
      <c r="D904" s="7"/>
    </row>
    <row r="905" spans="4:4" x14ac:dyDescent="0.3">
      <c r="D905" s="7"/>
    </row>
    <row r="906" spans="4:4" x14ac:dyDescent="0.3">
      <c r="D906" s="7"/>
    </row>
    <row r="907" spans="4:4" x14ac:dyDescent="0.3">
      <c r="D907" s="7"/>
    </row>
    <row r="908" spans="4:4" x14ac:dyDescent="0.3">
      <c r="D908" s="7"/>
    </row>
    <row r="909" spans="4:4" x14ac:dyDescent="0.3">
      <c r="D909" s="7"/>
    </row>
    <row r="910" spans="4:4" x14ac:dyDescent="0.3">
      <c r="D910" s="7"/>
    </row>
    <row r="911" spans="4:4" x14ac:dyDescent="0.3">
      <c r="D911" s="7"/>
    </row>
    <row r="912" spans="4:4" x14ac:dyDescent="0.3">
      <c r="D912" s="7"/>
    </row>
    <row r="913" spans="4:4" x14ac:dyDescent="0.3">
      <c r="D913" s="7"/>
    </row>
    <row r="914" spans="4:4" x14ac:dyDescent="0.3">
      <c r="D914" s="7"/>
    </row>
    <row r="915" spans="4:4" x14ac:dyDescent="0.3">
      <c r="D915" s="7"/>
    </row>
    <row r="916" spans="4:4" x14ac:dyDescent="0.3">
      <c r="D916" s="7"/>
    </row>
    <row r="917" spans="4:4" x14ac:dyDescent="0.3">
      <c r="D917" s="7"/>
    </row>
    <row r="918" spans="4:4" x14ac:dyDescent="0.3">
      <c r="D918" s="7"/>
    </row>
    <row r="919" spans="4:4" x14ac:dyDescent="0.3">
      <c r="D919" s="7"/>
    </row>
    <row r="920" spans="4:4" x14ac:dyDescent="0.3">
      <c r="D920" s="7"/>
    </row>
    <row r="921" spans="4:4" x14ac:dyDescent="0.3">
      <c r="D921" s="7"/>
    </row>
    <row r="922" spans="4:4" x14ac:dyDescent="0.3">
      <c r="D922" s="7"/>
    </row>
    <row r="923" spans="4:4" x14ac:dyDescent="0.3">
      <c r="D923" s="7"/>
    </row>
    <row r="924" spans="4:4" x14ac:dyDescent="0.3">
      <c r="D924" s="7"/>
    </row>
    <row r="925" spans="4:4" x14ac:dyDescent="0.3">
      <c r="D925" s="7"/>
    </row>
    <row r="926" spans="4:4" x14ac:dyDescent="0.3">
      <c r="D926" s="7"/>
    </row>
    <row r="927" spans="4:4" x14ac:dyDescent="0.3">
      <c r="D927" s="7"/>
    </row>
    <row r="928" spans="4:4" x14ac:dyDescent="0.3">
      <c r="D928" s="7"/>
    </row>
    <row r="929" spans="4:4" x14ac:dyDescent="0.3">
      <c r="D929" s="7"/>
    </row>
    <row r="930" spans="4:4" x14ac:dyDescent="0.3">
      <c r="D930" s="7"/>
    </row>
    <row r="931" spans="4:4" x14ac:dyDescent="0.3">
      <c r="D931" s="7"/>
    </row>
    <row r="932" spans="4:4" x14ac:dyDescent="0.3">
      <c r="D932" s="7"/>
    </row>
    <row r="933" spans="4:4" x14ac:dyDescent="0.3">
      <c r="D933" s="7"/>
    </row>
    <row r="934" spans="4:4" x14ac:dyDescent="0.3">
      <c r="D934" s="7"/>
    </row>
    <row r="935" spans="4:4" x14ac:dyDescent="0.3">
      <c r="D935" s="7"/>
    </row>
    <row r="936" spans="4:4" x14ac:dyDescent="0.3">
      <c r="D936" s="7"/>
    </row>
    <row r="937" spans="4:4" x14ac:dyDescent="0.3">
      <c r="D937" s="7"/>
    </row>
    <row r="938" spans="4:4" x14ac:dyDescent="0.3">
      <c r="D938" s="7"/>
    </row>
    <row r="939" spans="4:4" x14ac:dyDescent="0.3">
      <c r="D939" s="7"/>
    </row>
    <row r="940" spans="4:4" x14ac:dyDescent="0.3">
      <c r="D940" s="7"/>
    </row>
    <row r="941" spans="4:4" x14ac:dyDescent="0.3">
      <c r="D941" s="7"/>
    </row>
    <row r="942" spans="4:4" x14ac:dyDescent="0.3">
      <c r="D942" s="7"/>
    </row>
    <row r="943" spans="4:4" x14ac:dyDescent="0.3">
      <c r="D943" s="7"/>
    </row>
    <row r="944" spans="4:4" x14ac:dyDescent="0.3">
      <c r="D944" s="7"/>
    </row>
    <row r="945" spans="4:4" x14ac:dyDescent="0.3">
      <c r="D945" s="7"/>
    </row>
    <row r="946" spans="4:4" x14ac:dyDescent="0.3">
      <c r="D946" s="7"/>
    </row>
    <row r="947" spans="4:4" x14ac:dyDescent="0.3">
      <c r="D947" s="7"/>
    </row>
    <row r="948" spans="4:4" x14ac:dyDescent="0.3">
      <c r="D948" s="7"/>
    </row>
    <row r="949" spans="4:4" x14ac:dyDescent="0.3">
      <c r="D949" s="7"/>
    </row>
    <row r="950" spans="4:4" x14ac:dyDescent="0.3">
      <c r="D950" s="7"/>
    </row>
    <row r="951" spans="4:4" x14ac:dyDescent="0.3">
      <c r="D951" s="7"/>
    </row>
    <row r="952" spans="4:4" x14ac:dyDescent="0.3">
      <c r="D952" s="7"/>
    </row>
    <row r="953" spans="4:4" x14ac:dyDescent="0.3">
      <c r="D953" s="7"/>
    </row>
    <row r="954" spans="4:4" x14ac:dyDescent="0.3">
      <c r="D954" s="7"/>
    </row>
    <row r="955" spans="4:4" x14ac:dyDescent="0.3">
      <c r="D955" s="7"/>
    </row>
    <row r="956" spans="4:4" x14ac:dyDescent="0.3">
      <c r="D956" s="7"/>
    </row>
    <row r="957" spans="4:4" x14ac:dyDescent="0.3">
      <c r="D957" s="7"/>
    </row>
    <row r="958" spans="4:4" x14ac:dyDescent="0.3">
      <c r="D958" s="7"/>
    </row>
    <row r="959" spans="4:4" x14ac:dyDescent="0.3">
      <c r="D959" s="7"/>
    </row>
    <row r="960" spans="4:4" x14ac:dyDescent="0.3">
      <c r="D960" s="7"/>
    </row>
    <row r="961" spans="4:4" x14ac:dyDescent="0.3">
      <c r="D961" s="7"/>
    </row>
    <row r="962" spans="4:4" x14ac:dyDescent="0.3">
      <c r="D962" s="7"/>
    </row>
    <row r="963" spans="4:4" x14ac:dyDescent="0.3">
      <c r="D963" s="7"/>
    </row>
    <row r="964" spans="4:4" x14ac:dyDescent="0.3">
      <c r="D964" s="7"/>
    </row>
    <row r="965" spans="4:4" x14ac:dyDescent="0.3">
      <c r="D965" s="7"/>
    </row>
    <row r="966" spans="4:4" x14ac:dyDescent="0.3">
      <c r="D966" s="7"/>
    </row>
    <row r="967" spans="4:4" x14ac:dyDescent="0.3">
      <c r="D967" s="7"/>
    </row>
    <row r="968" spans="4:4" x14ac:dyDescent="0.3">
      <c r="D968" s="7"/>
    </row>
    <row r="969" spans="4:4" x14ac:dyDescent="0.3">
      <c r="D969" s="7"/>
    </row>
    <row r="970" spans="4:4" x14ac:dyDescent="0.3">
      <c r="D970" s="7"/>
    </row>
    <row r="971" spans="4:4" x14ac:dyDescent="0.3">
      <c r="D971" s="7"/>
    </row>
    <row r="972" spans="4:4" x14ac:dyDescent="0.3">
      <c r="D972" s="7"/>
    </row>
    <row r="973" spans="4:4" x14ac:dyDescent="0.3">
      <c r="D973" s="7"/>
    </row>
    <row r="974" spans="4:4" x14ac:dyDescent="0.3">
      <c r="D974" s="7"/>
    </row>
    <row r="975" spans="4:4" x14ac:dyDescent="0.3">
      <c r="D975" s="7"/>
    </row>
    <row r="976" spans="4:4" x14ac:dyDescent="0.3">
      <c r="D976" s="7"/>
    </row>
    <row r="977" spans="4:4" x14ac:dyDescent="0.3">
      <c r="D977" s="7"/>
    </row>
    <row r="978" spans="4:4" x14ac:dyDescent="0.3">
      <c r="D978" s="7"/>
    </row>
    <row r="979" spans="4:4" x14ac:dyDescent="0.3">
      <c r="D979" s="7"/>
    </row>
    <row r="980" spans="4:4" x14ac:dyDescent="0.3">
      <c r="D980" s="7"/>
    </row>
    <row r="981" spans="4:4" x14ac:dyDescent="0.3">
      <c r="D981" s="7"/>
    </row>
    <row r="982" spans="4:4" x14ac:dyDescent="0.3">
      <c r="D982" s="7"/>
    </row>
    <row r="983" spans="4:4" x14ac:dyDescent="0.3">
      <c r="D983" s="7"/>
    </row>
    <row r="984" spans="4:4" x14ac:dyDescent="0.3">
      <c r="D984" s="7"/>
    </row>
    <row r="985" spans="4:4" x14ac:dyDescent="0.3">
      <c r="D985" s="7"/>
    </row>
    <row r="986" spans="4:4" x14ac:dyDescent="0.3">
      <c r="D986" s="7"/>
    </row>
    <row r="987" spans="4:4" x14ac:dyDescent="0.3">
      <c r="D987" s="7"/>
    </row>
    <row r="988" spans="4:4" x14ac:dyDescent="0.3">
      <c r="D988" s="7"/>
    </row>
    <row r="989" spans="4:4" x14ac:dyDescent="0.3">
      <c r="D989" s="7"/>
    </row>
    <row r="990" spans="4:4" x14ac:dyDescent="0.3">
      <c r="D990" s="7"/>
    </row>
    <row r="991" spans="4:4" x14ac:dyDescent="0.3">
      <c r="D991" s="7"/>
    </row>
    <row r="992" spans="4:4" x14ac:dyDescent="0.3">
      <c r="D992" s="7"/>
    </row>
    <row r="993" spans="4:4" x14ac:dyDescent="0.3">
      <c r="D993" s="7"/>
    </row>
    <row r="994" spans="4:4" x14ac:dyDescent="0.3">
      <c r="D994" s="7"/>
    </row>
    <row r="995" spans="4:4" x14ac:dyDescent="0.3">
      <c r="D995" s="7"/>
    </row>
    <row r="996" spans="4:4" x14ac:dyDescent="0.3">
      <c r="D996" s="7"/>
    </row>
    <row r="997" spans="4:4" x14ac:dyDescent="0.3">
      <c r="D997" s="7"/>
    </row>
    <row r="998" spans="4:4" x14ac:dyDescent="0.3">
      <c r="D998" s="7"/>
    </row>
    <row r="999" spans="4:4" x14ac:dyDescent="0.3">
      <c r="D999" s="7"/>
    </row>
    <row r="1000" spans="4:4" x14ac:dyDescent="0.3">
      <c r="D1000" s="7"/>
    </row>
    <row r="1001" spans="4:4" x14ac:dyDescent="0.3">
      <c r="D1001" s="7"/>
    </row>
    <row r="1002" spans="4:4" x14ac:dyDescent="0.3">
      <c r="D1002" s="7"/>
    </row>
    <row r="1003" spans="4:4" x14ac:dyDescent="0.3">
      <c r="D1003" s="7"/>
    </row>
    <row r="1004" spans="4:4" x14ac:dyDescent="0.3">
      <c r="D1004" s="7"/>
    </row>
    <row r="1005" spans="4:4" x14ac:dyDescent="0.3">
      <c r="D1005" s="7"/>
    </row>
    <row r="1006" spans="4:4" x14ac:dyDescent="0.3">
      <c r="D1006" s="7"/>
    </row>
    <row r="1007" spans="4:4" x14ac:dyDescent="0.3">
      <c r="D1007" s="7"/>
    </row>
    <row r="1008" spans="4:4" x14ac:dyDescent="0.3">
      <c r="D1008" s="7"/>
    </row>
    <row r="1009" spans="4:4" x14ac:dyDescent="0.3">
      <c r="D1009" s="7"/>
    </row>
    <row r="1010" spans="4:4" x14ac:dyDescent="0.3">
      <c r="D1010" s="7"/>
    </row>
    <row r="1011" spans="4:4" x14ac:dyDescent="0.3">
      <c r="D1011" s="7"/>
    </row>
    <row r="1012" spans="4:4" x14ac:dyDescent="0.3">
      <c r="D1012" s="7"/>
    </row>
    <row r="1013" spans="4:4" x14ac:dyDescent="0.3">
      <c r="D1013" s="7"/>
    </row>
    <row r="1014" spans="4:4" x14ac:dyDescent="0.3">
      <c r="D1014" s="7"/>
    </row>
    <row r="1015" spans="4:4" x14ac:dyDescent="0.3">
      <c r="D1015" s="7"/>
    </row>
    <row r="1016" spans="4:4" x14ac:dyDescent="0.3">
      <c r="D1016" s="7"/>
    </row>
    <row r="1017" spans="4:4" x14ac:dyDescent="0.3">
      <c r="D1017" s="7"/>
    </row>
    <row r="1018" spans="4:4" x14ac:dyDescent="0.3">
      <c r="D1018" s="7"/>
    </row>
    <row r="1019" spans="4:4" x14ac:dyDescent="0.3">
      <c r="D1019" s="7"/>
    </row>
    <row r="1020" spans="4:4" x14ac:dyDescent="0.3">
      <c r="D1020" s="7"/>
    </row>
    <row r="1021" spans="4:4" x14ac:dyDescent="0.3">
      <c r="D1021" s="7"/>
    </row>
    <row r="1022" spans="4:4" x14ac:dyDescent="0.3">
      <c r="D1022" s="7"/>
    </row>
    <row r="1023" spans="4:4" x14ac:dyDescent="0.3">
      <c r="D1023" s="7"/>
    </row>
    <row r="1024" spans="4:4" x14ac:dyDescent="0.3">
      <c r="D1024" s="7"/>
    </row>
    <row r="1025" spans="4:4" x14ac:dyDescent="0.3">
      <c r="D1025" s="7"/>
    </row>
    <row r="1026" spans="4:4" x14ac:dyDescent="0.3">
      <c r="D1026" s="7"/>
    </row>
    <row r="1027" spans="4:4" x14ac:dyDescent="0.3">
      <c r="D1027" s="7"/>
    </row>
    <row r="1028" spans="4:4" x14ac:dyDescent="0.3">
      <c r="D1028" s="7"/>
    </row>
    <row r="1029" spans="4:4" x14ac:dyDescent="0.3">
      <c r="D1029" s="7"/>
    </row>
    <row r="1030" spans="4:4" x14ac:dyDescent="0.3">
      <c r="D1030" s="7"/>
    </row>
    <row r="1031" spans="4:4" x14ac:dyDescent="0.3">
      <c r="D1031" s="7"/>
    </row>
    <row r="1032" spans="4:4" x14ac:dyDescent="0.3">
      <c r="D1032" s="7"/>
    </row>
    <row r="1033" spans="4:4" x14ac:dyDescent="0.3">
      <c r="D1033" s="7"/>
    </row>
    <row r="1034" spans="4:4" x14ac:dyDescent="0.3">
      <c r="D1034" s="7"/>
    </row>
    <row r="1035" spans="4:4" x14ac:dyDescent="0.3">
      <c r="D1035" s="7"/>
    </row>
    <row r="1036" spans="4:4" x14ac:dyDescent="0.3">
      <c r="D1036" s="7"/>
    </row>
    <row r="1037" spans="4:4" x14ac:dyDescent="0.3">
      <c r="D1037" s="7"/>
    </row>
    <row r="1038" spans="4:4" x14ac:dyDescent="0.3">
      <c r="D1038" s="7"/>
    </row>
    <row r="1039" spans="4:4" x14ac:dyDescent="0.3">
      <c r="D1039" s="7"/>
    </row>
    <row r="1040" spans="4:4" x14ac:dyDescent="0.3">
      <c r="D1040" s="7"/>
    </row>
    <row r="1041" spans="4:4" x14ac:dyDescent="0.3">
      <c r="D1041" s="7"/>
    </row>
    <row r="1042" spans="4:4" x14ac:dyDescent="0.3">
      <c r="D1042" s="7"/>
    </row>
    <row r="1043" spans="4:4" x14ac:dyDescent="0.3">
      <c r="D1043" s="7"/>
    </row>
    <row r="1044" spans="4:4" x14ac:dyDescent="0.3">
      <c r="D1044" s="7"/>
    </row>
    <row r="1045" spans="4:4" x14ac:dyDescent="0.3">
      <c r="D1045" s="7"/>
    </row>
    <row r="1046" spans="4:4" x14ac:dyDescent="0.3">
      <c r="D1046" s="7"/>
    </row>
    <row r="1047" spans="4:4" x14ac:dyDescent="0.3">
      <c r="D1047" s="7"/>
    </row>
    <row r="1048" spans="4:4" x14ac:dyDescent="0.3">
      <c r="D1048" s="7"/>
    </row>
    <row r="1049" spans="4:4" x14ac:dyDescent="0.3">
      <c r="D1049" s="7"/>
    </row>
    <row r="1050" spans="4:4" x14ac:dyDescent="0.3">
      <c r="D1050" s="7"/>
    </row>
    <row r="1051" spans="4:4" x14ac:dyDescent="0.3">
      <c r="D1051" s="7"/>
    </row>
    <row r="1052" spans="4:4" x14ac:dyDescent="0.3">
      <c r="D1052" s="7"/>
    </row>
    <row r="1053" spans="4:4" x14ac:dyDescent="0.3">
      <c r="D1053" s="7"/>
    </row>
    <row r="1054" spans="4:4" x14ac:dyDescent="0.3">
      <c r="D1054" s="7"/>
    </row>
    <row r="1055" spans="4:4" x14ac:dyDescent="0.3">
      <c r="D1055" s="7"/>
    </row>
    <row r="1056" spans="4:4" x14ac:dyDescent="0.3">
      <c r="D1056" s="7"/>
    </row>
    <row r="1057" spans="4:4" x14ac:dyDescent="0.3">
      <c r="D1057" s="7"/>
    </row>
    <row r="1058" spans="4:4" x14ac:dyDescent="0.3">
      <c r="D1058" s="7"/>
    </row>
    <row r="1059" spans="4:4" x14ac:dyDescent="0.3">
      <c r="D1059" s="7"/>
    </row>
    <row r="1060" spans="4:4" x14ac:dyDescent="0.3">
      <c r="D1060" s="7"/>
    </row>
    <row r="1061" spans="4:4" x14ac:dyDescent="0.3">
      <c r="D1061" s="7"/>
    </row>
    <row r="1062" spans="4:4" x14ac:dyDescent="0.3">
      <c r="D1062" s="7"/>
    </row>
    <row r="1063" spans="4:4" x14ac:dyDescent="0.3">
      <c r="D1063" s="7"/>
    </row>
    <row r="1064" spans="4:4" x14ac:dyDescent="0.3">
      <c r="D1064" s="7"/>
    </row>
    <row r="1065" spans="4:4" x14ac:dyDescent="0.3">
      <c r="D1065" s="7"/>
    </row>
    <row r="1066" spans="4:4" x14ac:dyDescent="0.3">
      <c r="D1066" s="7"/>
    </row>
    <row r="1067" spans="4:4" x14ac:dyDescent="0.3">
      <c r="D1067" s="7"/>
    </row>
    <row r="1068" spans="4:4" x14ac:dyDescent="0.3">
      <c r="D1068" s="7"/>
    </row>
    <row r="1069" spans="4:4" x14ac:dyDescent="0.3">
      <c r="D1069" s="7"/>
    </row>
    <row r="1070" spans="4:4" x14ac:dyDescent="0.3">
      <c r="D1070" s="7"/>
    </row>
    <row r="1071" spans="4:4" x14ac:dyDescent="0.3">
      <c r="D1071" s="7"/>
    </row>
    <row r="1072" spans="4:4" x14ac:dyDescent="0.3">
      <c r="D1072" s="7"/>
    </row>
    <row r="1073" spans="4:4" x14ac:dyDescent="0.3">
      <c r="D1073" s="7"/>
    </row>
    <row r="1074" spans="4:4" x14ac:dyDescent="0.3">
      <c r="D1074" s="7"/>
    </row>
    <row r="1075" spans="4:4" x14ac:dyDescent="0.3">
      <c r="D1075" s="7"/>
    </row>
    <row r="1076" spans="4:4" x14ac:dyDescent="0.3">
      <c r="D1076" s="7"/>
    </row>
    <row r="1077" spans="4:4" x14ac:dyDescent="0.3">
      <c r="D1077" s="7"/>
    </row>
    <row r="1078" spans="4:4" x14ac:dyDescent="0.3">
      <c r="D1078" s="7"/>
    </row>
    <row r="1079" spans="4:4" x14ac:dyDescent="0.3">
      <c r="D1079" s="7"/>
    </row>
    <row r="1080" spans="4:4" x14ac:dyDescent="0.3">
      <c r="D1080" s="7"/>
    </row>
    <row r="1081" spans="4:4" x14ac:dyDescent="0.3">
      <c r="D1081" s="7"/>
    </row>
    <row r="1082" spans="4:4" x14ac:dyDescent="0.3">
      <c r="D1082" s="7"/>
    </row>
    <row r="1083" spans="4:4" x14ac:dyDescent="0.3">
      <c r="D1083" s="7"/>
    </row>
    <row r="1084" spans="4:4" x14ac:dyDescent="0.3">
      <c r="D1084" s="7"/>
    </row>
    <row r="1085" spans="4:4" x14ac:dyDescent="0.3">
      <c r="D1085" s="7"/>
    </row>
    <row r="1086" spans="4:4" x14ac:dyDescent="0.3">
      <c r="D1086" s="7"/>
    </row>
    <row r="1087" spans="4:4" x14ac:dyDescent="0.3">
      <c r="D1087" s="7"/>
    </row>
    <row r="1088" spans="4:4" x14ac:dyDescent="0.3">
      <c r="D1088" s="7"/>
    </row>
    <row r="1089" spans="4:4" x14ac:dyDescent="0.3">
      <c r="D1089" s="7"/>
    </row>
    <row r="1090" spans="4:4" x14ac:dyDescent="0.3">
      <c r="D1090" s="7"/>
    </row>
    <row r="1091" spans="4:4" x14ac:dyDescent="0.3">
      <c r="D1091" s="7"/>
    </row>
    <row r="1092" spans="4:4" x14ac:dyDescent="0.3">
      <c r="D1092" s="7"/>
    </row>
    <row r="1093" spans="4:4" x14ac:dyDescent="0.3">
      <c r="D1093" s="7"/>
    </row>
    <row r="1094" spans="4:4" x14ac:dyDescent="0.3">
      <c r="D1094" s="7"/>
    </row>
    <row r="1095" spans="4:4" x14ac:dyDescent="0.3">
      <c r="D1095" s="7"/>
    </row>
    <row r="1096" spans="4:4" x14ac:dyDescent="0.3">
      <c r="D1096" s="7"/>
    </row>
    <row r="1097" spans="4:4" x14ac:dyDescent="0.3">
      <c r="D1097" s="7"/>
    </row>
    <row r="1098" spans="4:4" x14ac:dyDescent="0.3">
      <c r="D1098" s="7"/>
    </row>
    <row r="1099" spans="4:4" x14ac:dyDescent="0.3">
      <c r="D1099" s="7"/>
    </row>
    <row r="1100" spans="4:4" x14ac:dyDescent="0.3">
      <c r="D1100" s="7"/>
    </row>
    <row r="1101" spans="4:4" x14ac:dyDescent="0.3">
      <c r="D1101" s="7"/>
    </row>
    <row r="1102" spans="4:4" x14ac:dyDescent="0.3">
      <c r="D1102" s="7"/>
    </row>
    <row r="1103" spans="4:4" x14ac:dyDescent="0.3">
      <c r="D1103" s="7"/>
    </row>
    <row r="1104" spans="4:4" x14ac:dyDescent="0.3">
      <c r="D1104" s="7"/>
    </row>
    <row r="1105" spans="4:4" x14ac:dyDescent="0.3">
      <c r="D1105" s="7"/>
    </row>
    <row r="1106" spans="4:4" x14ac:dyDescent="0.3">
      <c r="D1106" s="7"/>
    </row>
    <row r="1107" spans="4:4" x14ac:dyDescent="0.3">
      <c r="D1107" s="7"/>
    </row>
    <row r="1108" spans="4:4" x14ac:dyDescent="0.3">
      <c r="D1108" s="7"/>
    </row>
    <row r="1109" spans="4:4" x14ac:dyDescent="0.3">
      <c r="D1109" s="7"/>
    </row>
    <row r="1110" spans="4:4" x14ac:dyDescent="0.3">
      <c r="D1110" s="7"/>
    </row>
    <row r="1111" spans="4:4" x14ac:dyDescent="0.3">
      <c r="D1111" s="7"/>
    </row>
    <row r="1112" spans="4:4" x14ac:dyDescent="0.3">
      <c r="D1112" s="7"/>
    </row>
    <row r="1113" spans="4:4" x14ac:dyDescent="0.3">
      <c r="D1113" s="7"/>
    </row>
    <row r="1114" spans="4:4" x14ac:dyDescent="0.3">
      <c r="D1114" s="7"/>
    </row>
    <row r="1115" spans="4:4" x14ac:dyDescent="0.3">
      <c r="D1115" s="7"/>
    </row>
    <row r="1116" spans="4:4" x14ac:dyDescent="0.3">
      <c r="D1116" s="7"/>
    </row>
    <row r="1117" spans="4:4" x14ac:dyDescent="0.3">
      <c r="D1117" s="7"/>
    </row>
    <row r="1118" spans="4:4" x14ac:dyDescent="0.3">
      <c r="D1118" s="7"/>
    </row>
    <row r="1119" spans="4:4" x14ac:dyDescent="0.3">
      <c r="D1119" s="7"/>
    </row>
    <row r="1120" spans="4:4" x14ac:dyDescent="0.3">
      <c r="D1120" s="7"/>
    </row>
    <row r="1121" spans="4:4" x14ac:dyDescent="0.3">
      <c r="D1121" s="7"/>
    </row>
    <row r="1122" spans="4:4" x14ac:dyDescent="0.3">
      <c r="D1122" s="7"/>
    </row>
    <row r="1123" spans="4:4" x14ac:dyDescent="0.3">
      <c r="D1123" s="7"/>
    </row>
    <row r="1124" spans="4:4" x14ac:dyDescent="0.3">
      <c r="D1124" s="7"/>
    </row>
    <row r="1125" spans="4:4" x14ac:dyDescent="0.3">
      <c r="D1125" s="7"/>
    </row>
    <row r="1126" spans="4:4" x14ac:dyDescent="0.3">
      <c r="D1126" s="7"/>
    </row>
    <row r="1127" spans="4:4" x14ac:dyDescent="0.3">
      <c r="D1127" s="7"/>
    </row>
    <row r="1128" spans="4:4" x14ac:dyDescent="0.3">
      <c r="D1128" s="7"/>
    </row>
    <row r="1129" spans="4:4" x14ac:dyDescent="0.3">
      <c r="D1129" s="7"/>
    </row>
    <row r="1130" spans="4:4" x14ac:dyDescent="0.3">
      <c r="D1130" s="7"/>
    </row>
    <row r="1131" spans="4:4" x14ac:dyDescent="0.3">
      <c r="D1131" s="7"/>
    </row>
    <row r="1132" spans="4:4" x14ac:dyDescent="0.3">
      <c r="D1132" s="7"/>
    </row>
    <row r="1133" spans="4:4" x14ac:dyDescent="0.3">
      <c r="D1133" s="7"/>
    </row>
    <row r="1134" spans="4:4" x14ac:dyDescent="0.3">
      <c r="D1134" s="7"/>
    </row>
    <row r="1135" spans="4:4" x14ac:dyDescent="0.3">
      <c r="D1135" s="7"/>
    </row>
    <row r="1136" spans="4:4" x14ac:dyDescent="0.3">
      <c r="D1136" s="7"/>
    </row>
    <row r="1137" spans="4:4" x14ac:dyDescent="0.3">
      <c r="D1137" s="7"/>
    </row>
    <row r="1138" spans="4:4" x14ac:dyDescent="0.3">
      <c r="D1138" s="7"/>
    </row>
    <row r="1139" spans="4:4" x14ac:dyDescent="0.3">
      <c r="D1139" s="7"/>
    </row>
    <row r="1140" spans="4:4" x14ac:dyDescent="0.3">
      <c r="D1140" s="7"/>
    </row>
    <row r="1141" spans="4:4" x14ac:dyDescent="0.3">
      <c r="D1141" s="7"/>
    </row>
    <row r="1142" spans="4:4" x14ac:dyDescent="0.3">
      <c r="D1142" s="7"/>
    </row>
    <row r="1143" spans="4:4" x14ac:dyDescent="0.3">
      <c r="D1143" s="7"/>
    </row>
    <row r="1144" spans="4:4" x14ac:dyDescent="0.3">
      <c r="D1144" s="7"/>
    </row>
    <row r="1145" spans="4:4" x14ac:dyDescent="0.3">
      <c r="D1145" s="7"/>
    </row>
    <row r="1146" spans="4:4" x14ac:dyDescent="0.3">
      <c r="D1146" s="7"/>
    </row>
    <row r="1147" spans="4:4" x14ac:dyDescent="0.3">
      <c r="D1147" s="7"/>
    </row>
    <row r="1148" spans="4:4" x14ac:dyDescent="0.3">
      <c r="D1148" s="7"/>
    </row>
    <row r="1149" spans="4:4" x14ac:dyDescent="0.3">
      <c r="D1149" s="7"/>
    </row>
    <row r="1150" spans="4:4" x14ac:dyDescent="0.3">
      <c r="D1150" s="7"/>
    </row>
    <row r="1151" spans="4:4" x14ac:dyDescent="0.3">
      <c r="D1151" s="7"/>
    </row>
    <row r="1152" spans="4:4" x14ac:dyDescent="0.3">
      <c r="D1152" s="7"/>
    </row>
    <row r="1153" spans="4:4" x14ac:dyDescent="0.3">
      <c r="D1153" s="7"/>
    </row>
    <row r="1154" spans="4:4" x14ac:dyDescent="0.3">
      <c r="D1154" s="7"/>
    </row>
    <row r="1155" spans="4:4" x14ac:dyDescent="0.3">
      <c r="D1155" s="7"/>
    </row>
    <row r="1156" spans="4:4" x14ac:dyDescent="0.3">
      <c r="D1156" s="7"/>
    </row>
    <row r="1157" spans="4:4" x14ac:dyDescent="0.3">
      <c r="D1157" s="7"/>
    </row>
    <row r="1158" spans="4:4" x14ac:dyDescent="0.3">
      <c r="D1158" s="7"/>
    </row>
    <row r="1159" spans="4:4" x14ac:dyDescent="0.3">
      <c r="D1159" s="7"/>
    </row>
    <row r="1160" spans="4:4" x14ac:dyDescent="0.3">
      <c r="D1160" s="7"/>
    </row>
    <row r="1161" spans="4:4" x14ac:dyDescent="0.3">
      <c r="D1161" s="7"/>
    </row>
    <row r="1162" spans="4:4" x14ac:dyDescent="0.3">
      <c r="D1162" s="7"/>
    </row>
    <row r="1163" spans="4:4" x14ac:dyDescent="0.3">
      <c r="D1163" s="7"/>
    </row>
    <row r="1164" spans="4:4" x14ac:dyDescent="0.3">
      <c r="D1164" s="7"/>
    </row>
    <row r="1165" spans="4:4" x14ac:dyDescent="0.3">
      <c r="D1165" s="7"/>
    </row>
    <row r="1166" spans="4:4" x14ac:dyDescent="0.3">
      <c r="D1166" s="7"/>
    </row>
    <row r="1167" spans="4:4" x14ac:dyDescent="0.3">
      <c r="D1167" s="7"/>
    </row>
    <row r="1168" spans="4:4" x14ac:dyDescent="0.3">
      <c r="D1168" s="7"/>
    </row>
    <row r="1169" spans="4:4" x14ac:dyDescent="0.3">
      <c r="D1169" s="7"/>
    </row>
    <row r="1170" spans="4:4" x14ac:dyDescent="0.3">
      <c r="D1170" s="7"/>
    </row>
    <row r="1171" spans="4:4" x14ac:dyDescent="0.3">
      <c r="D1171" s="7"/>
    </row>
    <row r="1172" spans="4:4" x14ac:dyDescent="0.3">
      <c r="D1172" s="7"/>
    </row>
    <row r="1173" spans="4:4" x14ac:dyDescent="0.3">
      <c r="D1173" s="7"/>
    </row>
    <row r="1174" spans="4:4" x14ac:dyDescent="0.3">
      <c r="D1174" s="7"/>
    </row>
    <row r="1175" spans="4:4" x14ac:dyDescent="0.3">
      <c r="D1175" s="7"/>
    </row>
    <row r="1176" spans="4:4" x14ac:dyDescent="0.3">
      <c r="D1176" s="7"/>
    </row>
    <row r="1177" spans="4:4" x14ac:dyDescent="0.3">
      <c r="D1177" s="7"/>
    </row>
    <row r="1178" spans="4:4" x14ac:dyDescent="0.3">
      <c r="D1178" s="7"/>
    </row>
    <row r="1179" spans="4:4" x14ac:dyDescent="0.3">
      <c r="D1179" s="7"/>
    </row>
    <row r="1180" spans="4:4" x14ac:dyDescent="0.3">
      <c r="D1180" s="7"/>
    </row>
    <row r="1181" spans="4:4" x14ac:dyDescent="0.3">
      <c r="D1181" s="7"/>
    </row>
    <row r="1182" spans="4:4" x14ac:dyDescent="0.3">
      <c r="D1182" s="7"/>
    </row>
    <row r="1183" spans="4:4" x14ac:dyDescent="0.3">
      <c r="D1183" s="7"/>
    </row>
    <row r="1184" spans="4:4" x14ac:dyDescent="0.3">
      <c r="D1184" s="7"/>
    </row>
    <row r="1185" spans="4:4" x14ac:dyDescent="0.3">
      <c r="D1185" s="7"/>
    </row>
    <row r="1186" spans="4:4" x14ac:dyDescent="0.3">
      <c r="D1186" s="7"/>
    </row>
    <row r="1187" spans="4:4" x14ac:dyDescent="0.3">
      <c r="D1187" s="7"/>
    </row>
    <row r="1188" spans="4:4" x14ac:dyDescent="0.3">
      <c r="D1188" s="7"/>
    </row>
    <row r="1189" spans="4:4" x14ac:dyDescent="0.3">
      <c r="D1189" s="7"/>
    </row>
    <row r="1190" spans="4:4" x14ac:dyDescent="0.3">
      <c r="D1190" s="7"/>
    </row>
    <row r="1191" spans="4:4" x14ac:dyDescent="0.3">
      <c r="D1191" s="7"/>
    </row>
    <row r="1192" spans="4:4" x14ac:dyDescent="0.3">
      <c r="D1192" s="7"/>
    </row>
    <row r="1193" spans="4:4" x14ac:dyDescent="0.3">
      <c r="D1193" s="7"/>
    </row>
    <row r="1194" spans="4:4" x14ac:dyDescent="0.3">
      <c r="D1194" s="7"/>
    </row>
    <row r="1195" spans="4:4" x14ac:dyDescent="0.3">
      <c r="D1195" s="7"/>
    </row>
    <row r="1196" spans="4:4" x14ac:dyDescent="0.3">
      <c r="D1196" s="7"/>
    </row>
    <row r="1197" spans="4:4" x14ac:dyDescent="0.3">
      <c r="D1197" s="7"/>
    </row>
    <row r="1198" spans="4:4" x14ac:dyDescent="0.3">
      <c r="D1198" s="7"/>
    </row>
    <row r="1199" spans="4:4" x14ac:dyDescent="0.3">
      <c r="D1199" s="7"/>
    </row>
    <row r="1200" spans="4:4" x14ac:dyDescent="0.3">
      <c r="D1200" s="7"/>
    </row>
    <row r="1201" spans="4:4" x14ac:dyDescent="0.3">
      <c r="D1201" s="7"/>
    </row>
    <row r="1202" spans="4:4" x14ac:dyDescent="0.3">
      <c r="D1202" s="7"/>
    </row>
    <row r="1203" spans="4:4" x14ac:dyDescent="0.3">
      <c r="D1203" s="7"/>
    </row>
    <row r="1204" spans="4:4" x14ac:dyDescent="0.3">
      <c r="D1204" s="7"/>
    </row>
    <row r="1205" spans="4:4" x14ac:dyDescent="0.3">
      <c r="D1205" s="7"/>
    </row>
    <row r="1206" spans="4:4" x14ac:dyDescent="0.3">
      <c r="D1206" s="7"/>
    </row>
    <row r="1207" spans="4:4" x14ac:dyDescent="0.3">
      <c r="D1207" s="7"/>
    </row>
    <row r="1208" spans="4:4" x14ac:dyDescent="0.3">
      <c r="D1208" s="7"/>
    </row>
    <row r="1209" spans="4:4" x14ac:dyDescent="0.3">
      <c r="D1209" s="7"/>
    </row>
    <row r="1210" spans="4:4" x14ac:dyDescent="0.3">
      <c r="D1210" s="7"/>
    </row>
    <row r="1211" spans="4:4" x14ac:dyDescent="0.3">
      <c r="D1211" s="7"/>
    </row>
    <row r="1212" spans="4:4" x14ac:dyDescent="0.3">
      <c r="D1212" s="7"/>
    </row>
    <row r="1213" spans="4:4" x14ac:dyDescent="0.3">
      <c r="D1213" s="7"/>
    </row>
    <row r="1214" spans="4:4" x14ac:dyDescent="0.3">
      <c r="D1214" s="7"/>
    </row>
    <row r="1215" spans="4:4" x14ac:dyDescent="0.3">
      <c r="D1215" s="7"/>
    </row>
    <row r="1216" spans="4:4" x14ac:dyDescent="0.3">
      <c r="D1216" s="7"/>
    </row>
    <row r="1217" spans="4:4" x14ac:dyDescent="0.3">
      <c r="D1217" s="7"/>
    </row>
    <row r="1218" spans="4:4" x14ac:dyDescent="0.3">
      <c r="D1218" s="7"/>
    </row>
    <row r="1219" spans="4:4" x14ac:dyDescent="0.3">
      <c r="D1219" s="7"/>
    </row>
    <row r="1220" spans="4:4" x14ac:dyDescent="0.3">
      <c r="D1220" s="7"/>
    </row>
    <row r="1221" spans="4:4" x14ac:dyDescent="0.3">
      <c r="D1221" s="7"/>
    </row>
    <row r="1222" spans="4:4" x14ac:dyDescent="0.3">
      <c r="D1222" s="7"/>
    </row>
    <row r="1223" spans="4:4" x14ac:dyDescent="0.3">
      <c r="D1223" s="7"/>
    </row>
    <row r="1224" spans="4:4" x14ac:dyDescent="0.3">
      <c r="D1224" s="7"/>
    </row>
    <row r="1225" spans="4:4" x14ac:dyDescent="0.3">
      <c r="D1225" s="7"/>
    </row>
    <row r="1226" spans="4:4" x14ac:dyDescent="0.3">
      <c r="D1226" s="7"/>
    </row>
    <row r="1227" spans="4:4" x14ac:dyDescent="0.3">
      <c r="D1227" s="7"/>
    </row>
    <row r="1228" spans="4:4" x14ac:dyDescent="0.3">
      <c r="D1228" s="7"/>
    </row>
    <row r="1229" spans="4:4" x14ac:dyDescent="0.3">
      <c r="D1229" s="7"/>
    </row>
    <row r="1230" spans="4:4" x14ac:dyDescent="0.3">
      <c r="D1230" s="7"/>
    </row>
    <row r="1231" spans="4:4" x14ac:dyDescent="0.3">
      <c r="D1231" s="7"/>
    </row>
    <row r="1232" spans="4:4" x14ac:dyDescent="0.3">
      <c r="D1232" s="7"/>
    </row>
    <row r="1233" spans="4:4" x14ac:dyDescent="0.3">
      <c r="D1233" s="7"/>
    </row>
    <row r="1234" spans="4:4" x14ac:dyDescent="0.3">
      <c r="D1234" s="7"/>
    </row>
    <row r="1235" spans="4:4" x14ac:dyDescent="0.3">
      <c r="D1235" s="7"/>
    </row>
    <row r="1236" spans="4:4" x14ac:dyDescent="0.3">
      <c r="D1236" s="7"/>
    </row>
    <row r="1237" spans="4:4" x14ac:dyDescent="0.3">
      <c r="D1237" s="7"/>
    </row>
    <row r="1238" spans="4:4" x14ac:dyDescent="0.3">
      <c r="D1238" s="7"/>
    </row>
    <row r="1239" spans="4:4" x14ac:dyDescent="0.3">
      <c r="D1239" s="7"/>
    </row>
    <row r="1240" spans="4:4" x14ac:dyDescent="0.3">
      <c r="D1240" s="7"/>
    </row>
    <row r="1241" spans="4:4" x14ac:dyDescent="0.3">
      <c r="D1241" s="7"/>
    </row>
    <row r="1242" spans="4:4" x14ac:dyDescent="0.3">
      <c r="D1242" s="7"/>
    </row>
    <row r="1243" spans="4:4" x14ac:dyDescent="0.3">
      <c r="D1243" s="7"/>
    </row>
    <row r="1244" spans="4:4" x14ac:dyDescent="0.3">
      <c r="D1244" s="7"/>
    </row>
    <row r="1245" spans="4:4" x14ac:dyDescent="0.3">
      <c r="D1245" s="7"/>
    </row>
    <row r="1246" spans="4:4" x14ac:dyDescent="0.3">
      <c r="D1246" s="7"/>
    </row>
    <row r="1247" spans="4:4" x14ac:dyDescent="0.3">
      <c r="D1247" s="7"/>
    </row>
    <row r="1248" spans="4:4" x14ac:dyDescent="0.3">
      <c r="D1248" s="7"/>
    </row>
    <row r="1249" spans="4:4" x14ac:dyDescent="0.3">
      <c r="D1249" s="7"/>
    </row>
    <row r="1250" spans="4:4" x14ac:dyDescent="0.3">
      <c r="D1250" s="7"/>
    </row>
    <row r="1251" spans="4:4" x14ac:dyDescent="0.3">
      <c r="D1251" s="7"/>
    </row>
    <row r="1252" spans="4:4" x14ac:dyDescent="0.3">
      <c r="D1252" s="7"/>
    </row>
    <row r="1253" spans="4:4" x14ac:dyDescent="0.3">
      <c r="D1253" s="7"/>
    </row>
    <row r="1254" spans="4:4" x14ac:dyDescent="0.3">
      <c r="D1254" s="7"/>
    </row>
    <row r="1255" spans="4:4" x14ac:dyDescent="0.3">
      <c r="D1255" s="7"/>
    </row>
    <row r="1256" spans="4:4" x14ac:dyDescent="0.3">
      <c r="D1256" s="7"/>
    </row>
    <row r="1257" spans="4:4" x14ac:dyDescent="0.3">
      <c r="D1257" s="7"/>
    </row>
    <row r="1258" spans="4:4" x14ac:dyDescent="0.3">
      <c r="D1258" s="7"/>
    </row>
    <row r="1259" spans="4:4" x14ac:dyDescent="0.3">
      <c r="D1259" s="7"/>
    </row>
    <row r="1260" spans="4:4" x14ac:dyDescent="0.3">
      <c r="D1260" s="7"/>
    </row>
    <row r="1261" spans="4:4" x14ac:dyDescent="0.3">
      <c r="D1261" s="7"/>
    </row>
    <row r="1262" spans="4:4" x14ac:dyDescent="0.3">
      <c r="D1262" s="7"/>
    </row>
    <row r="1263" spans="4:4" x14ac:dyDescent="0.3">
      <c r="D1263" s="7"/>
    </row>
    <row r="1264" spans="4:4" x14ac:dyDescent="0.3">
      <c r="D1264" s="7"/>
    </row>
    <row r="1265" spans="4:4" x14ac:dyDescent="0.3">
      <c r="D1265" s="7"/>
    </row>
    <row r="1266" spans="4:4" x14ac:dyDescent="0.3">
      <c r="D1266" s="7"/>
    </row>
    <row r="1267" spans="4:4" x14ac:dyDescent="0.3">
      <c r="D1267" s="7"/>
    </row>
    <row r="1268" spans="4:4" x14ac:dyDescent="0.3">
      <c r="D1268" s="7"/>
    </row>
    <row r="1269" spans="4:4" x14ac:dyDescent="0.3">
      <c r="D1269" s="7"/>
    </row>
    <row r="1270" spans="4:4" x14ac:dyDescent="0.3">
      <c r="D1270" s="7"/>
    </row>
    <row r="1271" spans="4:4" x14ac:dyDescent="0.3">
      <c r="D1271" s="7"/>
    </row>
    <row r="1272" spans="4:4" x14ac:dyDescent="0.3">
      <c r="D1272" s="7"/>
    </row>
    <row r="1273" spans="4:4" x14ac:dyDescent="0.3">
      <c r="D1273" s="7"/>
    </row>
    <row r="1274" spans="4:4" x14ac:dyDescent="0.3">
      <c r="D1274" s="7"/>
    </row>
    <row r="1275" spans="4:4" x14ac:dyDescent="0.3">
      <c r="D1275" s="7"/>
    </row>
    <row r="1276" spans="4:4" x14ac:dyDescent="0.3">
      <c r="D1276" s="7"/>
    </row>
    <row r="1277" spans="4:4" x14ac:dyDescent="0.3">
      <c r="D1277" s="7"/>
    </row>
    <row r="1278" spans="4:4" x14ac:dyDescent="0.3">
      <c r="D1278" s="7"/>
    </row>
    <row r="1279" spans="4:4" x14ac:dyDescent="0.3">
      <c r="D1279" s="7"/>
    </row>
    <row r="1280" spans="4:4" x14ac:dyDescent="0.3">
      <c r="D1280" s="7"/>
    </row>
    <row r="1281" spans="4:4" x14ac:dyDescent="0.3">
      <c r="D1281" s="7"/>
    </row>
    <row r="1282" spans="4:4" x14ac:dyDescent="0.3">
      <c r="D1282" s="7"/>
    </row>
    <row r="1283" spans="4:4" x14ac:dyDescent="0.3">
      <c r="D1283" s="7"/>
    </row>
    <row r="1284" spans="4:4" x14ac:dyDescent="0.3">
      <c r="D1284" s="7"/>
    </row>
    <row r="1285" spans="4:4" x14ac:dyDescent="0.3">
      <c r="D1285" s="7"/>
    </row>
    <row r="1286" spans="4:4" x14ac:dyDescent="0.3">
      <c r="D1286" s="7"/>
    </row>
    <row r="1287" spans="4:4" x14ac:dyDescent="0.3">
      <c r="D1287" s="7"/>
    </row>
    <row r="1288" spans="4:4" x14ac:dyDescent="0.3">
      <c r="D1288" s="7"/>
    </row>
    <row r="1289" spans="4:4" x14ac:dyDescent="0.3">
      <c r="D1289" s="7"/>
    </row>
    <row r="1290" spans="4:4" x14ac:dyDescent="0.3">
      <c r="D1290" s="7"/>
    </row>
    <row r="1291" spans="4:4" x14ac:dyDescent="0.3">
      <c r="D1291" s="7"/>
    </row>
    <row r="1292" spans="4:4" x14ac:dyDescent="0.3">
      <c r="D1292" s="7"/>
    </row>
    <row r="1293" spans="4:4" x14ac:dyDescent="0.3">
      <c r="D1293" s="7"/>
    </row>
    <row r="1294" spans="4:4" x14ac:dyDescent="0.3">
      <c r="D1294" s="7"/>
    </row>
    <row r="1295" spans="4:4" x14ac:dyDescent="0.3">
      <c r="D1295" s="7"/>
    </row>
    <row r="1296" spans="4:4" x14ac:dyDescent="0.3">
      <c r="D1296" s="7"/>
    </row>
    <row r="1297" spans="4:4" x14ac:dyDescent="0.3">
      <c r="D1297" s="7"/>
    </row>
    <row r="1298" spans="4:4" x14ac:dyDescent="0.3">
      <c r="D1298" s="7"/>
    </row>
    <row r="1299" spans="4:4" x14ac:dyDescent="0.3">
      <c r="D1299" s="7"/>
    </row>
    <row r="1300" spans="4:4" x14ac:dyDescent="0.3">
      <c r="D1300" s="7"/>
    </row>
    <row r="1301" spans="4:4" x14ac:dyDescent="0.3">
      <c r="D1301" s="7"/>
    </row>
    <row r="1302" spans="4:4" x14ac:dyDescent="0.3">
      <c r="D1302" s="7"/>
    </row>
    <row r="1303" spans="4:4" x14ac:dyDescent="0.3">
      <c r="D1303" s="7"/>
    </row>
    <row r="1304" spans="4:4" x14ac:dyDescent="0.3">
      <c r="D1304" s="7"/>
    </row>
    <row r="1305" spans="4:4" x14ac:dyDescent="0.3">
      <c r="D1305" s="7"/>
    </row>
    <row r="1306" spans="4:4" x14ac:dyDescent="0.3">
      <c r="D1306" s="7"/>
    </row>
    <row r="1307" spans="4:4" x14ac:dyDescent="0.3">
      <c r="D1307" s="7"/>
    </row>
    <row r="1308" spans="4:4" x14ac:dyDescent="0.3">
      <c r="D1308" s="7"/>
    </row>
    <row r="1309" spans="4:4" x14ac:dyDescent="0.3">
      <c r="D1309" s="7"/>
    </row>
    <row r="1310" spans="4:4" x14ac:dyDescent="0.3">
      <c r="D1310" s="7"/>
    </row>
    <row r="1311" spans="4:4" x14ac:dyDescent="0.3">
      <c r="D1311" s="7"/>
    </row>
    <row r="1312" spans="4:4" x14ac:dyDescent="0.3">
      <c r="D1312" s="7"/>
    </row>
    <row r="1313" spans="4:4" x14ac:dyDescent="0.3">
      <c r="D1313" s="7"/>
    </row>
    <row r="1314" spans="4:4" x14ac:dyDescent="0.3">
      <c r="D1314" s="7"/>
    </row>
    <row r="1315" spans="4:4" x14ac:dyDescent="0.3">
      <c r="D1315" s="7"/>
    </row>
    <row r="1316" spans="4:4" x14ac:dyDescent="0.3">
      <c r="D1316" s="7"/>
    </row>
    <row r="1317" spans="4:4" x14ac:dyDescent="0.3">
      <c r="D1317" s="7"/>
    </row>
    <row r="1318" spans="4:4" x14ac:dyDescent="0.3">
      <c r="D1318" s="7"/>
    </row>
    <row r="1319" spans="4:4" x14ac:dyDescent="0.3">
      <c r="D1319" s="7"/>
    </row>
    <row r="1320" spans="4:4" x14ac:dyDescent="0.3">
      <c r="D1320" s="7"/>
    </row>
    <row r="1321" spans="4:4" x14ac:dyDescent="0.3">
      <c r="D1321" s="7"/>
    </row>
    <row r="1322" spans="4:4" x14ac:dyDescent="0.3">
      <c r="D1322" s="7"/>
    </row>
    <row r="1323" spans="4:4" x14ac:dyDescent="0.3">
      <c r="D1323" s="7"/>
    </row>
    <row r="1324" spans="4:4" x14ac:dyDescent="0.3">
      <c r="D1324" s="7"/>
    </row>
    <row r="1325" spans="4:4" x14ac:dyDescent="0.3">
      <c r="D1325" s="7"/>
    </row>
    <row r="1326" spans="4:4" x14ac:dyDescent="0.3">
      <c r="D1326" s="7"/>
    </row>
    <row r="1327" spans="4:4" x14ac:dyDescent="0.3">
      <c r="D1327" s="7"/>
    </row>
    <row r="1328" spans="4:4" x14ac:dyDescent="0.3">
      <c r="D1328" s="7"/>
    </row>
    <row r="1329" spans="4:4" x14ac:dyDescent="0.3">
      <c r="D1329" s="7"/>
    </row>
    <row r="1330" spans="4:4" x14ac:dyDescent="0.3">
      <c r="D1330" s="7"/>
    </row>
    <row r="1331" spans="4:4" x14ac:dyDescent="0.3">
      <c r="D1331" s="7"/>
    </row>
    <row r="1332" spans="4:4" x14ac:dyDescent="0.3">
      <c r="D1332" s="7"/>
    </row>
    <row r="1333" spans="4:4" x14ac:dyDescent="0.3">
      <c r="D1333" s="7"/>
    </row>
    <row r="1334" spans="4:4" x14ac:dyDescent="0.3">
      <c r="D1334" s="7"/>
    </row>
    <row r="1335" spans="4:4" x14ac:dyDescent="0.3">
      <c r="D1335" s="7"/>
    </row>
    <row r="1336" spans="4:4" x14ac:dyDescent="0.3">
      <c r="D1336" s="7"/>
    </row>
    <row r="1337" spans="4:4" x14ac:dyDescent="0.3">
      <c r="D1337" s="7"/>
    </row>
    <row r="1338" spans="4:4" x14ac:dyDescent="0.3">
      <c r="D1338" s="7"/>
    </row>
    <row r="1339" spans="4:4" x14ac:dyDescent="0.3">
      <c r="D1339" s="7"/>
    </row>
    <row r="1340" spans="4:4" x14ac:dyDescent="0.3">
      <c r="D1340" s="7"/>
    </row>
    <row r="1341" spans="4:4" x14ac:dyDescent="0.3">
      <c r="D1341" s="7"/>
    </row>
    <row r="1342" spans="4:4" x14ac:dyDescent="0.3">
      <c r="D1342" s="7"/>
    </row>
    <row r="1343" spans="4:4" x14ac:dyDescent="0.3">
      <c r="D1343" s="7"/>
    </row>
    <row r="1344" spans="4:4" x14ac:dyDescent="0.3">
      <c r="D1344" s="7"/>
    </row>
    <row r="1345" spans="4:4" x14ac:dyDescent="0.3">
      <c r="D1345" s="7"/>
    </row>
    <row r="1346" spans="4:4" x14ac:dyDescent="0.3">
      <c r="D1346" s="7"/>
    </row>
    <row r="1347" spans="4:4" x14ac:dyDescent="0.3">
      <c r="D1347" s="7"/>
    </row>
    <row r="1348" spans="4:4" x14ac:dyDescent="0.3">
      <c r="D1348" s="7"/>
    </row>
    <row r="1349" spans="4:4" x14ac:dyDescent="0.3">
      <c r="D1349" s="7"/>
    </row>
    <row r="1350" spans="4:4" x14ac:dyDescent="0.3">
      <c r="D1350" s="7"/>
    </row>
    <row r="1351" spans="4:4" x14ac:dyDescent="0.3">
      <c r="D1351" s="7"/>
    </row>
    <row r="1352" spans="4:4" x14ac:dyDescent="0.3">
      <c r="D1352" s="7"/>
    </row>
    <row r="1353" spans="4:4" x14ac:dyDescent="0.3">
      <c r="D1353" s="7"/>
    </row>
    <row r="1354" spans="4:4" x14ac:dyDescent="0.3">
      <c r="D1354" s="7"/>
    </row>
    <row r="1355" spans="4:4" x14ac:dyDescent="0.3">
      <c r="D1355" s="7"/>
    </row>
    <row r="1356" spans="4:4" x14ac:dyDescent="0.3">
      <c r="D1356" s="7"/>
    </row>
    <row r="1357" spans="4:4" x14ac:dyDescent="0.3">
      <c r="D1357" s="7"/>
    </row>
    <row r="1358" spans="4:4" x14ac:dyDescent="0.3">
      <c r="D1358" s="7"/>
    </row>
    <row r="1359" spans="4:4" x14ac:dyDescent="0.3">
      <c r="D1359" s="7"/>
    </row>
    <row r="1360" spans="4:4" x14ac:dyDescent="0.3">
      <c r="D1360" s="7"/>
    </row>
    <row r="1361" spans="4:4" x14ac:dyDescent="0.3">
      <c r="D1361" s="7"/>
    </row>
    <row r="1362" spans="4:4" x14ac:dyDescent="0.3">
      <c r="D1362" s="7"/>
    </row>
    <row r="1363" spans="4:4" x14ac:dyDescent="0.3">
      <c r="D1363" s="7"/>
    </row>
    <row r="1364" spans="4:4" x14ac:dyDescent="0.3">
      <c r="D1364" s="7"/>
    </row>
    <row r="1365" spans="4:4" x14ac:dyDescent="0.3">
      <c r="D1365" s="7"/>
    </row>
    <row r="1366" spans="4:4" x14ac:dyDescent="0.3">
      <c r="D1366" s="7"/>
    </row>
    <row r="1367" spans="4:4" x14ac:dyDescent="0.3">
      <c r="D1367" s="7"/>
    </row>
    <row r="1368" spans="4:4" x14ac:dyDescent="0.3">
      <c r="D1368" s="7"/>
    </row>
    <row r="1369" spans="4:4" x14ac:dyDescent="0.3">
      <c r="D1369" s="7"/>
    </row>
    <row r="1370" spans="4:4" x14ac:dyDescent="0.3">
      <c r="D1370" s="7"/>
    </row>
    <row r="1371" spans="4:4" x14ac:dyDescent="0.3">
      <c r="D1371" s="7"/>
    </row>
    <row r="1372" spans="4:4" x14ac:dyDescent="0.3">
      <c r="D1372" s="7"/>
    </row>
    <row r="1373" spans="4:4" x14ac:dyDescent="0.3">
      <c r="D1373" s="7"/>
    </row>
    <row r="1374" spans="4:4" x14ac:dyDescent="0.3">
      <c r="D1374" s="7"/>
    </row>
    <row r="1375" spans="4:4" x14ac:dyDescent="0.3">
      <c r="D1375" s="7"/>
    </row>
    <row r="1376" spans="4:4" x14ac:dyDescent="0.3">
      <c r="D1376" s="7"/>
    </row>
    <row r="1377" spans="4:4" x14ac:dyDescent="0.3">
      <c r="D1377" s="7"/>
    </row>
    <row r="1378" spans="4:4" x14ac:dyDescent="0.3">
      <c r="D1378" s="7"/>
    </row>
    <row r="1379" spans="4:4" x14ac:dyDescent="0.3">
      <c r="D1379" s="7"/>
    </row>
    <row r="1380" spans="4:4" x14ac:dyDescent="0.3">
      <c r="D1380" s="7"/>
    </row>
    <row r="1381" spans="4:4" x14ac:dyDescent="0.3">
      <c r="D1381" s="7"/>
    </row>
    <row r="1382" spans="4:4" x14ac:dyDescent="0.3">
      <c r="D1382" s="7"/>
    </row>
    <row r="1383" spans="4:4" x14ac:dyDescent="0.3">
      <c r="D1383" s="7"/>
    </row>
    <row r="1384" spans="4:4" x14ac:dyDescent="0.3">
      <c r="D1384" s="7"/>
    </row>
    <row r="1385" spans="4:4" x14ac:dyDescent="0.3">
      <c r="D1385" s="7"/>
    </row>
    <row r="1386" spans="4:4" x14ac:dyDescent="0.3">
      <c r="D1386" s="7"/>
    </row>
    <row r="1387" spans="4:4" x14ac:dyDescent="0.3">
      <c r="D1387" s="7"/>
    </row>
    <row r="1388" spans="4:4" x14ac:dyDescent="0.3">
      <c r="D1388" s="7"/>
    </row>
    <row r="1389" spans="4:4" x14ac:dyDescent="0.3">
      <c r="D1389" s="7"/>
    </row>
    <row r="1390" spans="4:4" x14ac:dyDescent="0.3">
      <c r="D1390" s="7"/>
    </row>
    <row r="1391" spans="4:4" x14ac:dyDescent="0.3">
      <c r="D1391" s="7"/>
    </row>
    <row r="1392" spans="4:4" x14ac:dyDescent="0.3">
      <c r="D1392" s="7"/>
    </row>
    <row r="1393" spans="4:4" x14ac:dyDescent="0.3">
      <c r="D1393" s="7"/>
    </row>
    <row r="1394" spans="4:4" x14ac:dyDescent="0.3">
      <c r="D1394" s="7"/>
    </row>
    <row r="1395" spans="4:4" x14ac:dyDescent="0.3">
      <c r="D1395" s="7"/>
    </row>
    <row r="1396" spans="4:4" x14ac:dyDescent="0.3">
      <c r="D1396" s="7"/>
    </row>
    <row r="1397" spans="4:4" x14ac:dyDescent="0.3">
      <c r="D1397" s="7"/>
    </row>
    <row r="1398" spans="4:4" x14ac:dyDescent="0.3">
      <c r="D1398" s="7"/>
    </row>
    <row r="1399" spans="4:4" x14ac:dyDescent="0.3">
      <c r="D1399" s="7"/>
    </row>
    <row r="1400" spans="4:4" x14ac:dyDescent="0.3">
      <c r="D1400" s="7"/>
    </row>
    <row r="1401" spans="4:4" x14ac:dyDescent="0.3">
      <c r="D1401" s="7"/>
    </row>
    <row r="1402" spans="4:4" x14ac:dyDescent="0.3">
      <c r="D1402" s="7"/>
    </row>
    <row r="1403" spans="4:4" x14ac:dyDescent="0.3">
      <c r="D1403" s="7"/>
    </row>
    <row r="1404" spans="4:4" x14ac:dyDescent="0.3">
      <c r="D1404" s="7"/>
    </row>
    <row r="1405" spans="4:4" x14ac:dyDescent="0.3">
      <c r="D1405" s="7"/>
    </row>
    <row r="1406" spans="4:4" x14ac:dyDescent="0.3">
      <c r="D1406" s="7"/>
    </row>
    <row r="1407" spans="4:4" x14ac:dyDescent="0.3">
      <c r="D1407" s="7"/>
    </row>
    <row r="1408" spans="4:4" x14ac:dyDescent="0.3">
      <c r="D1408" s="7"/>
    </row>
    <row r="1409" spans="4:4" x14ac:dyDescent="0.3">
      <c r="D1409" s="7"/>
    </row>
    <row r="1410" spans="4:4" x14ac:dyDescent="0.3">
      <c r="D1410" s="7"/>
    </row>
    <row r="1411" spans="4:4" x14ac:dyDescent="0.3">
      <c r="D1411" s="7"/>
    </row>
    <row r="1412" spans="4:4" x14ac:dyDescent="0.3">
      <c r="D1412" s="7"/>
    </row>
    <row r="1413" spans="4:4" x14ac:dyDescent="0.3">
      <c r="D1413" s="7"/>
    </row>
    <row r="1414" spans="4:4" x14ac:dyDescent="0.3">
      <c r="D1414" s="7"/>
    </row>
    <row r="1415" spans="4:4" x14ac:dyDescent="0.3">
      <c r="D1415" s="7"/>
    </row>
    <row r="1416" spans="4:4" x14ac:dyDescent="0.3">
      <c r="D1416" s="7"/>
    </row>
    <row r="1417" spans="4:4" x14ac:dyDescent="0.3">
      <c r="D1417" s="7"/>
    </row>
    <row r="1418" spans="4:4" x14ac:dyDescent="0.3">
      <c r="D1418" s="7"/>
    </row>
    <row r="1419" spans="4:4" x14ac:dyDescent="0.3">
      <c r="D1419" s="7"/>
    </row>
    <row r="1420" spans="4:4" x14ac:dyDescent="0.3">
      <c r="D1420" s="7"/>
    </row>
    <row r="1421" spans="4:4" x14ac:dyDescent="0.3">
      <c r="D1421" s="7"/>
    </row>
    <row r="1422" spans="4:4" x14ac:dyDescent="0.3">
      <c r="D1422" s="7"/>
    </row>
    <row r="1423" spans="4:4" x14ac:dyDescent="0.3">
      <c r="D1423" s="7"/>
    </row>
    <row r="1424" spans="4:4" x14ac:dyDescent="0.3">
      <c r="D1424" s="7"/>
    </row>
    <row r="1425" spans="4:4" x14ac:dyDescent="0.3">
      <c r="D1425" s="7"/>
    </row>
    <row r="1426" spans="4:4" x14ac:dyDescent="0.3">
      <c r="D1426" s="7"/>
    </row>
    <row r="1427" spans="4:4" x14ac:dyDescent="0.3">
      <c r="D1427" s="7"/>
    </row>
    <row r="1428" spans="4:4" x14ac:dyDescent="0.3">
      <c r="D1428" s="7"/>
    </row>
    <row r="1429" spans="4:4" x14ac:dyDescent="0.3">
      <c r="D1429" s="7"/>
    </row>
    <row r="1430" spans="4:4" x14ac:dyDescent="0.3">
      <c r="D1430" s="7"/>
    </row>
    <row r="1431" spans="4:4" x14ac:dyDescent="0.3">
      <c r="D1431" s="7"/>
    </row>
    <row r="1432" spans="4:4" x14ac:dyDescent="0.3">
      <c r="D1432" s="7"/>
    </row>
    <row r="1433" spans="4:4" x14ac:dyDescent="0.3">
      <c r="D1433" s="7"/>
    </row>
    <row r="1434" spans="4:4" x14ac:dyDescent="0.3">
      <c r="D1434" s="7"/>
    </row>
    <row r="1435" spans="4:4" x14ac:dyDescent="0.3">
      <c r="D1435" s="7"/>
    </row>
    <row r="1436" spans="4:4" x14ac:dyDescent="0.3">
      <c r="D1436" s="7"/>
    </row>
    <row r="1437" spans="4:4" x14ac:dyDescent="0.3">
      <c r="D1437" s="7"/>
    </row>
    <row r="1438" spans="4:4" x14ac:dyDescent="0.3">
      <c r="D1438" s="7"/>
    </row>
    <row r="1439" spans="4:4" x14ac:dyDescent="0.3">
      <c r="D1439" s="7"/>
    </row>
    <row r="1440" spans="4:4" x14ac:dyDescent="0.3">
      <c r="D1440" s="7"/>
    </row>
    <row r="1441" spans="4:4" x14ac:dyDescent="0.3">
      <c r="D1441" s="7"/>
    </row>
    <row r="1442" spans="4:4" x14ac:dyDescent="0.3">
      <c r="D1442" s="7"/>
    </row>
    <row r="1443" spans="4:4" x14ac:dyDescent="0.3">
      <c r="D1443" s="7"/>
    </row>
    <row r="1444" spans="4:4" x14ac:dyDescent="0.3">
      <c r="D1444" s="7"/>
    </row>
    <row r="1445" spans="4:4" x14ac:dyDescent="0.3">
      <c r="D1445" s="7"/>
    </row>
    <row r="1446" spans="4:4" x14ac:dyDescent="0.3">
      <c r="D1446" s="7"/>
    </row>
    <row r="1447" spans="4:4" x14ac:dyDescent="0.3">
      <c r="D1447" s="7"/>
    </row>
    <row r="1448" spans="4:4" x14ac:dyDescent="0.3">
      <c r="D1448" s="7"/>
    </row>
    <row r="1449" spans="4:4" x14ac:dyDescent="0.3">
      <c r="D1449" s="7"/>
    </row>
    <row r="1450" spans="4:4" x14ac:dyDescent="0.3">
      <c r="D1450" s="7"/>
    </row>
    <row r="1451" spans="4:4" x14ac:dyDescent="0.3">
      <c r="D1451" s="7"/>
    </row>
    <row r="1452" spans="4:4" x14ac:dyDescent="0.3">
      <c r="D1452" s="7"/>
    </row>
    <row r="1453" spans="4:4" x14ac:dyDescent="0.3">
      <c r="D1453" s="7"/>
    </row>
    <row r="1454" spans="4:4" x14ac:dyDescent="0.3">
      <c r="D1454" s="7"/>
    </row>
    <row r="1455" spans="4:4" x14ac:dyDescent="0.3">
      <c r="D1455" s="7"/>
    </row>
    <row r="1456" spans="4:4" x14ac:dyDescent="0.3">
      <c r="D1456" s="7"/>
    </row>
    <row r="1457" spans="4:4" x14ac:dyDescent="0.3">
      <c r="D1457" s="7"/>
    </row>
    <row r="1458" spans="4:4" x14ac:dyDescent="0.3">
      <c r="D1458" s="7"/>
    </row>
    <row r="1459" spans="4:4" x14ac:dyDescent="0.3">
      <c r="D1459" s="7"/>
    </row>
    <row r="1460" spans="4:4" x14ac:dyDescent="0.3">
      <c r="D1460" s="7"/>
    </row>
    <row r="1461" spans="4:4" x14ac:dyDescent="0.3">
      <c r="D1461" s="7"/>
    </row>
    <row r="1462" spans="4:4" x14ac:dyDescent="0.3">
      <c r="D1462" s="7"/>
    </row>
    <row r="1463" spans="4:4" x14ac:dyDescent="0.3">
      <c r="D1463" s="7"/>
    </row>
    <row r="1464" spans="4:4" x14ac:dyDescent="0.3">
      <c r="D1464" s="7"/>
    </row>
    <row r="1465" spans="4:4" x14ac:dyDescent="0.3">
      <c r="D1465" s="7"/>
    </row>
    <row r="1466" spans="4:4" x14ac:dyDescent="0.3">
      <c r="D1466" s="7"/>
    </row>
    <row r="1467" spans="4:4" x14ac:dyDescent="0.3">
      <c r="D1467" s="7"/>
    </row>
    <row r="1468" spans="4:4" x14ac:dyDescent="0.3">
      <c r="D1468" s="7"/>
    </row>
    <row r="1469" spans="4:4" x14ac:dyDescent="0.3">
      <c r="D1469" s="7"/>
    </row>
    <row r="1470" spans="4:4" x14ac:dyDescent="0.3">
      <c r="D1470" s="7"/>
    </row>
    <row r="1471" spans="4:4" x14ac:dyDescent="0.3">
      <c r="D1471" s="7"/>
    </row>
    <row r="1472" spans="4:4" x14ac:dyDescent="0.3">
      <c r="D1472" s="7"/>
    </row>
    <row r="1473" spans="4:4" x14ac:dyDescent="0.3">
      <c r="D1473" s="7"/>
    </row>
    <row r="1474" spans="4:4" x14ac:dyDescent="0.3">
      <c r="D1474" s="7"/>
    </row>
    <row r="1475" spans="4:4" x14ac:dyDescent="0.3">
      <c r="D1475" s="7"/>
    </row>
    <row r="1476" spans="4:4" x14ac:dyDescent="0.3">
      <c r="D1476" s="7"/>
    </row>
    <row r="1477" spans="4:4" x14ac:dyDescent="0.3">
      <c r="D1477" s="7"/>
    </row>
    <row r="1478" spans="4:4" x14ac:dyDescent="0.3">
      <c r="D1478" s="7"/>
    </row>
    <row r="1479" spans="4:4" x14ac:dyDescent="0.3">
      <c r="D1479" s="7"/>
    </row>
    <row r="1480" spans="4:4" x14ac:dyDescent="0.3">
      <c r="D1480" s="7"/>
    </row>
    <row r="1481" spans="4:4" x14ac:dyDescent="0.3">
      <c r="D1481" s="7"/>
    </row>
    <row r="1482" spans="4:4" x14ac:dyDescent="0.3">
      <c r="D1482" s="7"/>
    </row>
    <row r="1483" spans="4:4" x14ac:dyDescent="0.3">
      <c r="D1483" s="7"/>
    </row>
    <row r="1484" spans="4:4" x14ac:dyDescent="0.3">
      <c r="D1484" s="7"/>
    </row>
    <row r="1485" spans="4:4" x14ac:dyDescent="0.3">
      <c r="D1485" s="7"/>
    </row>
    <row r="1486" spans="4:4" x14ac:dyDescent="0.3">
      <c r="D1486" s="7"/>
    </row>
    <row r="1487" spans="4:4" x14ac:dyDescent="0.3">
      <c r="D1487" s="7"/>
    </row>
    <row r="1488" spans="4:4" x14ac:dyDescent="0.3">
      <c r="D1488" s="7"/>
    </row>
    <row r="1489" spans="4:4" x14ac:dyDescent="0.3">
      <c r="D1489" s="7"/>
    </row>
    <row r="1490" spans="4:4" x14ac:dyDescent="0.3">
      <c r="D1490" s="7"/>
    </row>
    <row r="1491" spans="4:4" x14ac:dyDescent="0.3">
      <c r="D1491" s="7"/>
    </row>
    <row r="1492" spans="4:4" x14ac:dyDescent="0.3">
      <c r="D1492" s="7"/>
    </row>
    <row r="1493" spans="4:4" x14ac:dyDescent="0.3">
      <c r="D1493" s="7"/>
    </row>
    <row r="1494" spans="4:4" x14ac:dyDescent="0.3">
      <c r="D1494" s="7"/>
    </row>
    <row r="1495" spans="4:4" x14ac:dyDescent="0.3">
      <c r="D1495" s="7"/>
    </row>
    <row r="1496" spans="4:4" x14ac:dyDescent="0.3">
      <c r="D1496" s="7"/>
    </row>
    <row r="1497" spans="4:4" x14ac:dyDescent="0.3">
      <c r="D1497" s="7"/>
    </row>
    <row r="1498" spans="4:4" x14ac:dyDescent="0.3">
      <c r="D1498" s="7"/>
    </row>
    <row r="1499" spans="4:4" x14ac:dyDescent="0.3">
      <c r="D1499" s="7"/>
    </row>
    <row r="1500" spans="4:4" x14ac:dyDescent="0.3">
      <c r="D1500" s="7"/>
    </row>
    <row r="1501" spans="4:4" x14ac:dyDescent="0.3">
      <c r="D1501" s="7"/>
    </row>
    <row r="1502" spans="4:4" x14ac:dyDescent="0.3">
      <c r="D1502" s="7"/>
    </row>
    <row r="1503" spans="4:4" x14ac:dyDescent="0.3">
      <c r="D1503" s="7"/>
    </row>
    <row r="1504" spans="4:4" x14ac:dyDescent="0.3">
      <c r="D1504" s="7"/>
    </row>
    <row r="1505" spans="4:4" x14ac:dyDescent="0.3">
      <c r="D1505" s="7"/>
    </row>
    <row r="1506" spans="4:4" x14ac:dyDescent="0.3">
      <c r="D1506" s="7"/>
    </row>
    <row r="1507" spans="4:4" x14ac:dyDescent="0.3">
      <c r="D1507" s="7"/>
    </row>
    <row r="1508" spans="4:4" x14ac:dyDescent="0.3">
      <c r="D1508" s="7"/>
    </row>
    <row r="1509" spans="4:4" x14ac:dyDescent="0.3">
      <c r="D1509" s="7"/>
    </row>
    <row r="1510" spans="4:4" x14ac:dyDescent="0.3">
      <c r="D1510" s="7"/>
    </row>
    <row r="1511" spans="4:4" x14ac:dyDescent="0.3">
      <c r="D1511" s="7"/>
    </row>
    <row r="1512" spans="4:4" x14ac:dyDescent="0.3">
      <c r="D1512" s="7"/>
    </row>
    <row r="1513" spans="4:4" x14ac:dyDescent="0.3">
      <c r="D1513" s="7"/>
    </row>
    <row r="1514" spans="4:4" x14ac:dyDescent="0.3">
      <c r="D1514" s="7"/>
    </row>
    <row r="1515" spans="4:4" x14ac:dyDescent="0.3">
      <c r="D1515" s="7"/>
    </row>
    <row r="1516" spans="4:4" x14ac:dyDescent="0.3">
      <c r="D1516" s="7"/>
    </row>
    <row r="1517" spans="4:4" x14ac:dyDescent="0.3">
      <c r="D1517" s="7"/>
    </row>
    <row r="1518" spans="4:4" x14ac:dyDescent="0.3">
      <c r="D1518" s="7"/>
    </row>
    <row r="1519" spans="4:4" x14ac:dyDescent="0.3">
      <c r="D1519" s="7"/>
    </row>
    <row r="1520" spans="4:4" x14ac:dyDescent="0.3">
      <c r="D1520" s="7"/>
    </row>
    <row r="1521" spans="4:4" x14ac:dyDescent="0.3">
      <c r="D1521" s="7"/>
    </row>
    <row r="1522" spans="4:4" x14ac:dyDescent="0.3">
      <c r="D1522" s="7"/>
    </row>
    <row r="1523" spans="4:4" x14ac:dyDescent="0.3">
      <c r="D1523" s="7"/>
    </row>
    <row r="1524" spans="4:4" x14ac:dyDescent="0.3">
      <c r="D1524" s="7"/>
    </row>
    <row r="1525" spans="4:4" x14ac:dyDescent="0.3">
      <c r="D1525" s="7"/>
    </row>
    <row r="1526" spans="4:4" x14ac:dyDescent="0.3">
      <c r="D1526" s="7"/>
    </row>
    <row r="1527" spans="4:4" x14ac:dyDescent="0.3">
      <c r="D1527" s="7"/>
    </row>
    <row r="1528" spans="4:4" x14ac:dyDescent="0.3">
      <c r="D1528" s="7"/>
    </row>
    <row r="1529" spans="4:4" x14ac:dyDescent="0.3">
      <c r="D1529" s="7"/>
    </row>
    <row r="1530" spans="4:4" x14ac:dyDescent="0.3">
      <c r="D1530" s="7"/>
    </row>
    <row r="1531" spans="4:4" x14ac:dyDescent="0.3">
      <c r="D1531" s="7"/>
    </row>
    <row r="1532" spans="4:4" x14ac:dyDescent="0.3">
      <c r="D1532" s="7"/>
    </row>
    <row r="1533" spans="4:4" x14ac:dyDescent="0.3">
      <c r="D1533" s="7"/>
    </row>
    <row r="1534" spans="4:4" x14ac:dyDescent="0.3">
      <c r="D1534" s="7"/>
    </row>
    <row r="1535" spans="4:4" x14ac:dyDescent="0.3">
      <c r="D1535" s="7"/>
    </row>
    <row r="1536" spans="4:4" x14ac:dyDescent="0.3">
      <c r="D1536" s="7"/>
    </row>
    <row r="1537" spans="4:4" x14ac:dyDescent="0.3">
      <c r="D1537" s="7"/>
    </row>
    <row r="1538" spans="4:4" x14ac:dyDescent="0.3">
      <c r="D1538" s="7"/>
    </row>
    <row r="1539" spans="4:4" x14ac:dyDescent="0.3">
      <c r="D1539" s="7"/>
    </row>
    <row r="1540" spans="4:4" x14ac:dyDescent="0.3">
      <c r="D1540" s="7"/>
    </row>
    <row r="1541" spans="4:4" x14ac:dyDescent="0.3">
      <c r="D1541" s="7"/>
    </row>
    <row r="1542" spans="4:4" x14ac:dyDescent="0.3">
      <c r="D1542" s="7"/>
    </row>
    <row r="1543" spans="4:4" x14ac:dyDescent="0.3">
      <c r="D1543" s="7"/>
    </row>
    <row r="1544" spans="4:4" x14ac:dyDescent="0.3">
      <c r="D1544" s="7"/>
    </row>
    <row r="1545" spans="4:4" x14ac:dyDescent="0.3">
      <c r="D1545" s="7"/>
    </row>
    <row r="1546" spans="4:4" x14ac:dyDescent="0.3">
      <c r="D1546" s="7"/>
    </row>
    <row r="1547" spans="4:4" x14ac:dyDescent="0.3">
      <c r="D1547" s="7"/>
    </row>
    <row r="1548" spans="4:4" x14ac:dyDescent="0.3">
      <c r="D1548" s="7"/>
    </row>
    <row r="1549" spans="4:4" x14ac:dyDescent="0.3">
      <c r="D1549" s="7"/>
    </row>
    <row r="1550" spans="4:4" x14ac:dyDescent="0.3">
      <c r="D1550" s="7"/>
    </row>
    <row r="1551" spans="4:4" x14ac:dyDescent="0.3">
      <c r="D1551" s="7"/>
    </row>
    <row r="1552" spans="4:4" x14ac:dyDescent="0.3">
      <c r="D1552" s="7"/>
    </row>
    <row r="1553" spans="4:4" x14ac:dyDescent="0.3">
      <c r="D1553" s="7"/>
    </row>
    <row r="1554" spans="4:4" x14ac:dyDescent="0.3">
      <c r="D1554" s="7"/>
    </row>
    <row r="1555" spans="4:4" x14ac:dyDescent="0.3">
      <c r="D1555" s="7"/>
    </row>
    <row r="1556" spans="4:4" x14ac:dyDescent="0.3">
      <c r="D1556" s="7"/>
    </row>
    <row r="1557" spans="4:4" x14ac:dyDescent="0.3">
      <c r="D1557" s="7"/>
    </row>
    <row r="1558" spans="4:4" x14ac:dyDescent="0.3">
      <c r="D1558" s="7"/>
    </row>
    <row r="1559" spans="4:4" x14ac:dyDescent="0.3">
      <c r="D1559" s="7"/>
    </row>
    <row r="1560" spans="4:4" x14ac:dyDescent="0.3">
      <c r="D1560" s="7"/>
    </row>
    <row r="1561" spans="4:4" x14ac:dyDescent="0.3">
      <c r="D1561" s="7"/>
    </row>
    <row r="1562" spans="4:4" x14ac:dyDescent="0.3">
      <c r="D1562" s="7"/>
    </row>
    <row r="1563" spans="4:4" x14ac:dyDescent="0.3">
      <c r="D1563" s="7"/>
    </row>
    <row r="1564" spans="4:4" x14ac:dyDescent="0.3">
      <c r="D1564" s="7"/>
    </row>
    <row r="1565" spans="4:4" x14ac:dyDescent="0.3">
      <c r="D1565" s="7"/>
    </row>
    <row r="1566" spans="4:4" x14ac:dyDescent="0.3">
      <c r="D1566" s="7"/>
    </row>
    <row r="1567" spans="4:4" x14ac:dyDescent="0.3">
      <c r="D1567" s="7"/>
    </row>
    <row r="1568" spans="4:4" x14ac:dyDescent="0.3">
      <c r="D1568" s="7"/>
    </row>
    <row r="1569" spans="4:4" x14ac:dyDescent="0.3">
      <c r="D1569" s="7"/>
    </row>
    <row r="1570" spans="4:4" x14ac:dyDescent="0.3">
      <c r="D1570" s="7"/>
    </row>
    <row r="1571" spans="4:4" x14ac:dyDescent="0.3">
      <c r="D1571" s="7"/>
    </row>
    <row r="1572" spans="4:4" x14ac:dyDescent="0.3">
      <c r="D1572" s="7"/>
    </row>
    <row r="1573" spans="4:4" x14ac:dyDescent="0.3">
      <c r="D1573" s="7"/>
    </row>
    <row r="1574" spans="4:4" x14ac:dyDescent="0.3">
      <c r="D1574" s="7"/>
    </row>
    <row r="1575" spans="4:4" x14ac:dyDescent="0.3">
      <c r="D1575" s="7"/>
    </row>
    <row r="1576" spans="4:4" x14ac:dyDescent="0.3">
      <c r="D1576" s="7"/>
    </row>
    <row r="1577" spans="4:4" x14ac:dyDescent="0.3">
      <c r="D1577" s="7"/>
    </row>
    <row r="1578" spans="4:4" x14ac:dyDescent="0.3">
      <c r="D1578" s="7"/>
    </row>
    <row r="1579" spans="4:4" x14ac:dyDescent="0.3">
      <c r="D1579" s="7"/>
    </row>
    <row r="1580" spans="4:4" x14ac:dyDescent="0.3">
      <c r="D1580" s="7"/>
    </row>
    <row r="1581" spans="4:4" x14ac:dyDescent="0.3">
      <c r="D1581" s="7"/>
    </row>
    <row r="1582" spans="4:4" x14ac:dyDescent="0.3">
      <c r="D1582" s="7"/>
    </row>
    <row r="1583" spans="4:4" x14ac:dyDescent="0.3">
      <c r="D1583" s="7"/>
    </row>
    <row r="1584" spans="4:4" x14ac:dyDescent="0.3">
      <c r="D1584" s="7"/>
    </row>
    <row r="1585" spans="4:4" x14ac:dyDescent="0.3">
      <c r="D1585" s="7"/>
    </row>
    <row r="1586" spans="4:4" x14ac:dyDescent="0.3">
      <c r="D1586" s="7"/>
    </row>
    <row r="1587" spans="4:4" x14ac:dyDescent="0.3">
      <c r="D1587" s="7"/>
    </row>
    <row r="1588" spans="4:4" x14ac:dyDescent="0.3">
      <c r="D1588" s="7"/>
    </row>
    <row r="1589" spans="4:4" x14ac:dyDescent="0.3">
      <c r="D1589" s="7"/>
    </row>
    <row r="1590" spans="4:4" x14ac:dyDescent="0.3">
      <c r="D1590" s="7"/>
    </row>
    <row r="1591" spans="4:4" x14ac:dyDescent="0.3">
      <c r="D1591" s="7"/>
    </row>
    <row r="1592" spans="4:4" x14ac:dyDescent="0.3">
      <c r="D1592" s="7"/>
    </row>
    <row r="1593" spans="4:4" x14ac:dyDescent="0.3">
      <c r="D1593" s="7"/>
    </row>
    <row r="1594" spans="4:4" x14ac:dyDescent="0.3">
      <c r="D1594" s="7"/>
    </row>
    <row r="1595" spans="4:4" x14ac:dyDescent="0.3">
      <c r="D1595" s="7"/>
    </row>
    <row r="1596" spans="4:4" x14ac:dyDescent="0.3">
      <c r="D1596" s="7"/>
    </row>
    <row r="1597" spans="4:4" x14ac:dyDescent="0.3">
      <c r="D1597" s="7"/>
    </row>
    <row r="1598" spans="4:4" x14ac:dyDescent="0.3">
      <c r="D1598" s="7"/>
    </row>
    <row r="1599" spans="4:4" x14ac:dyDescent="0.3">
      <c r="D1599" s="7"/>
    </row>
    <row r="1600" spans="4:4" x14ac:dyDescent="0.3">
      <c r="D1600" s="7"/>
    </row>
    <row r="1601" spans="4:4" x14ac:dyDescent="0.3">
      <c r="D1601" s="7"/>
    </row>
    <row r="1602" spans="4:4" x14ac:dyDescent="0.3">
      <c r="D1602" s="7"/>
    </row>
    <row r="1603" spans="4:4" x14ac:dyDescent="0.3">
      <c r="D1603" s="7"/>
    </row>
    <row r="1604" spans="4:4" x14ac:dyDescent="0.3">
      <c r="D1604" s="7"/>
    </row>
    <row r="1605" spans="4:4" x14ac:dyDescent="0.3">
      <c r="D1605" s="7"/>
    </row>
    <row r="1606" spans="4:4" x14ac:dyDescent="0.3">
      <c r="D1606" s="7"/>
    </row>
    <row r="1607" spans="4:4" x14ac:dyDescent="0.3">
      <c r="D1607" s="7"/>
    </row>
    <row r="1608" spans="4:4" x14ac:dyDescent="0.3">
      <c r="D1608" s="7"/>
    </row>
    <row r="1609" spans="4:4" x14ac:dyDescent="0.3">
      <c r="D1609" s="7"/>
    </row>
    <row r="1610" spans="4:4" x14ac:dyDescent="0.3">
      <c r="D1610" s="7"/>
    </row>
    <row r="1611" spans="4:4" x14ac:dyDescent="0.3">
      <c r="D1611" s="7"/>
    </row>
    <row r="1612" spans="4:4" x14ac:dyDescent="0.3">
      <c r="D1612" s="7"/>
    </row>
    <row r="1613" spans="4:4" x14ac:dyDescent="0.3">
      <c r="D1613" s="7"/>
    </row>
    <row r="1614" spans="4:4" x14ac:dyDescent="0.3">
      <c r="D1614" s="7"/>
    </row>
    <row r="1615" spans="4:4" x14ac:dyDescent="0.3">
      <c r="D1615" s="7"/>
    </row>
    <row r="1616" spans="4:4" x14ac:dyDescent="0.3">
      <c r="D1616" s="7"/>
    </row>
    <row r="1617" spans="4:4" x14ac:dyDescent="0.3">
      <c r="D1617" s="7"/>
    </row>
    <row r="1618" spans="4:4" x14ac:dyDescent="0.3">
      <c r="D1618" s="7"/>
    </row>
    <row r="1619" spans="4:4" x14ac:dyDescent="0.3">
      <c r="D1619" s="7"/>
    </row>
    <row r="1620" spans="4:4" x14ac:dyDescent="0.3">
      <c r="D1620" s="7"/>
    </row>
    <row r="1621" spans="4:4" x14ac:dyDescent="0.3">
      <c r="D1621" s="7"/>
    </row>
    <row r="1622" spans="4:4" x14ac:dyDescent="0.3">
      <c r="D1622" s="7"/>
    </row>
    <row r="1623" spans="4:4" x14ac:dyDescent="0.3">
      <c r="D1623" s="7"/>
    </row>
    <row r="1624" spans="4:4" x14ac:dyDescent="0.3">
      <c r="D1624" s="7"/>
    </row>
    <row r="1625" spans="4:4" x14ac:dyDescent="0.3">
      <c r="D1625" s="7"/>
    </row>
    <row r="1626" spans="4:4" x14ac:dyDescent="0.3">
      <c r="D1626" s="7"/>
    </row>
    <row r="1627" spans="4:4" x14ac:dyDescent="0.3">
      <c r="D1627" s="7"/>
    </row>
    <row r="1628" spans="4:4" x14ac:dyDescent="0.3">
      <c r="D1628" s="7"/>
    </row>
    <row r="1629" spans="4:4" x14ac:dyDescent="0.3">
      <c r="D1629" s="7"/>
    </row>
    <row r="1630" spans="4:4" x14ac:dyDescent="0.3">
      <c r="D1630" s="7"/>
    </row>
    <row r="1631" spans="4:4" x14ac:dyDescent="0.3">
      <c r="D1631" s="7"/>
    </row>
    <row r="1632" spans="4:4" x14ac:dyDescent="0.3">
      <c r="D1632" s="7"/>
    </row>
    <row r="1633" spans="4:4" x14ac:dyDescent="0.3">
      <c r="D1633" s="7"/>
    </row>
    <row r="1634" spans="4:4" x14ac:dyDescent="0.3">
      <c r="D1634" s="7"/>
    </row>
    <row r="1635" spans="4:4" x14ac:dyDescent="0.3">
      <c r="D1635" s="7"/>
    </row>
    <row r="1636" spans="4:4" x14ac:dyDescent="0.3">
      <c r="D1636" s="7"/>
    </row>
    <row r="1637" spans="4:4" x14ac:dyDescent="0.3">
      <c r="D1637" s="7"/>
    </row>
    <row r="1638" spans="4:4" x14ac:dyDescent="0.3">
      <c r="D1638" s="7"/>
    </row>
    <row r="1639" spans="4:4" x14ac:dyDescent="0.3">
      <c r="D1639" s="7"/>
    </row>
    <row r="1640" spans="4:4" x14ac:dyDescent="0.3">
      <c r="D1640" s="7"/>
    </row>
    <row r="1641" spans="4:4" x14ac:dyDescent="0.3">
      <c r="D1641" s="7"/>
    </row>
    <row r="1642" spans="4:4" x14ac:dyDescent="0.3">
      <c r="D1642" s="7"/>
    </row>
    <row r="1643" spans="4:4" x14ac:dyDescent="0.3">
      <c r="D1643" s="7"/>
    </row>
    <row r="1644" spans="4:4" x14ac:dyDescent="0.3">
      <c r="D1644" s="7"/>
    </row>
    <row r="1645" spans="4:4" x14ac:dyDescent="0.3">
      <c r="D1645" s="7"/>
    </row>
    <row r="1646" spans="4:4" x14ac:dyDescent="0.3">
      <c r="D1646" s="7"/>
    </row>
    <row r="1647" spans="4:4" x14ac:dyDescent="0.3">
      <c r="D1647" s="7"/>
    </row>
    <row r="1648" spans="4:4" x14ac:dyDescent="0.3">
      <c r="D1648" s="7"/>
    </row>
    <row r="1649" spans="4:4" x14ac:dyDescent="0.3">
      <c r="D1649" s="7"/>
    </row>
    <row r="1650" spans="4:4" x14ac:dyDescent="0.3">
      <c r="D1650" s="7"/>
    </row>
    <row r="1651" spans="4:4" x14ac:dyDescent="0.3">
      <c r="D1651" s="7"/>
    </row>
    <row r="1652" spans="4:4" x14ac:dyDescent="0.3">
      <c r="D1652" s="7"/>
    </row>
    <row r="1653" spans="4:4" x14ac:dyDescent="0.3">
      <c r="D1653" s="7"/>
    </row>
    <row r="1654" spans="4:4" x14ac:dyDescent="0.3">
      <c r="D1654" s="7"/>
    </row>
    <row r="1655" spans="4:4" x14ac:dyDescent="0.3">
      <c r="D1655" s="7"/>
    </row>
    <row r="1656" spans="4:4" x14ac:dyDescent="0.3">
      <c r="D1656" s="7"/>
    </row>
    <row r="1657" spans="4:4" x14ac:dyDescent="0.3">
      <c r="D1657" s="7"/>
    </row>
    <row r="1658" spans="4:4" x14ac:dyDescent="0.3">
      <c r="D1658" s="7"/>
    </row>
    <row r="1659" spans="4:4" x14ac:dyDescent="0.3">
      <c r="D1659" s="7"/>
    </row>
    <row r="1660" spans="4:4" x14ac:dyDescent="0.3">
      <c r="D1660" s="7"/>
    </row>
    <row r="1661" spans="4:4" x14ac:dyDescent="0.3">
      <c r="D1661" s="7"/>
    </row>
    <row r="1662" spans="4:4" x14ac:dyDescent="0.3">
      <c r="D1662" s="7"/>
    </row>
    <row r="1663" spans="4:4" x14ac:dyDescent="0.3">
      <c r="D1663" s="7"/>
    </row>
    <row r="1664" spans="4:4" x14ac:dyDescent="0.3">
      <c r="D1664" s="7"/>
    </row>
    <row r="1665" spans="4:4" x14ac:dyDescent="0.3">
      <c r="D1665" s="7"/>
    </row>
    <row r="1666" spans="4:4" x14ac:dyDescent="0.3">
      <c r="D1666" s="7"/>
    </row>
    <row r="1667" spans="4:4" x14ac:dyDescent="0.3">
      <c r="D1667" s="7"/>
    </row>
    <row r="1668" spans="4:4" x14ac:dyDescent="0.3">
      <c r="D1668" s="7"/>
    </row>
    <row r="1669" spans="4:4" x14ac:dyDescent="0.3">
      <c r="D1669" s="7"/>
    </row>
    <row r="1670" spans="4:4" x14ac:dyDescent="0.3">
      <c r="D1670" s="7"/>
    </row>
    <row r="1671" spans="4:4" x14ac:dyDescent="0.3">
      <c r="D1671" s="7"/>
    </row>
    <row r="1672" spans="4:4" x14ac:dyDescent="0.3">
      <c r="D1672" s="7"/>
    </row>
    <row r="1673" spans="4:4" x14ac:dyDescent="0.3">
      <c r="D1673" s="7"/>
    </row>
    <row r="1674" spans="4:4" x14ac:dyDescent="0.3">
      <c r="D1674" s="7"/>
    </row>
    <row r="1675" spans="4:4" x14ac:dyDescent="0.3">
      <c r="D1675" s="7"/>
    </row>
    <row r="1676" spans="4:4" x14ac:dyDescent="0.3">
      <c r="D1676" s="7"/>
    </row>
    <row r="1677" spans="4:4" x14ac:dyDescent="0.3">
      <c r="D1677" s="7"/>
    </row>
    <row r="1678" spans="4:4" x14ac:dyDescent="0.3">
      <c r="D1678" s="7"/>
    </row>
    <row r="1679" spans="4:4" x14ac:dyDescent="0.3">
      <c r="D1679" s="7"/>
    </row>
    <row r="1680" spans="4:4" x14ac:dyDescent="0.3">
      <c r="D1680" s="7"/>
    </row>
    <row r="1681" spans="4:4" x14ac:dyDescent="0.3">
      <c r="D1681" s="7"/>
    </row>
    <row r="1682" spans="4:4" x14ac:dyDescent="0.3">
      <c r="D1682" s="7"/>
    </row>
    <row r="1683" spans="4:4" x14ac:dyDescent="0.3">
      <c r="D1683" s="7"/>
    </row>
    <row r="1684" spans="4:4" x14ac:dyDescent="0.3">
      <c r="D1684" s="7"/>
    </row>
    <row r="1685" spans="4:4" x14ac:dyDescent="0.3">
      <c r="D1685" s="7"/>
    </row>
    <row r="1686" spans="4:4" x14ac:dyDescent="0.3">
      <c r="D1686" s="7"/>
    </row>
    <row r="1687" spans="4:4" x14ac:dyDescent="0.3">
      <c r="D1687" s="7"/>
    </row>
    <row r="1688" spans="4:4" x14ac:dyDescent="0.3">
      <c r="D1688" s="7"/>
    </row>
    <row r="1689" spans="4:4" x14ac:dyDescent="0.3">
      <c r="D1689" s="7"/>
    </row>
    <row r="1690" spans="4:4" x14ac:dyDescent="0.3">
      <c r="D1690" s="7"/>
    </row>
    <row r="1691" spans="4:4" x14ac:dyDescent="0.3">
      <c r="D1691" s="7"/>
    </row>
    <row r="1692" spans="4:4" x14ac:dyDescent="0.3">
      <c r="D1692" s="7"/>
    </row>
    <row r="1693" spans="4:4" x14ac:dyDescent="0.3">
      <c r="D1693" s="7"/>
    </row>
    <row r="1694" spans="4:4" x14ac:dyDescent="0.3">
      <c r="D1694" s="7"/>
    </row>
    <row r="1695" spans="4:4" x14ac:dyDescent="0.3">
      <c r="D1695" s="7"/>
    </row>
    <row r="1696" spans="4:4" x14ac:dyDescent="0.3">
      <c r="D1696" s="7"/>
    </row>
    <row r="1697" spans="4:4" x14ac:dyDescent="0.3">
      <c r="D1697" s="7"/>
    </row>
    <row r="1698" spans="4:4" x14ac:dyDescent="0.3">
      <c r="D1698" s="7"/>
    </row>
    <row r="1699" spans="4:4" x14ac:dyDescent="0.3">
      <c r="D1699" s="7"/>
    </row>
    <row r="1700" spans="4:4" x14ac:dyDescent="0.3">
      <c r="D1700" s="7"/>
    </row>
    <row r="1701" spans="4:4" x14ac:dyDescent="0.3">
      <c r="D1701" s="7"/>
    </row>
    <row r="1702" spans="4:4" x14ac:dyDescent="0.3">
      <c r="D1702" s="7"/>
    </row>
    <row r="1703" spans="4:4" x14ac:dyDescent="0.3">
      <c r="D1703" s="7"/>
    </row>
    <row r="1704" spans="4:4" x14ac:dyDescent="0.3">
      <c r="D1704" s="7"/>
    </row>
    <row r="1705" spans="4:4" x14ac:dyDescent="0.3">
      <c r="D1705" s="7"/>
    </row>
    <row r="1706" spans="4:4" x14ac:dyDescent="0.3">
      <c r="D1706" s="7"/>
    </row>
    <row r="1707" spans="4:4" x14ac:dyDescent="0.3">
      <c r="D1707" s="7"/>
    </row>
    <row r="1708" spans="4:4" x14ac:dyDescent="0.3">
      <c r="D1708" s="7"/>
    </row>
    <row r="1709" spans="4:4" x14ac:dyDescent="0.3">
      <c r="D1709" s="7"/>
    </row>
    <row r="1710" spans="4:4" x14ac:dyDescent="0.3">
      <c r="D1710" s="7"/>
    </row>
    <row r="1711" spans="4:4" x14ac:dyDescent="0.3">
      <c r="D1711" s="7"/>
    </row>
    <row r="1712" spans="4:4" x14ac:dyDescent="0.3">
      <c r="D1712" s="7"/>
    </row>
    <row r="1713" spans="4:4" x14ac:dyDescent="0.3">
      <c r="D1713" s="7"/>
    </row>
    <row r="1714" spans="4:4" x14ac:dyDescent="0.3">
      <c r="D1714" s="7"/>
    </row>
    <row r="1715" spans="4:4" x14ac:dyDescent="0.3">
      <c r="D1715" s="7"/>
    </row>
    <row r="1716" spans="4:4" x14ac:dyDescent="0.3">
      <c r="D1716" s="7"/>
    </row>
    <row r="1717" spans="4:4" x14ac:dyDescent="0.3">
      <c r="D1717" s="7"/>
    </row>
    <row r="1718" spans="4:4" x14ac:dyDescent="0.3">
      <c r="D1718" s="7"/>
    </row>
    <row r="1719" spans="4:4" x14ac:dyDescent="0.3">
      <c r="D1719" s="7"/>
    </row>
    <row r="1720" spans="4:4" x14ac:dyDescent="0.3">
      <c r="D1720" s="7"/>
    </row>
    <row r="1721" spans="4:4" x14ac:dyDescent="0.3">
      <c r="D1721" s="7"/>
    </row>
    <row r="1722" spans="4:4" x14ac:dyDescent="0.3">
      <c r="D1722" s="7"/>
    </row>
    <row r="1723" spans="4:4" x14ac:dyDescent="0.3">
      <c r="D1723" s="7"/>
    </row>
    <row r="1724" spans="4:4" x14ac:dyDescent="0.3">
      <c r="D1724" s="7"/>
    </row>
    <row r="1725" spans="4:4" x14ac:dyDescent="0.3">
      <c r="D1725" s="7"/>
    </row>
    <row r="1726" spans="4:4" x14ac:dyDescent="0.3">
      <c r="D1726" s="7"/>
    </row>
    <row r="1727" spans="4:4" x14ac:dyDescent="0.3">
      <c r="D1727" s="7"/>
    </row>
    <row r="1728" spans="4:4" x14ac:dyDescent="0.3">
      <c r="D1728" s="7"/>
    </row>
    <row r="1729" spans="4:4" x14ac:dyDescent="0.3">
      <c r="D1729" s="7"/>
    </row>
    <row r="1730" spans="4:4" x14ac:dyDescent="0.3">
      <c r="D1730" s="7"/>
    </row>
    <row r="1731" spans="4:4" x14ac:dyDescent="0.3">
      <c r="D1731" s="7"/>
    </row>
    <row r="1732" spans="4:4" x14ac:dyDescent="0.3">
      <c r="D1732" s="7"/>
    </row>
    <row r="1733" spans="4:4" x14ac:dyDescent="0.3">
      <c r="D1733" s="7"/>
    </row>
    <row r="1734" spans="4:4" x14ac:dyDescent="0.3">
      <c r="D1734" s="7"/>
    </row>
    <row r="1735" spans="4:4" x14ac:dyDescent="0.3">
      <c r="D1735" s="7"/>
    </row>
    <row r="1736" spans="4:4" x14ac:dyDescent="0.3">
      <c r="D1736" s="7"/>
    </row>
    <row r="1737" spans="4:4" x14ac:dyDescent="0.3">
      <c r="D1737" s="7"/>
    </row>
    <row r="1738" spans="4:4" x14ac:dyDescent="0.3">
      <c r="D1738" s="7"/>
    </row>
    <row r="1739" spans="4:4" x14ac:dyDescent="0.3">
      <c r="D1739" s="7"/>
    </row>
    <row r="1740" spans="4:4" x14ac:dyDescent="0.3">
      <c r="D1740" s="7"/>
    </row>
    <row r="1741" spans="4:4" x14ac:dyDescent="0.3">
      <c r="D1741" s="7"/>
    </row>
    <row r="1742" spans="4:4" x14ac:dyDescent="0.3">
      <c r="D1742" s="7"/>
    </row>
    <row r="1743" spans="4:4" x14ac:dyDescent="0.3">
      <c r="D1743" s="7"/>
    </row>
    <row r="1744" spans="4:4" x14ac:dyDescent="0.3">
      <c r="D1744" s="7"/>
    </row>
    <row r="1745" spans="4:4" x14ac:dyDescent="0.3">
      <c r="D1745" s="7"/>
    </row>
    <row r="1746" spans="4:4" x14ac:dyDescent="0.3">
      <c r="D1746" s="7"/>
    </row>
    <row r="1747" spans="4:4" x14ac:dyDescent="0.3">
      <c r="D1747" s="7"/>
    </row>
    <row r="1748" spans="4:4" x14ac:dyDescent="0.3">
      <c r="D1748" s="7"/>
    </row>
    <row r="1749" spans="4:4" x14ac:dyDescent="0.3">
      <c r="D1749" s="7"/>
    </row>
    <row r="1750" spans="4:4" x14ac:dyDescent="0.3">
      <c r="D1750" s="7"/>
    </row>
    <row r="1751" spans="4:4" x14ac:dyDescent="0.3">
      <c r="D1751" s="7"/>
    </row>
    <row r="1752" spans="4:4" x14ac:dyDescent="0.3">
      <c r="D1752" s="7"/>
    </row>
    <row r="1753" spans="4:4" x14ac:dyDescent="0.3">
      <c r="D1753" s="7"/>
    </row>
    <row r="1754" spans="4:4" x14ac:dyDescent="0.3">
      <c r="D1754" s="7"/>
    </row>
    <row r="1755" spans="4:4" x14ac:dyDescent="0.3">
      <c r="D1755" s="7"/>
    </row>
    <row r="1756" spans="4:4" x14ac:dyDescent="0.3">
      <c r="D1756" s="7"/>
    </row>
    <row r="1757" spans="4:4" x14ac:dyDescent="0.3">
      <c r="D1757" s="7"/>
    </row>
    <row r="1758" spans="4:4" x14ac:dyDescent="0.3">
      <c r="D1758" s="7"/>
    </row>
    <row r="1759" spans="4:4" x14ac:dyDescent="0.3">
      <c r="D1759" s="7"/>
    </row>
    <row r="1760" spans="4:4" x14ac:dyDescent="0.3">
      <c r="D1760" s="7"/>
    </row>
    <row r="1761" spans="4:4" x14ac:dyDescent="0.3">
      <c r="D1761" s="7"/>
    </row>
    <row r="1762" spans="4:4" x14ac:dyDescent="0.3">
      <c r="D1762" s="7"/>
    </row>
    <row r="1763" spans="4:4" x14ac:dyDescent="0.3">
      <c r="D1763" s="7"/>
    </row>
    <row r="1764" spans="4:4" x14ac:dyDescent="0.3">
      <c r="D1764" s="7"/>
    </row>
    <row r="1765" spans="4:4" x14ac:dyDescent="0.3">
      <c r="D1765" s="7"/>
    </row>
    <row r="1766" spans="4:4" x14ac:dyDescent="0.3">
      <c r="D1766" s="7"/>
    </row>
    <row r="1767" spans="4:4" x14ac:dyDescent="0.3">
      <c r="D1767" s="7"/>
    </row>
    <row r="1768" spans="4:4" x14ac:dyDescent="0.3">
      <c r="D1768" s="7"/>
    </row>
    <row r="1769" spans="4:4" x14ac:dyDescent="0.3">
      <c r="D1769" s="7"/>
    </row>
    <row r="1770" spans="4:4" x14ac:dyDescent="0.3">
      <c r="D1770" s="7"/>
    </row>
    <row r="1771" spans="4:4" x14ac:dyDescent="0.3">
      <c r="D1771" s="7"/>
    </row>
    <row r="1772" spans="4:4" x14ac:dyDescent="0.3">
      <c r="D1772" s="7"/>
    </row>
    <row r="1773" spans="4:4" x14ac:dyDescent="0.3">
      <c r="D1773" s="7"/>
    </row>
    <row r="1774" spans="4:4" x14ac:dyDescent="0.3">
      <c r="D1774" s="7"/>
    </row>
    <row r="1775" spans="4:4" x14ac:dyDescent="0.3">
      <c r="D1775" s="7"/>
    </row>
    <row r="1776" spans="4:4" x14ac:dyDescent="0.3">
      <c r="D1776" s="7"/>
    </row>
    <row r="1777" spans="4:4" x14ac:dyDescent="0.3">
      <c r="D1777" s="7"/>
    </row>
    <row r="1778" spans="4:4" x14ac:dyDescent="0.3">
      <c r="D1778" s="7"/>
    </row>
    <row r="1779" spans="4:4" x14ac:dyDescent="0.3">
      <c r="D1779" s="7"/>
    </row>
    <row r="1780" spans="4:4" x14ac:dyDescent="0.3">
      <c r="D1780" s="7"/>
    </row>
    <row r="1781" spans="4:4" x14ac:dyDescent="0.3">
      <c r="D1781" s="7"/>
    </row>
    <row r="1782" spans="4:4" x14ac:dyDescent="0.3">
      <c r="D1782" s="7"/>
    </row>
    <row r="1783" spans="4:4" x14ac:dyDescent="0.3">
      <c r="D1783" s="7"/>
    </row>
    <row r="1784" spans="4:4" x14ac:dyDescent="0.3">
      <c r="D1784" s="7"/>
    </row>
    <row r="1785" spans="4:4" x14ac:dyDescent="0.3">
      <c r="D1785" s="7"/>
    </row>
    <row r="1786" spans="4:4" x14ac:dyDescent="0.3">
      <c r="D1786" s="7"/>
    </row>
    <row r="1787" spans="4:4" x14ac:dyDescent="0.3">
      <c r="D1787" s="7"/>
    </row>
    <row r="1788" spans="4:4" x14ac:dyDescent="0.3">
      <c r="D1788" s="7"/>
    </row>
    <row r="1789" spans="4:4" x14ac:dyDescent="0.3">
      <c r="D1789" s="7"/>
    </row>
    <row r="1790" spans="4:4" x14ac:dyDescent="0.3">
      <c r="D1790" s="7"/>
    </row>
    <row r="1791" spans="4:4" x14ac:dyDescent="0.3">
      <c r="D1791" s="7"/>
    </row>
    <row r="1792" spans="4:4" x14ac:dyDescent="0.3">
      <c r="D1792" s="7"/>
    </row>
    <row r="1793" spans="4:4" x14ac:dyDescent="0.3">
      <c r="D1793" s="7"/>
    </row>
    <row r="1794" spans="4:4" x14ac:dyDescent="0.3">
      <c r="D1794" s="7"/>
    </row>
    <row r="1795" spans="4:4" x14ac:dyDescent="0.3">
      <c r="D1795" s="7"/>
    </row>
    <row r="1796" spans="4:4" x14ac:dyDescent="0.3">
      <c r="D1796" s="7"/>
    </row>
    <row r="1797" spans="4:4" x14ac:dyDescent="0.3">
      <c r="D1797" s="7"/>
    </row>
    <row r="1798" spans="4:4" x14ac:dyDescent="0.3">
      <c r="D1798" s="7"/>
    </row>
    <row r="1799" spans="4:4" x14ac:dyDescent="0.3">
      <c r="D1799" s="7"/>
    </row>
    <row r="1800" spans="4:4" x14ac:dyDescent="0.3">
      <c r="D1800" s="7"/>
    </row>
    <row r="1801" spans="4:4" x14ac:dyDescent="0.3">
      <c r="D1801" s="7"/>
    </row>
    <row r="1802" spans="4:4" x14ac:dyDescent="0.3">
      <c r="D1802" s="7"/>
    </row>
    <row r="1803" spans="4:4" x14ac:dyDescent="0.3">
      <c r="D1803" s="7"/>
    </row>
    <row r="1804" spans="4:4" x14ac:dyDescent="0.3">
      <c r="D1804" s="7"/>
    </row>
    <row r="1805" spans="4:4" x14ac:dyDescent="0.3">
      <c r="D1805" s="7"/>
    </row>
    <row r="1806" spans="4:4" x14ac:dyDescent="0.3">
      <c r="D1806" s="7"/>
    </row>
    <row r="1807" spans="4:4" x14ac:dyDescent="0.3">
      <c r="D1807" s="7"/>
    </row>
    <row r="1808" spans="4:4" x14ac:dyDescent="0.3">
      <c r="D1808" s="7"/>
    </row>
    <row r="1809" spans="4:4" x14ac:dyDescent="0.3">
      <c r="D1809" s="7"/>
    </row>
    <row r="1810" spans="4:4" x14ac:dyDescent="0.3">
      <c r="D1810" s="7"/>
    </row>
    <row r="1811" spans="4:4" x14ac:dyDescent="0.3">
      <c r="D1811" s="7"/>
    </row>
    <row r="1812" spans="4:4" x14ac:dyDescent="0.3">
      <c r="D1812" s="7"/>
    </row>
    <row r="1813" spans="4:4" x14ac:dyDescent="0.3">
      <c r="D1813" s="7"/>
    </row>
    <row r="1814" spans="4:4" x14ac:dyDescent="0.3">
      <c r="D1814" s="7"/>
    </row>
    <row r="1815" spans="4:4" x14ac:dyDescent="0.3">
      <c r="D1815" s="7"/>
    </row>
    <row r="1816" spans="4:4" x14ac:dyDescent="0.3">
      <c r="D1816" s="7"/>
    </row>
    <row r="1817" spans="4:4" x14ac:dyDescent="0.3">
      <c r="D1817" s="7"/>
    </row>
    <row r="1818" spans="4:4" x14ac:dyDescent="0.3">
      <c r="D1818" s="7"/>
    </row>
    <row r="1819" spans="4:4" x14ac:dyDescent="0.3">
      <c r="D1819" s="7"/>
    </row>
    <row r="1820" spans="4:4" x14ac:dyDescent="0.3">
      <c r="D1820" s="7"/>
    </row>
    <row r="1821" spans="4:4" x14ac:dyDescent="0.3">
      <c r="D1821" s="7"/>
    </row>
    <row r="1822" spans="4:4" x14ac:dyDescent="0.3">
      <c r="D1822" s="7"/>
    </row>
    <row r="1823" spans="4:4" x14ac:dyDescent="0.3">
      <c r="D1823" s="7"/>
    </row>
    <row r="1824" spans="4:4" x14ac:dyDescent="0.3">
      <c r="D1824" s="7"/>
    </row>
    <row r="1825" spans="4:4" x14ac:dyDescent="0.3">
      <c r="D1825" s="7"/>
    </row>
    <row r="1826" spans="4:4" x14ac:dyDescent="0.3">
      <c r="D1826" s="7"/>
    </row>
    <row r="1827" spans="4:4" x14ac:dyDescent="0.3">
      <c r="D1827" s="7"/>
    </row>
    <row r="1828" spans="4:4" x14ac:dyDescent="0.3">
      <c r="D1828" s="7"/>
    </row>
    <row r="1829" spans="4:4" x14ac:dyDescent="0.3">
      <c r="D1829" s="7"/>
    </row>
    <row r="1830" spans="4:4" x14ac:dyDescent="0.3">
      <c r="D1830" s="7"/>
    </row>
    <row r="1831" spans="4:4" x14ac:dyDescent="0.3">
      <c r="D1831" s="7"/>
    </row>
    <row r="1832" spans="4:4" x14ac:dyDescent="0.3">
      <c r="D1832" s="7"/>
    </row>
    <row r="1833" spans="4:4" x14ac:dyDescent="0.3">
      <c r="D1833" s="7"/>
    </row>
    <row r="1834" spans="4:4" x14ac:dyDescent="0.3">
      <c r="D1834" s="7"/>
    </row>
    <row r="1835" spans="4:4" x14ac:dyDescent="0.3">
      <c r="D1835" s="7"/>
    </row>
    <row r="1836" spans="4:4" x14ac:dyDescent="0.3">
      <c r="D1836" s="7"/>
    </row>
    <row r="1837" spans="4:4" x14ac:dyDescent="0.3">
      <c r="D1837" s="7"/>
    </row>
    <row r="1838" spans="4:4" x14ac:dyDescent="0.3">
      <c r="D1838" s="7"/>
    </row>
    <row r="1839" spans="4:4" x14ac:dyDescent="0.3">
      <c r="D1839" s="7"/>
    </row>
    <row r="1840" spans="4:4" x14ac:dyDescent="0.3">
      <c r="D1840" s="7"/>
    </row>
    <row r="1841" spans="4:4" x14ac:dyDescent="0.3">
      <c r="D1841" s="7"/>
    </row>
    <row r="1842" spans="4:4" x14ac:dyDescent="0.3">
      <c r="D1842" s="7"/>
    </row>
    <row r="1843" spans="4:4" x14ac:dyDescent="0.3">
      <c r="D1843" s="7"/>
    </row>
    <row r="1844" spans="4:4" x14ac:dyDescent="0.3">
      <c r="D1844" s="7"/>
    </row>
    <row r="1845" spans="4:4" x14ac:dyDescent="0.3">
      <c r="D1845" s="7"/>
    </row>
    <row r="1846" spans="4:4" x14ac:dyDescent="0.3">
      <c r="D1846" s="7"/>
    </row>
    <row r="1847" spans="4:4" x14ac:dyDescent="0.3">
      <c r="D1847" s="7"/>
    </row>
    <row r="1848" spans="4:4" x14ac:dyDescent="0.3">
      <c r="D1848" s="7"/>
    </row>
    <row r="1849" spans="4:4" x14ac:dyDescent="0.3">
      <c r="D1849" s="7"/>
    </row>
    <row r="1850" spans="4:4" x14ac:dyDescent="0.3">
      <c r="D1850" s="7"/>
    </row>
    <row r="1851" spans="4:4" x14ac:dyDescent="0.3">
      <c r="D1851" s="7"/>
    </row>
    <row r="1852" spans="4:4" x14ac:dyDescent="0.3">
      <c r="D1852" s="7"/>
    </row>
    <row r="1853" spans="4:4" x14ac:dyDescent="0.3">
      <c r="D1853" s="7"/>
    </row>
    <row r="1854" spans="4:4" x14ac:dyDescent="0.3">
      <c r="D1854" s="7"/>
    </row>
    <row r="1855" spans="4:4" x14ac:dyDescent="0.3">
      <c r="D1855" s="7"/>
    </row>
    <row r="1856" spans="4:4" x14ac:dyDescent="0.3">
      <c r="D1856" s="7"/>
    </row>
    <row r="1857" spans="4:4" x14ac:dyDescent="0.3">
      <c r="D1857" s="7"/>
    </row>
    <row r="1858" spans="4:4" x14ac:dyDescent="0.3">
      <c r="D1858" s="7"/>
    </row>
    <row r="1859" spans="4:4" x14ac:dyDescent="0.3">
      <c r="D1859" s="7"/>
    </row>
    <row r="1860" spans="4:4" x14ac:dyDescent="0.3">
      <c r="D1860" s="7"/>
    </row>
    <row r="1861" spans="4:4" x14ac:dyDescent="0.3">
      <c r="D1861" s="7"/>
    </row>
    <row r="1862" spans="4:4" x14ac:dyDescent="0.3">
      <c r="D1862" s="7"/>
    </row>
    <row r="1863" spans="4:4" x14ac:dyDescent="0.3">
      <c r="D1863" s="7"/>
    </row>
    <row r="1864" spans="4:4" x14ac:dyDescent="0.3">
      <c r="D1864" s="7"/>
    </row>
    <row r="1865" spans="4:4" x14ac:dyDescent="0.3">
      <c r="D1865" s="7"/>
    </row>
    <row r="1866" spans="4:4" x14ac:dyDescent="0.3">
      <c r="D1866" s="7"/>
    </row>
    <row r="1867" spans="4:4" x14ac:dyDescent="0.3">
      <c r="D1867" s="7"/>
    </row>
    <row r="1868" spans="4:4" x14ac:dyDescent="0.3">
      <c r="D1868" s="7"/>
    </row>
    <row r="1869" spans="4:4" x14ac:dyDescent="0.3">
      <c r="D1869" s="7"/>
    </row>
    <row r="1870" spans="4:4" x14ac:dyDescent="0.3">
      <c r="D1870" s="7"/>
    </row>
    <row r="1871" spans="4:4" x14ac:dyDescent="0.3">
      <c r="D1871" s="7"/>
    </row>
    <row r="1872" spans="4:4" x14ac:dyDescent="0.3">
      <c r="D1872" s="7"/>
    </row>
    <row r="1873" spans="4:4" x14ac:dyDescent="0.3">
      <c r="D1873" s="7"/>
    </row>
    <row r="1874" spans="4:4" x14ac:dyDescent="0.3">
      <c r="D1874" s="7"/>
    </row>
    <row r="1875" spans="4:4" x14ac:dyDescent="0.3">
      <c r="D1875" s="7"/>
    </row>
    <row r="1876" spans="4:4" x14ac:dyDescent="0.3">
      <c r="D1876" s="7"/>
    </row>
    <row r="1877" spans="4:4" x14ac:dyDescent="0.3">
      <c r="D1877" s="7"/>
    </row>
    <row r="1878" spans="4:4" x14ac:dyDescent="0.3">
      <c r="D1878" s="7"/>
    </row>
    <row r="1879" spans="4:4" x14ac:dyDescent="0.3">
      <c r="D1879" s="7"/>
    </row>
    <row r="1880" spans="4:4" x14ac:dyDescent="0.3">
      <c r="D1880" s="7"/>
    </row>
    <row r="1881" spans="4:4" x14ac:dyDescent="0.3">
      <c r="D1881" s="7"/>
    </row>
    <row r="1882" spans="4:4" x14ac:dyDescent="0.3">
      <c r="D1882" s="7"/>
    </row>
    <row r="1883" spans="4:4" x14ac:dyDescent="0.3">
      <c r="D1883" s="7"/>
    </row>
    <row r="1884" spans="4:4" x14ac:dyDescent="0.3">
      <c r="D1884" s="7"/>
    </row>
    <row r="1885" spans="4:4" x14ac:dyDescent="0.3">
      <c r="D1885" s="7"/>
    </row>
    <row r="1886" spans="4:4" x14ac:dyDescent="0.3">
      <c r="D1886" s="7"/>
    </row>
    <row r="1887" spans="4:4" x14ac:dyDescent="0.3">
      <c r="D1887" s="7"/>
    </row>
    <row r="1888" spans="4:4" x14ac:dyDescent="0.3">
      <c r="D1888" s="7"/>
    </row>
    <row r="1889" spans="4:4" x14ac:dyDescent="0.3">
      <c r="D1889" s="7"/>
    </row>
    <row r="1890" spans="4:4" x14ac:dyDescent="0.3">
      <c r="D1890" s="7"/>
    </row>
    <row r="1891" spans="4:4" x14ac:dyDescent="0.3">
      <c r="D1891" s="7"/>
    </row>
    <row r="1892" spans="4:4" x14ac:dyDescent="0.3">
      <c r="D1892" s="7"/>
    </row>
    <row r="1893" spans="4:4" x14ac:dyDescent="0.3">
      <c r="D1893" s="7"/>
    </row>
    <row r="1894" spans="4:4" x14ac:dyDescent="0.3">
      <c r="D1894" s="7"/>
    </row>
    <row r="1895" spans="4:4" x14ac:dyDescent="0.3">
      <c r="D1895" s="7"/>
    </row>
    <row r="1896" spans="4:4" x14ac:dyDescent="0.3">
      <c r="D1896" s="7"/>
    </row>
    <row r="1897" spans="4:4" x14ac:dyDescent="0.3">
      <c r="D1897" s="7"/>
    </row>
    <row r="1898" spans="4:4" x14ac:dyDescent="0.3">
      <c r="D1898" s="7"/>
    </row>
    <row r="1899" spans="4:4" x14ac:dyDescent="0.3">
      <c r="D1899" s="7"/>
    </row>
    <row r="1900" spans="4:4" x14ac:dyDescent="0.3">
      <c r="D1900" s="7"/>
    </row>
    <row r="1901" spans="4:4" x14ac:dyDescent="0.3">
      <c r="D1901" s="7"/>
    </row>
    <row r="1902" spans="4:4" x14ac:dyDescent="0.3">
      <c r="D1902" s="7"/>
    </row>
    <row r="1903" spans="4:4" x14ac:dyDescent="0.3">
      <c r="D1903" s="7"/>
    </row>
    <row r="1904" spans="4:4" x14ac:dyDescent="0.3">
      <c r="D1904" s="7"/>
    </row>
    <row r="1905" spans="4:4" x14ac:dyDescent="0.3">
      <c r="D1905" s="7"/>
    </row>
    <row r="1906" spans="4:4" x14ac:dyDescent="0.3">
      <c r="D1906" s="7"/>
    </row>
    <row r="1907" spans="4:4" x14ac:dyDescent="0.3">
      <c r="D1907" s="7"/>
    </row>
    <row r="1908" spans="4:4" x14ac:dyDescent="0.3">
      <c r="D1908" s="7"/>
    </row>
    <row r="1909" spans="4:4" x14ac:dyDescent="0.3">
      <c r="D1909" s="7"/>
    </row>
    <row r="1910" spans="4:4" x14ac:dyDescent="0.3">
      <c r="D1910" s="7"/>
    </row>
    <row r="1911" spans="4:4" x14ac:dyDescent="0.3">
      <c r="D1911" s="7"/>
    </row>
    <row r="1912" spans="4:4" x14ac:dyDescent="0.3">
      <c r="D1912" s="7"/>
    </row>
    <row r="1913" spans="4:4" x14ac:dyDescent="0.3">
      <c r="D1913" s="7"/>
    </row>
    <row r="1914" spans="4:4" x14ac:dyDescent="0.3">
      <c r="D1914" s="7"/>
    </row>
    <row r="1915" spans="4:4" x14ac:dyDescent="0.3">
      <c r="D1915" s="7"/>
    </row>
    <row r="1916" spans="4:4" x14ac:dyDescent="0.3">
      <c r="D1916" s="7"/>
    </row>
    <row r="1917" spans="4:4" x14ac:dyDescent="0.3">
      <c r="D1917" s="7"/>
    </row>
    <row r="1918" spans="4:4" x14ac:dyDescent="0.3">
      <c r="D1918" s="7"/>
    </row>
    <row r="1919" spans="4:4" x14ac:dyDescent="0.3">
      <c r="D1919" s="7"/>
    </row>
    <row r="1920" spans="4:4" x14ac:dyDescent="0.3">
      <c r="D1920" s="7"/>
    </row>
    <row r="1921" spans="4:4" x14ac:dyDescent="0.3">
      <c r="D1921" s="7"/>
    </row>
    <row r="1922" spans="4:4" x14ac:dyDescent="0.3">
      <c r="D1922" s="7"/>
    </row>
    <row r="1923" spans="4:4" x14ac:dyDescent="0.3">
      <c r="D1923" s="7"/>
    </row>
    <row r="1924" spans="4:4" x14ac:dyDescent="0.3">
      <c r="D1924" s="7"/>
    </row>
    <row r="1925" spans="4:4" x14ac:dyDescent="0.3">
      <c r="D1925" s="7"/>
    </row>
    <row r="1926" spans="4:4" x14ac:dyDescent="0.3">
      <c r="D1926" s="7"/>
    </row>
    <row r="1927" spans="4:4" x14ac:dyDescent="0.3">
      <c r="D1927" s="7"/>
    </row>
    <row r="1928" spans="4:4" x14ac:dyDescent="0.3">
      <c r="D1928" s="7"/>
    </row>
    <row r="1929" spans="4:4" x14ac:dyDescent="0.3">
      <c r="D1929" s="7"/>
    </row>
    <row r="1930" spans="4:4" x14ac:dyDescent="0.3">
      <c r="D1930" s="7"/>
    </row>
    <row r="1931" spans="4:4" x14ac:dyDescent="0.3">
      <c r="D1931" s="7"/>
    </row>
    <row r="1932" spans="4:4" x14ac:dyDescent="0.3">
      <c r="D1932" s="7"/>
    </row>
    <row r="1933" spans="4:4" x14ac:dyDescent="0.3">
      <c r="D1933" s="7"/>
    </row>
    <row r="1934" spans="4:4" x14ac:dyDescent="0.3">
      <c r="D1934" s="7"/>
    </row>
    <row r="1935" spans="4:4" x14ac:dyDescent="0.3">
      <c r="D1935" s="7"/>
    </row>
    <row r="1936" spans="4:4" x14ac:dyDescent="0.3">
      <c r="D1936" s="7"/>
    </row>
    <row r="1937" spans="4:4" x14ac:dyDescent="0.3">
      <c r="D1937" s="7"/>
    </row>
    <row r="1938" spans="4:4" x14ac:dyDescent="0.3">
      <c r="D1938" s="7"/>
    </row>
    <row r="1939" spans="4:4" x14ac:dyDescent="0.3">
      <c r="D1939" s="7"/>
    </row>
    <row r="1940" spans="4:4" x14ac:dyDescent="0.3">
      <c r="D1940" s="7"/>
    </row>
    <row r="1941" spans="4:4" x14ac:dyDescent="0.3">
      <c r="D1941" s="7"/>
    </row>
    <row r="1942" spans="4:4" x14ac:dyDescent="0.3">
      <c r="D1942" s="7"/>
    </row>
    <row r="1943" spans="4:4" x14ac:dyDescent="0.3">
      <c r="D1943" s="7"/>
    </row>
    <row r="1944" spans="4:4" x14ac:dyDescent="0.3">
      <c r="D1944" s="7"/>
    </row>
    <row r="1945" spans="4:4" x14ac:dyDescent="0.3">
      <c r="D1945" s="7"/>
    </row>
    <row r="1946" spans="4:4" x14ac:dyDescent="0.3">
      <c r="D1946" s="7"/>
    </row>
    <row r="1947" spans="4:4" x14ac:dyDescent="0.3">
      <c r="D1947" s="7"/>
    </row>
    <row r="1948" spans="4:4" x14ac:dyDescent="0.3">
      <c r="D1948" s="7"/>
    </row>
    <row r="1949" spans="4:4" x14ac:dyDescent="0.3">
      <c r="D1949" s="7"/>
    </row>
    <row r="1950" spans="4:4" x14ac:dyDescent="0.3">
      <c r="D1950" s="7"/>
    </row>
    <row r="1951" spans="4:4" x14ac:dyDescent="0.3">
      <c r="D1951" s="7"/>
    </row>
    <row r="1952" spans="4:4" x14ac:dyDescent="0.3">
      <c r="D1952" s="7"/>
    </row>
    <row r="1953" spans="4:4" x14ac:dyDescent="0.3">
      <c r="D1953" s="7"/>
    </row>
    <row r="1954" spans="4:4" x14ac:dyDescent="0.3">
      <c r="D1954" s="7"/>
    </row>
    <row r="1955" spans="4:4" x14ac:dyDescent="0.3">
      <c r="D1955" s="7"/>
    </row>
    <row r="1956" spans="4:4" x14ac:dyDescent="0.3">
      <c r="D1956" s="7"/>
    </row>
    <row r="1957" spans="4:4" x14ac:dyDescent="0.3">
      <c r="D1957" s="7"/>
    </row>
    <row r="1958" spans="4:4" x14ac:dyDescent="0.3">
      <c r="D1958" s="7"/>
    </row>
    <row r="1959" spans="4:4" x14ac:dyDescent="0.3">
      <c r="D1959" s="7"/>
    </row>
    <row r="1960" spans="4:4" x14ac:dyDescent="0.3">
      <c r="D1960" s="7"/>
    </row>
    <row r="1961" spans="4:4" x14ac:dyDescent="0.3">
      <c r="D1961" s="7"/>
    </row>
    <row r="1962" spans="4:4" x14ac:dyDescent="0.3">
      <c r="D1962" s="7"/>
    </row>
    <row r="1963" spans="4:4" x14ac:dyDescent="0.3">
      <c r="D1963" s="7"/>
    </row>
    <row r="1964" spans="4:4" x14ac:dyDescent="0.3">
      <c r="D1964" s="7"/>
    </row>
    <row r="1965" spans="4:4" x14ac:dyDescent="0.3">
      <c r="D1965" s="7"/>
    </row>
    <row r="1966" spans="4:4" x14ac:dyDescent="0.3">
      <c r="D1966" s="7"/>
    </row>
    <row r="1967" spans="4:4" x14ac:dyDescent="0.3">
      <c r="D1967" s="7"/>
    </row>
    <row r="1968" spans="4:4" x14ac:dyDescent="0.3">
      <c r="D1968" s="7"/>
    </row>
    <row r="1969" spans="4:4" x14ac:dyDescent="0.3">
      <c r="D1969" s="7"/>
    </row>
    <row r="1970" spans="4:4" x14ac:dyDescent="0.3">
      <c r="D1970" s="7"/>
    </row>
    <row r="1971" spans="4:4" x14ac:dyDescent="0.3">
      <c r="D1971" s="7"/>
    </row>
    <row r="1972" spans="4:4" x14ac:dyDescent="0.3">
      <c r="D1972" s="7"/>
    </row>
    <row r="1973" spans="4:4" x14ac:dyDescent="0.3">
      <c r="D1973" s="7"/>
    </row>
    <row r="1974" spans="4:4" x14ac:dyDescent="0.3">
      <c r="D1974" s="7"/>
    </row>
    <row r="1975" spans="4:4" x14ac:dyDescent="0.3">
      <c r="D1975" s="7"/>
    </row>
    <row r="1976" spans="4:4" x14ac:dyDescent="0.3">
      <c r="D1976" s="7"/>
    </row>
    <row r="1977" spans="4:4" x14ac:dyDescent="0.3">
      <c r="D1977" s="7"/>
    </row>
    <row r="1978" spans="4:4" x14ac:dyDescent="0.3">
      <c r="D1978" s="7"/>
    </row>
    <row r="1979" spans="4:4" x14ac:dyDescent="0.3">
      <c r="D1979" s="7"/>
    </row>
    <row r="1980" spans="4:4" x14ac:dyDescent="0.3">
      <c r="D1980" s="7"/>
    </row>
    <row r="1981" spans="4:4" x14ac:dyDescent="0.3">
      <c r="D1981" s="7"/>
    </row>
    <row r="1982" spans="4:4" x14ac:dyDescent="0.3">
      <c r="D1982" s="7"/>
    </row>
    <row r="1983" spans="4:4" x14ac:dyDescent="0.3">
      <c r="D1983" s="7"/>
    </row>
    <row r="1984" spans="4:4" x14ac:dyDescent="0.3">
      <c r="D1984" s="7"/>
    </row>
    <row r="1985" spans="4:4" x14ac:dyDescent="0.3">
      <c r="D1985" s="7"/>
    </row>
    <row r="1986" spans="4:4" x14ac:dyDescent="0.3">
      <c r="D1986" s="7"/>
    </row>
    <row r="1987" spans="4:4" x14ac:dyDescent="0.3">
      <c r="D1987" s="7"/>
    </row>
    <row r="1988" spans="4:4" x14ac:dyDescent="0.3">
      <c r="D1988" s="7"/>
    </row>
    <row r="1989" spans="4:4" x14ac:dyDescent="0.3">
      <c r="D1989" s="7"/>
    </row>
    <row r="1990" spans="4:4" x14ac:dyDescent="0.3">
      <c r="D1990" s="7"/>
    </row>
    <row r="1991" spans="4:4" x14ac:dyDescent="0.3">
      <c r="D1991" s="7"/>
    </row>
    <row r="1992" spans="4:4" x14ac:dyDescent="0.3">
      <c r="D1992" s="7"/>
    </row>
    <row r="1993" spans="4:4" x14ac:dyDescent="0.3">
      <c r="D1993" s="7"/>
    </row>
    <row r="1994" spans="4:4" x14ac:dyDescent="0.3">
      <c r="D1994" s="7"/>
    </row>
    <row r="1995" spans="4:4" x14ac:dyDescent="0.3">
      <c r="D1995" s="7"/>
    </row>
    <row r="1996" spans="4:4" x14ac:dyDescent="0.3">
      <c r="D1996" s="7"/>
    </row>
    <row r="1997" spans="4:4" x14ac:dyDescent="0.3">
      <c r="D1997" s="7"/>
    </row>
    <row r="1998" spans="4:4" x14ac:dyDescent="0.3">
      <c r="D1998" s="7"/>
    </row>
    <row r="1999" spans="4:4" x14ac:dyDescent="0.3">
      <c r="D1999" s="7"/>
    </row>
    <row r="2000" spans="4:4" x14ac:dyDescent="0.3">
      <c r="D2000" s="7"/>
    </row>
    <row r="2001" spans="4:4" x14ac:dyDescent="0.3">
      <c r="D2001" s="7"/>
    </row>
    <row r="2002" spans="4:4" x14ac:dyDescent="0.3">
      <c r="D2002" s="7"/>
    </row>
    <row r="2003" spans="4:4" x14ac:dyDescent="0.3">
      <c r="D2003" s="7"/>
    </row>
    <row r="2004" spans="4:4" x14ac:dyDescent="0.3">
      <c r="D2004" s="7"/>
    </row>
    <row r="2005" spans="4:4" x14ac:dyDescent="0.3">
      <c r="D2005" s="7"/>
    </row>
    <row r="2006" spans="4:4" x14ac:dyDescent="0.3">
      <c r="D2006" s="7"/>
    </row>
    <row r="2007" spans="4:4" x14ac:dyDescent="0.3">
      <c r="D2007" s="7"/>
    </row>
    <row r="2008" spans="4:4" x14ac:dyDescent="0.3">
      <c r="D2008" s="7"/>
    </row>
    <row r="2009" spans="4:4" x14ac:dyDescent="0.3">
      <c r="D2009" s="7"/>
    </row>
    <row r="2010" spans="4:4" x14ac:dyDescent="0.3">
      <c r="D2010" s="7"/>
    </row>
    <row r="2011" spans="4:4" x14ac:dyDescent="0.3">
      <c r="D2011" s="7"/>
    </row>
    <row r="2012" spans="4:4" x14ac:dyDescent="0.3">
      <c r="D2012" s="7"/>
    </row>
    <row r="2013" spans="4:4" x14ac:dyDescent="0.3">
      <c r="D2013" s="7"/>
    </row>
    <row r="2014" spans="4:4" x14ac:dyDescent="0.3">
      <c r="D2014" s="7"/>
    </row>
    <row r="2015" spans="4:4" x14ac:dyDescent="0.3">
      <c r="D2015" s="7"/>
    </row>
    <row r="2016" spans="4:4" x14ac:dyDescent="0.3">
      <c r="D2016" s="7"/>
    </row>
    <row r="2017" spans="4:4" x14ac:dyDescent="0.3">
      <c r="D2017" s="7"/>
    </row>
    <row r="2018" spans="4:4" x14ac:dyDescent="0.3">
      <c r="D2018" s="7"/>
    </row>
    <row r="2019" spans="4:4" x14ac:dyDescent="0.3">
      <c r="D2019" s="7"/>
    </row>
    <row r="2020" spans="4:4" x14ac:dyDescent="0.3">
      <c r="D2020" s="7"/>
    </row>
    <row r="2021" spans="4:4" x14ac:dyDescent="0.3">
      <c r="D2021" s="7"/>
    </row>
    <row r="2022" spans="4:4" x14ac:dyDescent="0.3">
      <c r="D2022" s="7"/>
    </row>
    <row r="2023" spans="4:4" x14ac:dyDescent="0.3">
      <c r="D2023" s="7"/>
    </row>
    <row r="2024" spans="4:4" x14ac:dyDescent="0.3">
      <c r="D2024" s="7"/>
    </row>
    <row r="2025" spans="4:4" x14ac:dyDescent="0.3">
      <c r="D2025" s="7"/>
    </row>
    <row r="2026" spans="4:4" x14ac:dyDescent="0.3">
      <c r="D2026" s="7"/>
    </row>
    <row r="2027" spans="4:4" x14ac:dyDescent="0.3">
      <c r="D2027" s="7"/>
    </row>
    <row r="2028" spans="4:4" x14ac:dyDescent="0.3">
      <c r="D2028" s="7"/>
    </row>
    <row r="2029" spans="4:4" x14ac:dyDescent="0.3">
      <c r="D2029" s="7"/>
    </row>
    <row r="2030" spans="4:4" x14ac:dyDescent="0.3">
      <c r="D2030" s="7"/>
    </row>
    <row r="2031" spans="4:4" x14ac:dyDescent="0.3">
      <c r="D2031" s="7"/>
    </row>
    <row r="2032" spans="4:4" x14ac:dyDescent="0.3">
      <c r="D2032" s="7"/>
    </row>
    <row r="2033" spans="4:4" x14ac:dyDescent="0.3">
      <c r="D2033" s="7"/>
    </row>
    <row r="2034" spans="4:4" x14ac:dyDescent="0.3">
      <c r="D2034" s="7"/>
    </row>
    <row r="2035" spans="4:4" x14ac:dyDescent="0.3">
      <c r="D2035" s="7"/>
    </row>
    <row r="2036" spans="4:4" x14ac:dyDescent="0.3">
      <c r="D2036" s="7"/>
    </row>
    <row r="2037" spans="4:4" x14ac:dyDescent="0.3">
      <c r="D2037" s="7"/>
    </row>
    <row r="2038" spans="4:4" x14ac:dyDescent="0.3">
      <c r="D2038" s="7"/>
    </row>
    <row r="2039" spans="4:4" x14ac:dyDescent="0.3">
      <c r="D2039" s="7"/>
    </row>
    <row r="2040" spans="4:4" x14ac:dyDescent="0.3">
      <c r="D2040" s="7"/>
    </row>
    <row r="2041" spans="4:4" x14ac:dyDescent="0.3">
      <c r="D2041" s="7"/>
    </row>
    <row r="2042" spans="4:4" x14ac:dyDescent="0.3">
      <c r="D2042" s="7"/>
    </row>
    <row r="2043" spans="4:4" x14ac:dyDescent="0.3">
      <c r="D2043" s="7"/>
    </row>
    <row r="2044" spans="4:4" x14ac:dyDescent="0.3">
      <c r="D2044" s="7"/>
    </row>
    <row r="2045" spans="4:4" x14ac:dyDescent="0.3">
      <c r="D2045" s="7"/>
    </row>
    <row r="2046" spans="4:4" x14ac:dyDescent="0.3">
      <c r="D2046" s="7"/>
    </row>
    <row r="2047" spans="4:4" x14ac:dyDescent="0.3">
      <c r="D2047" s="7"/>
    </row>
    <row r="2048" spans="4:4" x14ac:dyDescent="0.3">
      <c r="D2048" s="7"/>
    </row>
    <row r="2049" spans="4:4" x14ac:dyDescent="0.3">
      <c r="D2049" s="7"/>
    </row>
    <row r="2050" spans="4:4" x14ac:dyDescent="0.3">
      <c r="D2050" s="7"/>
    </row>
    <row r="2051" spans="4:4" x14ac:dyDescent="0.3">
      <c r="D2051" s="7"/>
    </row>
    <row r="2052" spans="4:4" x14ac:dyDescent="0.3">
      <c r="D2052" s="7"/>
    </row>
    <row r="2053" spans="4:4" x14ac:dyDescent="0.3">
      <c r="D2053" s="7"/>
    </row>
    <row r="2054" spans="4:4" x14ac:dyDescent="0.3">
      <c r="D2054" s="7"/>
    </row>
    <row r="2055" spans="4:4" x14ac:dyDescent="0.3">
      <c r="D2055" s="7"/>
    </row>
    <row r="2056" spans="4:4" x14ac:dyDescent="0.3">
      <c r="D2056" s="7"/>
    </row>
    <row r="2057" spans="4:4" x14ac:dyDescent="0.3">
      <c r="D2057" s="7"/>
    </row>
    <row r="2058" spans="4:4" x14ac:dyDescent="0.3">
      <c r="D2058" s="7"/>
    </row>
    <row r="2059" spans="4:4" x14ac:dyDescent="0.3">
      <c r="D2059" s="7"/>
    </row>
    <row r="2060" spans="4:4" x14ac:dyDescent="0.3">
      <c r="D2060" s="7"/>
    </row>
    <row r="2061" spans="4:4" x14ac:dyDescent="0.3">
      <c r="D2061" s="7"/>
    </row>
    <row r="2062" spans="4:4" x14ac:dyDescent="0.3">
      <c r="D2062" s="7"/>
    </row>
    <row r="2063" spans="4:4" x14ac:dyDescent="0.3">
      <c r="D2063" s="7"/>
    </row>
    <row r="2064" spans="4:4" x14ac:dyDescent="0.3">
      <c r="D2064" s="7"/>
    </row>
    <row r="2065" spans="4:4" x14ac:dyDescent="0.3">
      <c r="D2065" s="7"/>
    </row>
    <row r="2066" spans="4:4" x14ac:dyDescent="0.3">
      <c r="D2066" s="7"/>
    </row>
    <row r="2067" spans="4:4" x14ac:dyDescent="0.3">
      <c r="D2067" s="7"/>
    </row>
    <row r="2068" spans="4:4" x14ac:dyDescent="0.3">
      <c r="D2068" s="7"/>
    </row>
    <row r="2069" spans="4:4" x14ac:dyDescent="0.3">
      <c r="D2069" s="7"/>
    </row>
    <row r="2070" spans="4:4" x14ac:dyDescent="0.3">
      <c r="D2070" s="7"/>
    </row>
    <row r="2071" spans="4:4" x14ac:dyDescent="0.3">
      <c r="D2071" s="7"/>
    </row>
    <row r="2072" spans="4:4" x14ac:dyDescent="0.3">
      <c r="D2072" s="7"/>
    </row>
    <row r="2073" spans="4:4" x14ac:dyDescent="0.3">
      <c r="D2073" s="7"/>
    </row>
    <row r="2074" spans="4:4" x14ac:dyDescent="0.3">
      <c r="D2074" s="7"/>
    </row>
    <row r="2075" spans="4:4" x14ac:dyDescent="0.3">
      <c r="D2075" s="7"/>
    </row>
    <row r="2076" spans="4:4" x14ac:dyDescent="0.3">
      <c r="D2076" s="7"/>
    </row>
    <row r="2077" spans="4:4" x14ac:dyDescent="0.3">
      <c r="D2077" s="7"/>
    </row>
    <row r="2078" spans="4:4" x14ac:dyDescent="0.3">
      <c r="D2078" s="7"/>
    </row>
    <row r="2079" spans="4:4" x14ac:dyDescent="0.3">
      <c r="D2079" s="7"/>
    </row>
    <row r="2080" spans="4:4" x14ac:dyDescent="0.3">
      <c r="D2080" s="7"/>
    </row>
    <row r="2081" spans="4:4" x14ac:dyDescent="0.3">
      <c r="D2081" s="7"/>
    </row>
    <row r="2082" spans="4:4" x14ac:dyDescent="0.3">
      <c r="D2082" s="7"/>
    </row>
    <row r="2083" spans="4:4" x14ac:dyDescent="0.3">
      <c r="D2083" s="7"/>
    </row>
    <row r="2084" spans="4:4" x14ac:dyDescent="0.3">
      <c r="D2084" s="7"/>
    </row>
    <row r="2085" spans="4:4" x14ac:dyDescent="0.3">
      <c r="D2085" s="7"/>
    </row>
    <row r="2086" spans="4:4" x14ac:dyDescent="0.3">
      <c r="D2086" s="7"/>
    </row>
    <row r="2087" spans="4:4" x14ac:dyDescent="0.3">
      <c r="D2087" s="7"/>
    </row>
    <row r="2088" spans="4:4" x14ac:dyDescent="0.3">
      <c r="D2088" s="7"/>
    </row>
    <row r="2089" spans="4:4" x14ac:dyDescent="0.3">
      <c r="D2089" s="7"/>
    </row>
    <row r="2090" spans="4:4" x14ac:dyDescent="0.3">
      <c r="D2090" s="7"/>
    </row>
    <row r="2091" spans="4:4" x14ac:dyDescent="0.3">
      <c r="D2091" s="7"/>
    </row>
    <row r="2092" spans="4:4" x14ac:dyDescent="0.3">
      <c r="D2092" s="7"/>
    </row>
    <row r="2093" spans="4:4" x14ac:dyDescent="0.3">
      <c r="D2093" s="7"/>
    </row>
    <row r="2094" spans="4:4" x14ac:dyDescent="0.3">
      <c r="D2094" s="7"/>
    </row>
    <row r="2095" spans="4:4" x14ac:dyDescent="0.3">
      <c r="D2095" s="7"/>
    </row>
    <row r="2096" spans="4:4" x14ac:dyDescent="0.3">
      <c r="D2096" s="7"/>
    </row>
    <row r="2097" spans="4:4" x14ac:dyDescent="0.3">
      <c r="D2097" s="7"/>
    </row>
    <row r="2098" spans="4:4" x14ac:dyDescent="0.3">
      <c r="D2098" s="7"/>
    </row>
    <row r="2099" spans="4:4" x14ac:dyDescent="0.3">
      <c r="D2099" s="7"/>
    </row>
    <row r="2100" spans="4:4" x14ac:dyDescent="0.3">
      <c r="D2100" s="7"/>
    </row>
    <row r="2101" spans="4:4" x14ac:dyDescent="0.3">
      <c r="D2101" s="7"/>
    </row>
    <row r="2102" spans="4:4" x14ac:dyDescent="0.3">
      <c r="D2102" s="7"/>
    </row>
    <row r="2103" spans="4:4" x14ac:dyDescent="0.3">
      <c r="D2103" s="7"/>
    </row>
    <row r="2104" spans="4:4" x14ac:dyDescent="0.3">
      <c r="D2104" s="7"/>
    </row>
    <row r="2105" spans="4:4" x14ac:dyDescent="0.3">
      <c r="D2105" s="7"/>
    </row>
    <row r="2106" spans="4:4" x14ac:dyDescent="0.3">
      <c r="D2106" s="7"/>
    </row>
    <row r="2107" spans="4:4" x14ac:dyDescent="0.3">
      <c r="D2107" s="7"/>
    </row>
    <row r="2108" spans="4:4" x14ac:dyDescent="0.3">
      <c r="D2108" s="7"/>
    </row>
    <row r="2109" spans="4:4" x14ac:dyDescent="0.3">
      <c r="D2109" s="7"/>
    </row>
    <row r="2110" spans="4:4" x14ac:dyDescent="0.3">
      <c r="D2110" s="7"/>
    </row>
    <row r="2111" spans="4:4" x14ac:dyDescent="0.3">
      <c r="D2111" s="7"/>
    </row>
    <row r="2112" spans="4:4" x14ac:dyDescent="0.3">
      <c r="D2112" s="7"/>
    </row>
    <row r="2113" spans="4:4" x14ac:dyDescent="0.3">
      <c r="D2113" s="7"/>
    </row>
    <row r="2114" spans="4:4" x14ac:dyDescent="0.3">
      <c r="D2114" s="7"/>
    </row>
    <row r="2115" spans="4:4" x14ac:dyDescent="0.3">
      <c r="D2115" s="7"/>
    </row>
    <row r="2116" spans="4:4" x14ac:dyDescent="0.3">
      <c r="D2116" s="7"/>
    </row>
    <row r="2117" spans="4:4" x14ac:dyDescent="0.3">
      <c r="D2117" s="7"/>
    </row>
    <row r="2118" spans="4:4" x14ac:dyDescent="0.3">
      <c r="D2118" s="7"/>
    </row>
    <row r="2119" spans="4:4" x14ac:dyDescent="0.3">
      <c r="D2119" s="7"/>
    </row>
    <row r="2120" spans="4:4" x14ac:dyDescent="0.3">
      <c r="D2120" s="7"/>
    </row>
    <row r="2121" spans="4:4" x14ac:dyDescent="0.3">
      <c r="D2121" s="7"/>
    </row>
    <row r="2122" spans="4:4" x14ac:dyDescent="0.3">
      <c r="D2122" s="7"/>
    </row>
    <row r="2123" spans="4:4" x14ac:dyDescent="0.3">
      <c r="D2123" s="7"/>
    </row>
    <row r="2124" spans="4:4" x14ac:dyDescent="0.3">
      <c r="D2124" s="7"/>
    </row>
    <row r="2125" spans="4:4" x14ac:dyDescent="0.3">
      <c r="D2125" s="7"/>
    </row>
    <row r="2126" spans="4:4" x14ac:dyDescent="0.3">
      <c r="D2126" s="7"/>
    </row>
    <row r="2127" spans="4:4" x14ac:dyDescent="0.3">
      <c r="D2127" s="7"/>
    </row>
    <row r="2128" spans="4:4" x14ac:dyDescent="0.3">
      <c r="D2128" s="7"/>
    </row>
    <row r="2129" spans="4:4" x14ac:dyDescent="0.3">
      <c r="D2129" s="7"/>
    </row>
    <row r="2130" spans="4:4" x14ac:dyDescent="0.3">
      <c r="D2130" s="7"/>
    </row>
    <row r="2131" spans="4:4" x14ac:dyDescent="0.3">
      <c r="D2131" s="7"/>
    </row>
    <row r="2132" spans="4:4" x14ac:dyDescent="0.3">
      <c r="D2132" s="7"/>
    </row>
    <row r="2133" spans="4:4" x14ac:dyDescent="0.3">
      <c r="D2133" s="7"/>
    </row>
    <row r="2134" spans="4:4" x14ac:dyDescent="0.3">
      <c r="D2134" s="7"/>
    </row>
    <row r="2135" spans="4:4" x14ac:dyDescent="0.3">
      <c r="D2135" s="7"/>
    </row>
    <row r="2136" spans="4:4" x14ac:dyDescent="0.3">
      <c r="D2136" s="7"/>
    </row>
    <row r="2137" spans="4:4" x14ac:dyDescent="0.3">
      <c r="D2137" s="7"/>
    </row>
    <row r="2138" spans="4:4" x14ac:dyDescent="0.3">
      <c r="D2138" s="7"/>
    </row>
    <row r="2139" spans="4:4" x14ac:dyDescent="0.3">
      <c r="D2139" s="7"/>
    </row>
    <row r="2140" spans="4:4" x14ac:dyDescent="0.3">
      <c r="D2140" s="7"/>
    </row>
    <row r="2141" spans="4:4" x14ac:dyDescent="0.3">
      <c r="D2141" s="7"/>
    </row>
    <row r="2142" spans="4:4" x14ac:dyDescent="0.3">
      <c r="D2142" s="7"/>
    </row>
    <row r="2143" spans="4:4" x14ac:dyDescent="0.3">
      <c r="D2143" s="7"/>
    </row>
    <row r="2144" spans="4:4" x14ac:dyDescent="0.3">
      <c r="D2144" s="7"/>
    </row>
    <row r="2145" spans="4:4" x14ac:dyDescent="0.3">
      <c r="D2145" s="7"/>
    </row>
    <row r="2146" spans="4:4" x14ac:dyDescent="0.3">
      <c r="D2146" s="7"/>
    </row>
    <row r="2147" spans="4:4" x14ac:dyDescent="0.3">
      <c r="D2147" s="7"/>
    </row>
    <row r="2148" spans="4:4" x14ac:dyDescent="0.3">
      <c r="D2148" s="7"/>
    </row>
    <row r="2149" spans="4:4" x14ac:dyDescent="0.3">
      <c r="D2149" s="7"/>
    </row>
    <row r="2150" spans="4:4" x14ac:dyDescent="0.3">
      <c r="D2150" s="7"/>
    </row>
    <row r="2151" spans="4:4" x14ac:dyDescent="0.3">
      <c r="D2151" s="7"/>
    </row>
    <row r="2152" spans="4:4" x14ac:dyDescent="0.3">
      <c r="D2152" s="7"/>
    </row>
    <row r="2153" spans="4:4" x14ac:dyDescent="0.3">
      <c r="D2153" s="7"/>
    </row>
    <row r="2154" spans="4:4" x14ac:dyDescent="0.3">
      <c r="D2154" s="7"/>
    </row>
    <row r="2155" spans="4:4" x14ac:dyDescent="0.3">
      <c r="D2155" s="7"/>
    </row>
    <row r="2156" spans="4:4" x14ac:dyDescent="0.3">
      <c r="D2156" s="7"/>
    </row>
    <row r="2157" spans="4:4" x14ac:dyDescent="0.3">
      <c r="D2157" s="7"/>
    </row>
    <row r="2158" spans="4:4" x14ac:dyDescent="0.3">
      <c r="D2158" s="7"/>
    </row>
    <row r="2159" spans="4:4" x14ac:dyDescent="0.3">
      <c r="D2159" s="7"/>
    </row>
    <row r="2160" spans="4:4" x14ac:dyDescent="0.3">
      <c r="D2160" s="7"/>
    </row>
    <row r="2161" spans="4:4" x14ac:dyDescent="0.3">
      <c r="D2161" s="7"/>
    </row>
    <row r="2162" spans="4:4" x14ac:dyDescent="0.3">
      <c r="D2162" s="7"/>
    </row>
    <row r="2163" spans="4:4" x14ac:dyDescent="0.3">
      <c r="D2163" s="7"/>
    </row>
    <row r="2164" spans="4:4" x14ac:dyDescent="0.3">
      <c r="D2164" s="7"/>
    </row>
    <row r="2165" spans="4:4" x14ac:dyDescent="0.3">
      <c r="D2165" s="7"/>
    </row>
    <row r="2166" spans="4:4" x14ac:dyDescent="0.3">
      <c r="D2166" s="7"/>
    </row>
    <row r="2167" spans="4:4" x14ac:dyDescent="0.3">
      <c r="D2167" s="7"/>
    </row>
    <row r="2168" spans="4:4" x14ac:dyDescent="0.3">
      <c r="D2168" s="7"/>
    </row>
    <row r="2169" spans="4:4" x14ac:dyDescent="0.3">
      <c r="D2169" s="7"/>
    </row>
    <row r="2170" spans="4:4" x14ac:dyDescent="0.3">
      <c r="D2170" s="7"/>
    </row>
    <row r="2171" spans="4:4" x14ac:dyDescent="0.3">
      <c r="D2171" s="7"/>
    </row>
    <row r="2172" spans="4:4" x14ac:dyDescent="0.3">
      <c r="D2172" s="7"/>
    </row>
    <row r="2173" spans="4:4" x14ac:dyDescent="0.3">
      <c r="D2173" s="7"/>
    </row>
    <row r="2174" spans="4:4" x14ac:dyDescent="0.3">
      <c r="D2174" s="7"/>
    </row>
    <row r="2175" spans="4:4" x14ac:dyDescent="0.3">
      <c r="D2175" s="7"/>
    </row>
    <row r="2176" spans="4:4" x14ac:dyDescent="0.3">
      <c r="D2176" s="7"/>
    </row>
    <row r="2177" spans="4:4" x14ac:dyDescent="0.3">
      <c r="D2177" s="7"/>
    </row>
    <row r="2178" spans="4:4" x14ac:dyDescent="0.3">
      <c r="D2178" s="7"/>
    </row>
    <row r="2179" spans="4:4" x14ac:dyDescent="0.3">
      <c r="D2179" s="7"/>
    </row>
    <row r="2180" spans="4:4" x14ac:dyDescent="0.3">
      <c r="D2180" s="7"/>
    </row>
    <row r="2181" spans="4:4" x14ac:dyDescent="0.3">
      <c r="D2181" s="7"/>
    </row>
    <row r="2182" spans="4:4" x14ac:dyDescent="0.3">
      <c r="D2182" s="7"/>
    </row>
    <row r="2183" spans="4:4" x14ac:dyDescent="0.3">
      <c r="D2183" s="7"/>
    </row>
    <row r="2184" spans="4:4" x14ac:dyDescent="0.3">
      <c r="D2184" s="7"/>
    </row>
    <row r="2185" spans="4:4" x14ac:dyDescent="0.3">
      <c r="D2185" s="7"/>
    </row>
    <row r="2186" spans="4:4" x14ac:dyDescent="0.3">
      <c r="D2186" s="7"/>
    </row>
    <row r="2187" spans="4:4" x14ac:dyDescent="0.3">
      <c r="D2187" s="7"/>
    </row>
    <row r="2188" spans="4:4" x14ac:dyDescent="0.3">
      <c r="D2188" s="7"/>
    </row>
    <row r="2189" spans="4:4" x14ac:dyDescent="0.3">
      <c r="D2189" s="7"/>
    </row>
    <row r="2190" spans="4:4" x14ac:dyDescent="0.3">
      <c r="D2190" s="7"/>
    </row>
    <row r="2191" spans="4:4" x14ac:dyDescent="0.3">
      <c r="D2191" s="7"/>
    </row>
    <row r="2192" spans="4:4" x14ac:dyDescent="0.3">
      <c r="D2192" s="7"/>
    </row>
    <row r="2193" spans="4:4" x14ac:dyDescent="0.3">
      <c r="D2193" s="7"/>
    </row>
    <row r="2194" spans="4:4" x14ac:dyDescent="0.3">
      <c r="D2194" s="7"/>
    </row>
    <row r="2195" spans="4:4" x14ac:dyDescent="0.3">
      <c r="D2195" s="7"/>
    </row>
    <row r="2196" spans="4:4" x14ac:dyDescent="0.3">
      <c r="D2196" s="7"/>
    </row>
    <row r="2197" spans="4:4" x14ac:dyDescent="0.3">
      <c r="D2197" s="7"/>
    </row>
    <row r="2198" spans="4:4" x14ac:dyDescent="0.3">
      <c r="D2198" s="7"/>
    </row>
    <row r="2199" spans="4:4" x14ac:dyDescent="0.3">
      <c r="D2199" s="7"/>
    </row>
    <row r="2200" spans="4:4" x14ac:dyDescent="0.3">
      <c r="D2200" s="7"/>
    </row>
    <row r="2201" spans="4:4" x14ac:dyDescent="0.3">
      <c r="D2201" s="7"/>
    </row>
    <row r="2202" spans="4:4" x14ac:dyDescent="0.3">
      <c r="D2202" s="7"/>
    </row>
    <row r="2203" spans="4:4" x14ac:dyDescent="0.3">
      <c r="D2203" s="7"/>
    </row>
    <row r="2204" spans="4:4" x14ac:dyDescent="0.3">
      <c r="D2204" s="7"/>
    </row>
    <row r="2205" spans="4:4" x14ac:dyDescent="0.3">
      <c r="D2205" s="7"/>
    </row>
    <row r="2206" spans="4:4" x14ac:dyDescent="0.3">
      <c r="D2206" s="7"/>
    </row>
    <row r="2207" spans="4:4" x14ac:dyDescent="0.3">
      <c r="D2207" s="7"/>
    </row>
    <row r="2208" spans="4:4" x14ac:dyDescent="0.3">
      <c r="D2208" s="7"/>
    </row>
    <row r="2209" spans="4:4" x14ac:dyDescent="0.3">
      <c r="D2209" s="7"/>
    </row>
    <row r="2210" spans="4:4" x14ac:dyDescent="0.3">
      <c r="D2210" s="7"/>
    </row>
    <row r="2211" spans="4:4" x14ac:dyDescent="0.3">
      <c r="D2211" s="7"/>
    </row>
    <row r="2212" spans="4:4" x14ac:dyDescent="0.3">
      <c r="D2212" s="7"/>
    </row>
    <row r="2213" spans="4:4" x14ac:dyDescent="0.3">
      <c r="D2213" s="7"/>
    </row>
    <row r="2214" spans="4:4" x14ac:dyDescent="0.3">
      <c r="D2214" s="7"/>
    </row>
    <row r="2215" spans="4:4" x14ac:dyDescent="0.3">
      <c r="D2215" s="7"/>
    </row>
    <row r="2216" spans="4:4" x14ac:dyDescent="0.3">
      <c r="D2216" s="7"/>
    </row>
    <row r="2217" spans="4:4" x14ac:dyDescent="0.3">
      <c r="D2217" s="7"/>
    </row>
    <row r="2218" spans="4:4" x14ac:dyDescent="0.3">
      <c r="D2218" s="7"/>
    </row>
    <row r="2219" spans="4:4" x14ac:dyDescent="0.3">
      <c r="D2219" s="7"/>
    </row>
    <row r="2220" spans="4:4" x14ac:dyDescent="0.3">
      <c r="D2220" s="7"/>
    </row>
    <row r="2221" spans="4:4" x14ac:dyDescent="0.3">
      <c r="D2221" s="7"/>
    </row>
    <row r="2222" spans="4:4" x14ac:dyDescent="0.3">
      <c r="D2222" s="7"/>
    </row>
    <row r="2223" spans="4:4" x14ac:dyDescent="0.3">
      <c r="D2223" s="7"/>
    </row>
    <row r="2224" spans="4:4" x14ac:dyDescent="0.3">
      <c r="D2224" s="7"/>
    </row>
    <row r="2225" spans="4:4" x14ac:dyDescent="0.3">
      <c r="D2225" s="7"/>
    </row>
    <row r="2226" spans="4:4" x14ac:dyDescent="0.3">
      <c r="D2226" s="7"/>
    </row>
    <row r="2227" spans="4:4" x14ac:dyDescent="0.3">
      <c r="D2227" s="7"/>
    </row>
    <row r="2228" spans="4:4" x14ac:dyDescent="0.3">
      <c r="D2228" s="7"/>
    </row>
    <row r="2229" spans="4:4" x14ac:dyDescent="0.3">
      <c r="D2229" s="7"/>
    </row>
    <row r="2230" spans="4:4" x14ac:dyDescent="0.3">
      <c r="D2230" s="7"/>
    </row>
    <row r="2231" spans="4:4" x14ac:dyDescent="0.3">
      <c r="D2231" s="7"/>
    </row>
    <row r="2232" spans="4:4" x14ac:dyDescent="0.3">
      <c r="D2232" s="7"/>
    </row>
    <row r="2233" spans="4:4" x14ac:dyDescent="0.3">
      <c r="D2233" s="7"/>
    </row>
    <row r="2234" spans="4:4" x14ac:dyDescent="0.3">
      <c r="D2234" s="7"/>
    </row>
    <row r="2235" spans="4:4" x14ac:dyDescent="0.3">
      <c r="D2235" s="7"/>
    </row>
    <row r="2236" spans="4:4" x14ac:dyDescent="0.3">
      <c r="D2236" s="7"/>
    </row>
    <row r="2237" spans="4:4" x14ac:dyDescent="0.3">
      <c r="D2237" s="7"/>
    </row>
    <row r="2238" spans="4:4" x14ac:dyDescent="0.3">
      <c r="D2238" s="7"/>
    </row>
    <row r="2239" spans="4:4" x14ac:dyDescent="0.3">
      <c r="D2239" s="7"/>
    </row>
    <row r="2240" spans="4:4" x14ac:dyDescent="0.3">
      <c r="D2240" s="7"/>
    </row>
    <row r="2241" spans="4:4" x14ac:dyDescent="0.3">
      <c r="D2241" s="7"/>
    </row>
    <row r="2242" spans="4:4" x14ac:dyDescent="0.3">
      <c r="D2242" s="7"/>
    </row>
    <row r="2243" spans="4:4" x14ac:dyDescent="0.3">
      <c r="D2243" s="7"/>
    </row>
    <row r="2244" spans="4:4" x14ac:dyDescent="0.3">
      <c r="D2244" s="7"/>
    </row>
    <row r="2245" spans="4:4" x14ac:dyDescent="0.3">
      <c r="D2245" s="7"/>
    </row>
    <row r="2246" spans="4:4" x14ac:dyDescent="0.3">
      <c r="D2246" s="7"/>
    </row>
    <row r="2247" spans="4:4" x14ac:dyDescent="0.3">
      <c r="D2247" s="7"/>
    </row>
    <row r="2248" spans="4:4" x14ac:dyDescent="0.3">
      <c r="D2248" s="7"/>
    </row>
    <row r="2249" spans="4:4" x14ac:dyDescent="0.3">
      <c r="D2249" s="7"/>
    </row>
    <row r="2250" spans="4:4" x14ac:dyDescent="0.3">
      <c r="D2250" s="7"/>
    </row>
    <row r="2251" spans="4:4" x14ac:dyDescent="0.3">
      <c r="D2251" s="7"/>
    </row>
    <row r="2252" spans="4:4" x14ac:dyDescent="0.3">
      <c r="D2252" s="7"/>
    </row>
    <row r="2253" spans="4:4" x14ac:dyDescent="0.3">
      <c r="D2253" s="7"/>
    </row>
    <row r="2254" spans="4:4" x14ac:dyDescent="0.3">
      <c r="D2254" s="7"/>
    </row>
    <row r="2255" spans="4:4" x14ac:dyDescent="0.3">
      <c r="D2255" s="7"/>
    </row>
    <row r="2256" spans="4:4" x14ac:dyDescent="0.3">
      <c r="D2256" s="7"/>
    </row>
    <row r="2257" spans="4:4" x14ac:dyDescent="0.3">
      <c r="D2257" s="7"/>
    </row>
    <row r="2258" spans="4:4" x14ac:dyDescent="0.3">
      <c r="D2258" s="7"/>
    </row>
    <row r="2259" spans="4:4" x14ac:dyDescent="0.3">
      <c r="D2259" s="7"/>
    </row>
    <row r="2260" spans="4:4" x14ac:dyDescent="0.3">
      <c r="D2260" s="7"/>
    </row>
    <row r="2261" spans="4:4" x14ac:dyDescent="0.3">
      <c r="D2261" s="7"/>
    </row>
    <row r="2262" spans="4:4" x14ac:dyDescent="0.3">
      <c r="D2262" s="7"/>
    </row>
    <row r="2263" spans="4:4" x14ac:dyDescent="0.3">
      <c r="D2263" s="7"/>
    </row>
    <row r="2264" spans="4:4" x14ac:dyDescent="0.3">
      <c r="D2264" s="7"/>
    </row>
    <row r="2265" spans="4:4" x14ac:dyDescent="0.3">
      <c r="D2265" s="7"/>
    </row>
    <row r="2266" spans="4:4" x14ac:dyDescent="0.3">
      <c r="D2266" s="7"/>
    </row>
    <row r="2267" spans="4:4" x14ac:dyDescent="0.3">
      <c r="D2267" s="7"/>
    </row>
    <row r="2268" spans="4:4" x14ac:dyDescent="0.3">
      <c r="D2268" s="7"/>
    </row>
    <row r="2269" spans="4:4" x14ac:dyDescent="0.3">
      <c r="D2269" s="7"/>
    </row>
    <row r="2270" spans="4:4" x14ac:dyDescent="0.3">
      <c r="D2270" s="7"/>
    </row>
    <row r="2271" spans="4:4" x14ac:dyDescent="0.3">
      <c r="D2271" s="7"/>
    </row>
    <row r="2272" spans="4:4" x14ac:dyDescent="0.3">
      <c r="D2272" s="7"/>
    </row>
    <row r="2273" spans="4:4" x14ac:dyDescent="0.3">
      <c r="D2273" s="7"/>
    </row>
    <row r="2274" spans="4:4" x14ac:dyDescent="0.3">
      <c r="D2274" s="7"/>
    </row>
    <row r="2275" spans="4:4" x14ac:dyDescent="0.3">
      <c r="D2275" s="7"/>
    </row>
    <row r="2276" spans="4:4" x14ac:dyDescent="0.3">
      <c r="D2276" s="7"/>
    </row>
    <row r="2277" spans="4:4" x14ac:dyDescent="0.3">
      <c r="D2277" s="7"/>
    </row>
    <row r="2278" spans="4:4" x14ac:dyDescent="0.3">
      <c r="D2278" s="7"/>
    </row>
    <row r="2279" spans="4:4" x14ac:dyDescent="0.3">
      <c r="D2279" s="7"/>
    </row>
    <row r="2280" spans="4:4" x14ac:dyDescent="0.3">
      <c r="D2280" s="7"/>
    </row>
    <row r="2281" spans="4:4" x14ac:dyDescent="0.3">
      <c r="D2281" s="7"/>
    </row>
    <row r="2282" spans="4:4" x14ac:dyDescent="0.3">
      <c r="D2282" s="7"/>
    </row>
    <row r="2283" spans="4:4" x14ac:dyDescent="0.3">
      <c r="D2283" s="7"/>
    </row>
    <row r="2284" spans="4:4" x14ac:dyDescent="0.3">
      <c r="D2284" s="7"/>
    </row>
    <row r="2285" spans="4:4" x14ac:dyDescent="0.3">
      <c r="D2285" s="7"/>
    </row>
    <row r="2286" spans="4:4" x14ac:dyDescent="0.3">
      <c r="D2286" s="7"/>
    </row>
    <row r="2287" spans="4:4" x14ac:dyDescent="0.3">
      <c r="D2287" s="7"/>
    </row>
    <row r="2288" spans="4:4" x14ac:dyDescent="0.3">
      <c r="D2288" s="7"/>
    </row>
    <row r="2289" spans="4:4" x14ac:dyDescent="0.3">
      <c r="D2289" s="7"/>
    </row>
    <row r="2290" spans="4:4" x14ac:dyDescent="0.3">
      <c r="D2290" s="7"/>
    </row>
    <row r="2291" spans="4:4" x14ac:dyDescent="0.3">
      <c r="D2291" s="7"/>
    </row>
    <row r="2292" spans="4:4" x14ac:dyDescent="0.3">
      <c r="D2292" s="7"/>
    </row>
    <row r="2293" spans="4:4" x14ac:dyDescent="0.3">
      <c r="D2293" s="7"/>
    </row>
    <row r="2294" spans="4:4" x14ac:dyDescent="0.3">
      <c r="D2294" s="7"/>
    </row>
    <row r="2295" spans="4:4" x14ac:dyDescent="0.3">
      <c r="D2295" s="7"/>
    </row>
    <row r="2296" spans="4:4" x14ac:dyDescent="0.3">
      <c r="D2296" s="7"/>
    </row>
    <row r="2297" spans="4:4" x14ac:dyDescent="0.3">
      <c r="D2297" s="7"/>
    </row>
    <row r="2298" spans="4:4" x14ac:dyDescent="0.3">
      <c r="D2298" s="7"/>
    </row>
    <row r="2299" spans="4:4" x14ac:dyDescent="0.3">
      <c r="D2299" s="7"/>
    </row>
    <row r="2300" spans="4:4" x14ac:dyDescent="0.3">
      <c r="D2300" s="7"/>
    </row>
    <row r="2301" spans="4:4" x14ac:dyDescent="0.3">
      <c r="D2301" s="7"/>
    </row>
    <row r="2302" spans="4:4" x14ac:dyDescent="0.3">
      <c r="D2302" s="7"/>
    </row>
    <row r="2303" spans="4:4" x14ac:dyDescent="0.3">
      <c r="D2303" s="7"/>
    </row>
    <row r="2304" spans="4:4" x14ac:dyDescent="0.3">
      <c r="D2304" s="7"/>
    </row>
    <row r="2305" spans="4:4" x14ac:dyDescent="0.3">
      <c r="D2305" s="7"/>
    </row>
    <row r="2306" spans="4:4" x14ac:dyDescent="0.3">
      <c r="D2306" s="7"/>
    </row>
    <row r="2307" spans="4:4" x14ac:dyDescent="0.3">
      <c r="D2307" s="7"/>
    </row>
    <row r="2308" spans="4:4" x14ac:dyDescent="0.3">
      <c r="D2308" s="7"/>
    </row>
    <row r="2309" spans="4:4" x14ac:dyDescent="0.3">
      <c r="D2309" s="7"/>
    </row>
    <row r="2310" spans="4:4" x14ac:dyDescent="0.3">
      <c r="D2310" s="7"/>
    </row>
    <row r="2311" spans="4:4" x14ac:dyDescent="0.3">
      <c r="D2311" s="7"/>
    </row>
    <row r="2312" spans="4:4" x14ac:dyDescent="0.3">
      <c r="D2312" s="7"/>
    </row>
    <row r="2313" spans="4:4" x14ac:dyDescent="0.3">
      <c r="D2313" s="7"/>
    </row>
    <row r="2314" spans="4:4" x14ac:dyDescent="0.3">
      <c r="D2314" s="7"/>
    </row>
    <row r="2315" spans="4:4" x14ac:dyDescent="0.3">
      <c r="D2315" s="7"/>
    </row>
    <row r="2316" spans="4:4" x14ac:dyDescent="0.3">
      <c r="D2316" s="7"/>
    </row>
    <row r="2317" spans="4:4" x14ac:dyDescent="0.3">
      <c r="D2317" s="7"/>
    </row>
    <row r="2318" spans="4:4" x14ac:dyDescent="0.3">
      <c r="D2318" s="7"/>
    </row>
    <row r="2319" spans="4:4" x14ac:dyDescent="0.3">
      <c r="D2319" s="7"/>
    </row>
    <row r="2320" spans="4:4" x14ac:dyDescent="0.3">
      <c r="D2320" s="7"/>
    </row>
    <row r="2321" spans="4:4" x14ac:dyDescent="0.3">
      <c r="D2321" s="7"/>
    </row>
    <row r="2322" spans="4:4" x14ac:dyDescent="0.3">
      <c r="D2322" s="7"/>
    </row>
    <row r="2323" spans="4:4" x14ac:dyDescent="0.3">
      <c r="D2323" s="7"/>
    </row>
    <row r="2324" spans="4:4" x14ac:dyDescent="0.3">
      <c r="D2324" s="7"/>
    </row>
    <row r="2325" spans="4:4" x14ac:dyDescent="0.3">
      <c r="D2325" s="7"/>
    </row>
    <row r="2326" spans="4:4" x14ac:dyDescent="0.3">
      <c r="D2326" s="7"/>
    </row>
    <row r="2327" spans="4:4" x14ac:dyDescent="0.3">
      <c r="D2327" s="7"/>
    </row>
    <row r="2328" spans="4:4" x14ac:dyDescent="0.3">
      <c r="D2328" s="7"/>
    </row>
    <row r="2329" spans="4:4" x14ac:dyDescent="0.3">
      <c r="D2329" s="7"/>
    </row>
    <row r="2330" spans="4:4" x14ac:dyDescent="0.3">
      <c r="D2330" s="7"/>
    </row>
    <row r="2331" spans="4:4" x14ac:dyDescent="0.3">
      <c r="D2331" s="7"/>
    </row>
    <row r="2332" spans="4:4" x14ac:dyDescent="0.3">
      <c r="D2332" s="7"/>
    </row>
    <row r="2333" spans="4:4" x14ac:dyDescent="0.3">
      <c r="D2333" s="7"/>
    </row>
    <row r="2334" spans="4:4" x14ac:dyDescent="0.3">
      <c r="D2334" s="7"/>
    </row>
    <row r="2335" spans="4:4" x14ac:dyDescent="0.3">
      <c r="D2335" s="7"/>
    </row>
    <row r="2336" spans="4:4" x14ac:dyDescent="0.3">
      <c r="D2336" s="7"/>
    </row>
    <row r="2337" spans="4:4" x14ac:dyDescent="0.3">
      <c r="D2337" s="7"/>
    </row>
    <row r="2338" spans="4:4" x14ac:dyDescent="0.3">
      <c r="D2338" s="7"/>
    </row>
    <row r="2339" spans="4:4" x14ac:dyDescent="0.3">
      <c r="D2339" s="7"/>
    </row>
    <row r="2340" spans="4:4" x14ac:dyDescent="0.3">
      <c r="D2340" s="7"/>
    </row>
    <row r="2341" spans="4:4" x14ac:dyDescent="0.3">
      <c r="D2341" s="7"/>
    </row>
    <row r="2342" spans="4:4" x14ac:dyDescent="0.3">
      <c r="D2342" s="7"/>
    </row>
    <row r="2343" spans="4:4" x14ac:dyDescent="0.3">
      <c r="D2343" s="7"/>
    </row>
    <row r="2344" spans="4:4" x14ac:dyDescent="0.3">
      <c r="D2344" s="7"/>
    </row>
    <row r="2345" spans="4:4" x14ac:dyDescent="0.3">
      <c r="D2345" s="7"/>
    </row>
    <row r="2346" spans="4:4" x14ac:dyDescent="0.3">
      <c r="D2346" s="7"/>
    </row>
    <row r="2347" spans="4:4" x14ac:dyDescent="0.3">
      <c r="D2347" s="7"/>
    </row>
    <row r="2348" spans="4:4" x14ac:dyDescent="0.3">
      <c r="D2348" s="7"/>
    </row>
    <row r="2349" spans="4:4" x14ac:dyDescent="0.3">
      <c r="D2349" s="7"/>
    </row>
    <row r="2350" spans="4:4" x14ac:dyDescent="0.3">
      <c r="D2350" s="7"/>
    </row>
    <row r="2351" spans="4:4" x14ac:dyDescent="0.3">
      <c r="D2351" s="7"/>
    </row>
    <row r="2352" spans="4:4" x14ac:dyDescent="0.3">
      <c r="D2352" s="7"/>
    </row>
    <row r="2353" spans="4:4" x14ac:dyDescent="0.3">
      <c r="D2353" s="7"/>
    </row>
    <row r="2354" spans="4:4" x14ac:dyDescent="0.3">
      <c r="D2354" s="7"/>
    </row>
    <row r="2355" spans="4:4" x14ac:dyDescent="0.3">
      <c r="D2355" s="7"/>
    </row>
    <row r="2356" spans="4:4" x14ac:dyDescent="0.3">
      <c r="D2356" s="7"/>
    </row>
    <row r="2357" spans="4:4" x14ac:dyDescent="0.3">
      <c r="D2357" s="7"/>
    </row>
    <row r="2358" spans="4:4" x14ac:dyDescent="0.3">
      <c r="D2358" s="7"/>
    </row>
    <row r="2359" spans="4:4" x14ac:dyDescent="0.3">
      <c r="D2359" s="7"/>
    </row>
    <row r="2360" spans="4:4" x14ac:dyDescent="0.3">
      <c r="D2360" s="7"/>
    </row>
    <row r="2361" spans="4:4" x14ac:dyDescent="0.3">
      <c r="D2361" s="7"/>
    </row>
    <row r="2362" spans="4:4" x14ac:dyDescent="0.3">
      <c r="D2362" s="7"/>
    </row>
    <row r="2363" spans="4:4" x14ac:dyDescent="0.3">
      <c r="D2363" s="7"/>
    </row>
    <row r="2364" spans="4:4" x14ac:dyDescent="0.3">
      <c r="D2364" s="7"/>
    </row>
    <row r="2365" spans="4:4" x14ac:dyDescent="0.3">
      <c r="D2365" s="7"/>
    </row>
    <row r="2366" spans="4:4" x14ac:dyDescent="0.3">
      <c r="D2366" s="7"/>
    </row>
    <row r="2367" spans="4:4" x14ac:dyDescent="0.3">
      <c r="D2367" s="7"/>
    </row>
    <row r="2368" spans="4:4" x14ac:dyDescent="0.3">
      <c r="D2368" s="7"/>
    </row>
    <row r="2369" spans="4:4" x14ac:dyDescent="0.3">
      <c r="D2369" s="7"/>
    </row>
    <row r="2370" spans="4:4" x14ac:dyDescent="0.3">
      <c r="D2370" s="7"/>
    </row>
    <row r="2371" spans="4:4" x14ac:dyDescent="0.3">
      <c r="D2371" s="7"/>
    </row>
    <row r="2372" spans="4:4" x14ac:dyDescent="0.3">
      <c r="D2372" s="7"/>
    </row>
    <row r="2373" spans="4:4" x14ac:dyDescent="0.3">
      <c r="D2373" s="7"/>
    </row>
    <row r="2374" spans="4:4" x14ac:dyDescent="0.3">
      <c r="D2374" s="7"/>
    </row>
    <row r="2375" spans="4:4" x14ac:dyDescent="0.3">
      <c r="D2375" s="7"/>
    </row>
    <row r="2376" spans="4:4" x14ac:dyDescent="0.3">
      <c r="D2376" s="7"/>
    </row>
    <row r="2377" spans="4:4" x14ac:dyDescent="0.3">
      <c r="D2377" s="7"/>
    </row>
    <row r="2378" spans="4:4" x14ac:dyDescent="0.3">
      <c r="D2378" s="7"/>
    </row>
    <row r="2379" spans="4:4" x14ac:dyDescent="0.3">
      <c r="D2379" s="7"/>
    </row>
    <row r="2380" spans="4:4" x14ac:dyDescent="0.3">
      <c r="D2380" s="7"/>
    </row>
    <row r="2381" spans="4:4" x14ac:dyDescent="0.3">
      <c r="D2381" s="7"/>
    </row>
    <row r="2382" spans="4:4" x14ac:dyDescent="0.3">
      <c r="D2382" s="7"/>
    </row>
    <row r="2383" spans="4:4" x14ac:dyDescent="0.3">
      <c r="D2383" s="7"/>
    </row>
    <row r="2384" spans="4:4" x14ac:dyDescent="0.3">
      <c r="D2384" s="7"/>
    </row>
    <row r="2385" spans="4:4" x14ac:dyDescent="0.3">
      <c r="D2385" s="7"/>
    </row>
    <row r="2386" spans="4:4" x14ac:dyDescent="0.3">
      <c r="D2386" s="7"/>
    </row>
    <row r="2387" spans="4:4" x14ac:dyDescent="0.3">
      <c r="D2387" s="7"/>
    </row>
    <row r="2388" spans="4:4" x14ac:dyDescent="0.3">
      <c r="D2388" s="7"/>
    </row>
    <row r="2389" spans="4:4" x14ac:dyDescent="0.3">
      <c r="D2389" s="7"/>
    </row>
    <row r="2390" spans="4:4" x14ac:dyDescent="0.3">
      <c r="D2390" s="7"/>
    </row>
    <row r="2391" spans="4:4" x14ac:dyDescent="0.3">
      <c r="D2391" s="7"/>
    </row>
    <row r="2392" spans="4:4" x14ac:dyDescent="0.3">
      <c r="D2392" s="7"/>
    </row>
    <row r="2393" spans="4:4" x14ac:dyDescent="0.3">
      <c r="D2393" s="7"/>
    </row>
    <row r="2394" spans="4:4" x14ac:dyDescent="0.3">
      <c r="D2394" s="7"/>
    </row>
    <row r="2395" spans="4:4" x14ac:dyDescent="0.3">
      <c r="D2395" s="7"/>
    </row>
    <row r="2396" spans="4:4" x14ac:dyDescent="0.3">
      <c r="D2396" s="7"/>
    </row>
    <row r="2397" spans="4:4" x14ac:dyDescent="0.3">
      <c r="D2397" s="7"/>
    </row>
    <row r="2398" spans="4:4" x14ac:dyDescent="0.3">
      <c r="D2398" s="7"/>
    </row>
    <row r="2399" spans="4:4" x14ac:dyDescent="0.3">
      <c r="D2399" s="7"/>
    </row>
    <row r="2400" spans="4:4" x14ac:dyDescent="0.3">
      <c r="D2400" s="7"/>
    </row>
    <row r="2401" spans="4:4" x14ac:dyDescent="0.3">
      <c r="D2401" s="7"/>
    </row>
    <row r="2402" spans="4:4" x14ac:dyDescent="0.3">
      <c r="D2402" s="7"/>
    </row>
    <row r="2403" spans="4:4" x14ac:dyDescent="0.3">
      <c r="D2403" s="7"/>
    </row>
    <row r="2404" spans="4:4" x14ac:dyDescent="0.3">
      <c r="D2404" s="7"/>
    </row>
    <row r="2405" spans="4:4" x14ac:dyDescent="0.3">
      <c r="D2405" s="7"/>
    </row>
    <row r="2406" spans="4:4" x14ac:dyDescent="0.3">
      <c r="D2406" s="7"/>
    </row>
    <row r="2407" spans="4:4" x14ac:dyDescent="0.3">
      <c r="D2407" s="7"/>
    </row>
    <row r="2408" spans="4:4" x14ac:dyDescent="0.3">
      <c r="D2408" s="7"/>
    </row>
    <row r="2409" spans="4:4" x14ac:dyDescent="0.3">
      <c r="D2409" s="7"/>
    </row>
    <row r="2410" spans="4:4" x14ac:dyDescent="0.3">
      <c r="D2410" s="7"/>
    </row>
    <row r="2411" spans="4:4" x14ac:dyDescent="0.3">
      <c r="D2411" s="7"/>
    </row>
    <row r="2412" spans="4:4" x14ac:dyDescent="0.3">
      <c r="D2412" s="7"/>
    </row>
    <row r="2413" spans="4:4" x14ac:dyDescent="0.3">
      <c r="D2413" s="7"/>
    </row>
    <row r="2414" spans="4:4" x14ac:dyDescent="0.3">
      <c r="D2414" s="7"/>
    </row>
    <row r="2415" spans="4:4" x14ac:dyDescent="0.3">
      <c r="D2415" s="7"/>
    </row>
    <row r="2416" spans="4:4" x14ac:dyDescent="0.3">
      <c r="D2416" s="7"/>
    </row>
    <row r="2417" spans="4:4" x14ac:dyDescent="0.3">
      <c r="D2417" s="7"/>
    </row>
    <row r="2418" spans="4:4" x14ac:dyDescent="0.3">
      <c r="D2418" s="7"/>
    </row>
    <row r="2419" spans="4:4" x14ac:dyDescent="0.3">
      <c r="D2419" s="7"/>
    </row>
    <row r="2420" spans="4:4" x14ac:dyDescent="0.3">
      <c r="D2420" s="7"/>
    </row>
    <row r="2421" spans="4:4" x14ac:dyDescent="0.3">
      <c r="D2421" s="7"/>
    </row>
    <row r="2422" spans="4:4" x14ac:dyDescent="0.3">
      <c r="D2422" s="7"/>
    </row>
    <row r="2423" spans="4:4" x14ac:dyDescent="0.3">
      <c r="D2423" s="7"/>
    </row>
    <row r="2424" spans="4:4" x14ac:dyDescent="0.3">
      <c r="D2424" s="7"/>
    </row>
    <row r="2425" spans="4:4" x14ac:dyDescent="0.3">
      <c r="D2425" s="7"/>
    </row>
    <row r="2426" spans="4:4" x14ac:dyDescent="0.3">
      <c r="D2426" s="7"/>
    </row>
    <row r="2427" spans="4:4" x14ac:dyDescent="0.3">
      <c r="D2427" s="7"/>
    </row>
    <row r="2428" spans="4:4" x14ac:dyDescent="0.3">
      <c r="D2428" s="7"/>
    </row>
    <row r="2429" spans="4:4" x14ac:dyDescent="0.3">
      <c r="D2429" s="7"/>
    </row>
    <row r="2430" spans="4:4" x14ac:dyDescent="0.3">
      <c r="D2430" s="7"/>
    </row>
    <row r="2431" spans="4:4" x14ac:dyDescent="0.3">
      <c r="D2431" s="7"/>
    </row>
    <row r="2432" spans="4:4" x14ac:dyDescent="0.3">
      <c r="D2432" s="7"/>
    </row>
    <row r="2433" spans="4:4" x14ac:dyDescent="0.3">
      <c r="D2433" s="7"/>
    </row>
    <row r="2434" spans="4:4" x14ac:dyDescent="0.3">
      <c r="D2434" s="7"/>
    </row>
    <row r="2435" spans="4:4" x14ac:dyDescent="0.3">
      <c r="D2435" s="7"/>
    </row>
    <row r="2436" spans="4:4" x14ac:dyDescent="0.3">
      <c r="D2436" s="7"/>
    </row>
    <row r="2437" spans="4:4" x14ac:dyDescent="0.3">
      <c r="D2437" s="7"/>
    </row>
    <row r="2438" spans="4:4" x14ac:dyDescent="0.3">
      <c r="D2438" s="7"/>
    </row>
    <row r="2439" spans="4:4" x14ac:dyDescent="0.3">
      <c r="D2439" s="7"/>
    </row>
    <row r="2440" spans="4:4" x14ac:dyDescent="0.3">
      <c r="D2440" s="7"/>
    </row>
    <row r="2441" spans="4:4" x14ac:dyDescent="0.3">
      <c r="D2441" s="7"/>
    </row>
    <row r="2442" spans="4:4" x14ac:dyDescent="0.3">
      <c r="D2442" s="7"/>
    </row>
    <row r="2443" spans="4:4" x14ac:dyDescent="0.3">
      <c r="D2443" s="7"/>
    </row>
    <row r="2444" spans="4:4" x14ac:dyDescent="0.3">
      <c r="D2444" s="7"/>
    </row>
    <row r="2445" spans="4:4" x14ac:dyDescent="0.3">
      <c r="D2445" s="7"/>
    </row>
    <row r="2446" spans="4:4" x14ac:dyDescent="0.3">
      <c r="D2446" s="7"/>
    </row>
    <row r="2447" spans="4:4" x14ac:dyDescent="0.3">
      <c r="D2447" s="7"/>
    </row>
    <row r="2448" spans="4:4" x14ac:dyDescent="0.3">
      <c r="D2448" s="7"/>
    </row>
    <row r="2449" spans="4:4" x14ac:dyDescent="0.3">
      <c r="D2449" s="7"/>
    </row>
    <row r="2450" spans="4:4" x14ac:dyDescent="0.3">
      <c r="D2450" s="7"/>
    </row>
    <row r="2451" spans="4:4" x14ac:dyDescent="0.3">
      <c r="D2451" s="7"/>
    </row>
    <row r="2452" spans="4:4" x14ac:dyDescent="0.3">
      <c r="D2452" s="7"/>
    </row>
    <row r="2453" spans="4:4" x14ac:dyDescent="0.3">
      <c r="D2453" s="7"/>
    </row>
    <row r="2454" spans="4:4" x14ac:dyDescent="0.3">
      <c r="D2454" s="7"/>
    </row>
    <row r="2455" spans="4:4" x14ac:dyDescent="0.3">
      <c r="D2455" s="7"/>
    </row>
    <row r="2456" spans="4:4" x14ac:dyDescent="0.3">
      <c r="D2456" s="7"/>
    </row>
    <row r="2457" spans="4:4" x14ac:dyDescent="0.3">
      <c r="D2457" s="7"/>
    </row>
    <row r="2458" spans="4:4" x14ac:dyDescent="0.3">
      <c r="D2458" s="7"/>
    </row>
    <row r="2459" spans="4:4" x14ac:dyDescent="0.3">
      <c r="D2459" s="7"/>
    </row>
    <row r="2460" spans="4:4" x14ac:dyDescent="0.3">
      <c r="D2460" s="7"/>
    </row>
    <row r="2461" spans="4:4" x14ac:dyDescent="0.3">
      <c r="D2461" s="7"/>
    </row>
    <row r="2462" spans="4:4" x14ac:dyDescent="0.3">
      <c r="D2462" s="7"/>
    </row>
    <row r="2463" spans="4:4" x14ac:dyDescent="0.3">
      <c r="D2463" s="7"/>
    </row>
    <row r="2464" spans="4:4" x14ac:dyDescent="0.3">
      <c r="D2464" s="7"/>
    </row>
    <row r="2465" spans="4:4" x14ac:dyDescent="0.3">
      <c r="D2465" s="7"/>
    </row>
    <row r="2466" spans="4:4" x14ac:dyDescent="0.3">
      <c r="D2466" s="7"/>
    </row>
    <row r="2467" spans="4:4" x14ac:dyDescent="0.3">
      <c r="D2467" s="7"/>
    </row>
    <row r="2468" spans="4:4" x14ac:dyDescent="0.3">
      <c r="D2468" s="7"/>
    </row>
    <row r="2469" spans="4:4" x14ac:dyDescent="0.3">
      <c r="D2469" s="7"/>
    </row>
    <row r="2470" spans="4:4" x14ac:dyDescent="0.3">
      <c r="D2470" s="7"/>
    </row>
    <row r="2471" spans="4:4" x14ac:dyDescent="0.3">
      <c r="D2471" s="7"/>
    </row>
    <row r="2472" spans="4:4" x14ac:dyDescent="0.3">
      <c r="D2472" s="7"/>
    </row>
    <row r="2473" spans="4:4" x14ac:dyDescent="0.3">
      <c r="D2473" s="7"/>
    </row>
    <row r="2474" spans="4:4" x14ac:dyDescent="0.3">
      <c r="D2474" s="7"/>
    </row>
    <row r="2475" spans="4:4" x14ac:dyDescent="0.3">
      <c r="D2475" s="7"/>
    </row>
    <row r="2476" spans="4:4" x14ac:dyDescent="0.3">
      <c r="D2476" s="7"/>
    </row>
    <row r="2477" spans="4:4" x14ac:dyDescent="0.3">
      <c r="D2477" s="7"/>
    </row>
    <row r="2478" spans="4:4" x14ac:dyDescent="0.3">
      <c r="D2478" s="7"/>
    </row>
    <row r="2479" spans="4:4" x14ac:dyDescent="0.3">
      <c r="D2479" s="7"/>
    </row>
    <row r="2480" spans="4:4" x14ac:dyDescent="0.3">
      <c r="D2480" s="7"/>
    </row>
    <row r="2481" spans="4:4" x14ac:dyDescent="0.3">
      <c r="D2481" s="7"/>
    </row>
    <row r="2482" spans="4:4" x14ac:dyDescent="0.3">
      <c r="D2482" s="7"/>
    </row>
    <row r="2483" spans="4:4" x14ac:dyDescent="0.3">
      <c r="D2483" s="7"/>
    </row>
    <row r="2484" spans="4:4" x14ac:dyDescent="0.3">
      <c r="D2484" s="7"/>
    </row>
    <row r="2485" spans="4:4" x14ac:dyDescent="0.3">
      <c r="D2485" s="7"/>
    </row>
    <row r="2486" spans="4:4" x14ac:dyDescent="0.3">
      <c r="D2486" s="7"/>
    </row>
    <row r="2487" spans="4:4" x14ac:dyDescent="0.3">
      <c r="D2487" s="7"/>
    </row>
    <row r="2488" spans="4:4" x14ac:dyDescent="0.3">
      <c r="D2488" s="7"/>
    </row>
    <row r="2489" spans="4:4" x14ac:dyDescent="0.3">
      <c r="D2489" s="7"/>
    </row>
    <row r="2490" spans="4:4" x14ac:dyDescent="0.3">
      <c r="D2490" s="7"/>
    </row>
    <row r="2491" spans="4:4" x14ac:dyDescent="0.3">
      <c r="D2491" s="7"/>
    </row>
    <row r="2492" spans="4:4" x14ac:dyDescent="0.3">
      <c r="D2492" s="7"/>
    </row>
    <row r="2493" spans="4:4" x14ac:dyDescent="0.3">
      <c r="D2493" s="7"/>
    </row>
    <row r="2494" spans="4:4" x14ac:dyDescent="0.3">
      <c r="D2494" s="7"/>
    </row>
    <row r="2495" spans="4:4" x14ac:dyDescent="0.3">
      <c r="D2495" s="7"/>
    </row>
    <row r="2496" spans="4:4" x14ac:dyDescent="0.3">
      <c r="D2496" s="7"/>
    </row>
    <row r="2497" spans="4:4" x14ac:dyDescent="0.3">
      <c r="D2497" s="7"/>
    </row>
    <row r="2498" spans="4:4" x14ac:dyDescent="0.3">
      <c r="D2498" s="7"/>
    </row>
    <row r="2499" spans="4:4" x14ac:dyDescent="0.3">
      <c r="D2499" s="7"/>
    </row>
    <row r="2500" spans="4:4" x14ac:dyDescent="0.3">
      <c r="D2500" s="7"/>
    </row>
    <row r="2501" spans="4:4" x14ac:dyDescent="0.3">
      <c r="D2501" s="7"/>
    </row>
    <row r="2502" spans="4:4" x14ac:dyDescent="0.3">
      <c r="D2502" s="7"/>
    </row>
    <row r="2503" spans="4:4" x14ac:dyDescent="0.3">
      <c r="D2503" s="7"/>
    </row>
    <row r="2504" spans="4:4" x14ac:dyDescent="0.3">
      <c r="D2504" s="7"/>
    </row>
    <row r="2505" spans="4:4" x14ac:dyDescent="0.3">
      <c r="D2505" s="7"/>
    </row>
    <row r="2506" spans="4:4" x14ac:dyDescent="0.3">
      <c r="D2506" s="7"/>
    </row>
    <row r="2507" spans="4:4" x14ac:dyDescent="0.3">
      <c r="D2507" s="7"/>
    </row>
    <row r="2508" spans="4:4" x14ac:dyDescent="0.3">
      <c r="D2508" s="7"/>
    </row>
    <row r="2509" spans="4:4" x14ac:dyDescent="0.3">
      <c r="D2509" s="7"/>
    </row>
    <row r="2510" spans="4:4" x14ac:dyDescent="0.3">
      <c r="D2510" s="7"/>
    </row>
    <row r="2511" spans="4:4" x14ac:dyDescent="0.3">
      <c r="D2511" s="7"/>
    </row>
    <row r="2512" spans="4:4" x14ac:dyDescent="0.3">
      <c r="D2512" s="7"/>
    </row>
    <row r="2513" spans="4:4" x14ac:dyDescent="0.3">
      <c r="D2513" s="7"/>
    </row>
    <row r="2514" spans="4:4" x14ac:dyDescent="0.3">
      <c r="D2514" s="7"/>
    </row>
    <row r="2515" spans="4:4" x14ac:dyDescent="0.3">
      <c r="D2515" s="7"/>
    </row>
    <row r="2516" spans="4:4" x14ac:dyDescent="0.3">
      <c r="D2516" s="7"/>
    </row>
    <row r="2517" spans="4:4" x14ac:dyDescent="0.3">
      <c r="D2517" s="7"/>
    </row>
    <row r="2518" spans="4:4" x14ac:dyDescent="0.3">
      <c r="D2518" s="7"/>
    </row>
    <row r="2519" spans="4:4" x14ac:dyDescent="0.3">
      <c r="D2519" s="7"/>
    </row>
    <row r="2520" spans="4:4" x14ac:dyDescent="0.3">
      <c r="D2520" s="7"/>
    </row>
    <row r="2521" spans="4:4" x14ac:dyDescent="0.3">
      <c r="D2521" s="7"/>
    </row>
    <row r="2522" spans="4:4" x14ac:dyDescent="0.3">
      <c r="D2522" s="7"/>
    </row>
    <row r="2523" spans="4:4" x14ac:dyDescent="0.3">
      <c r="D2523" s="7"/>
    </row>
    <row r="2524" spans="4:4" x14ac:dyDescent="0.3">
      <c r="D2524" s="7"/>
    </row>
    <row r="2525" spans="4:4" x14ac:dyDescent="0.3">
      <c r="D2525" s="7"/>
    </row>
    <row r="2526" spans="4:4" x14ac:dyDescent="0.3">
      <c r="D2526" s="7"/>
    </row>
    <row r="2527" spans="4:4" x14ac:dyDescent="0.3">
      <c r="D2527" s="7"/>
    </row>
    <row r="2528" spans="4:4" x14ac:dyDescent="0.3">
      <c r="D2528" s="7"/>
    </row>
    <row r="2529" spans="4:4" x14ac:dyDescent="0.3">
      <c r="D2529" s="7"/>
    </row>
    <row r="2530" spans="4:4" x14ac:dyDescent="0.3">
      <c r="D2530" s="7"/>
    </row>
    <row r="2531" spans="4:4" x14ac:dyDescent="0.3">
      <c r="D2531" s="7"/>
    </row>
    <row r="2532" spans="4:4" x14ac:dyDescent="0.3">
      <c r="D2532" s="7"/>
    </row>
    <row r="2533" spans="4:4" x14ac:dyDescent="0.3">
      <c r="D2533" s="7"/>
    </row>
    <row r="2534" spans="4:4" x14ac:dyDescent="0.3">
      <c r="D2534" s="7"/>
    </row>
    <row r="2535" spans="4:4" x14ac:dyDescent="0.3">
      <c r="D2535" s="7"/>
    </row>
    <row r="2536" spans="4:4" x14ac:dyDescent="0.3">
      <c r="D2536" s="7"/>
    </row>
    <row r="2537" spans="4:4" x14ac:dyDescent="0.3">
      <c r="D2537" s="7"/>
    </row>
    <row r="2538" spans="4:4" x14ac:dyDescent="0.3">
      <c r="D2538" s="7"/>
    </row>
    <row r="2539" spans="4:4" x14ac:dyDescent="0.3">
      <c r="D2539" s="7"/>
    </row>
    <row r="2540" spans="4:4" x14ac:dyDescent="0.3">
      <c r="D2540" s="7"/>
    </row>
    <row r="2541" spans="4:4" x14ac:dyDescent="0.3">
      <c r="D2541" s="7"/>
    </row>
    <row r="2542" spans="4:4" x14ac:dyDescent="0.3">
      <c r="D2542" s="7"/>
    </row>
    <row r="2543" spans="4:4" x14ac:dyDescent="0.3">
      <c r="D2543" s="7"/>
    </row>
    <row r="2544" spans="4:4" x14ac:dyDescent="0.3">
      <c r="D2544" s="7"/>
    </row>
    <row r="2545" spans="4:4" x14ac:dyDescent="0.3">
      <c r="D2545" s="7"/>
    </row>
    <row r="2546" spans="4:4" x14ac:dyDescent="0.3">
      <c r="D2546" s="7"/>
    </row>
    <row r="2547" spans="4:4" x14ac:dyDescent="0.3">
      <c r="D2547" s="7"/>
    </row>
    <row r="2548" spans="4:4" x14ac:dyDescent="0.3">
      <c r="D2548" s="7"/>
    </row>
    <row r="2549" spans="4:4" x14ac:dyDescent="0.3">
      <c r="D2549" s="7"/>
    </row>
    <row r="2550" spans="4:4" x14ac:dyDescent="0.3">
      <c r="D2550" s="7"/>
    </row>
    <row r="2551" spans="4:4" x14ac:dyDescent="0.3">
      <c r="D2551" s="7"/>
    </row>
    <row r="2552" spans="4:4" x14ac:dyDescent="0.3">
      <c r="D2552" s="7"/>
    </row>
    <row r="2553" spans="4:4" x14ac:dyDescent="0.3">
      <c r="D2553" s="7"/>
    </row>
    <row r="2554" spans="4:4" x14ac:dyDescent="0.3">
      <c r="D2554" s="7"/>
    </row>
    <row r="2555" spans="4:4" x14ac:dyDescent="0.3">
      <c r="D2555" s="7"/>
    </row>
    <row r="2556" spans="4:4" x14ac:dyDescent="0.3">
      <c r="D2556" s="7"/>
    </row>
    <row r="2557" spans="4:4" x14ac:dyDescent="0.3">
      <c r="D2557" s="7"/>
    </row>
    <row r="2558" spans="4:4" x14ac:dyDescent="0.3">
      <c r="D2558" s="7"/>
    </row>
    <row r="2559" spans="4:4" x14ac:dyDescent="0.3">
      <c r="D2559" s="7"/>
    </row>
    <row r="2560" spans="4:4" x14ac:dyDescent="0.3">
      <c r="D2560" s="7"/>
    </row>
    <row r="2561" spans="4:4" x14ac:dyDescent="0.3">
      <c r="D2561" s="7"/>
    </row>
    <row r="2562" spans="4:4" x14ac:dyDescent="0.3">
      <c r="D2562" s="7"/>
    </row>
    <row r="2563" spans="4:4" x14ac:dyDescent="0.3">
      <c r="D2563" s="7"/>
    </row>
    <row r="2564" spans="4:4" x14ac:dyDescent="0.3">
      <c r="D2564" s="7"/>
    </row>
    <row r="2565" spans="4:4" x14ac:dyDescent="0.3">
      <c r="D2565" s="7"/>
    </row>
    <row r="2566" spans="4:4" x14ac:dyDescent="0.3">
      <c r="D2566" s="7"/>
    </row>
    <row r="2567" spans="4:4" x14ac:dyDescent="0.3">
      <c r="D2567" s="7"/>
    </row>
    <row r="2568" spans="4:4" x14ac:dyDescent="0.3">
      <c r="D2568" s="7"/>
    </row>
    <row r="2569" spans="4:4" x14ac:dyDescent="0.3">
      <c r="D2569" s="7"/>
    </row>
    <row r="2570" spans="4:4" x14ac:dyDescent="0.3">
      <c r="D2570" s="7"/>
    </row>
    <row r="2571" spans="4:4" x14ac:dyDescent="0.3">
      <c r="D2571" s="7"/>
    </row>
    <row r="2572" spans="4:4" x14ac:dyDescent="0.3">
      <c r="D2572" s="7"/>
    </row>
    <row r="2573" spans="4:4" x14ac:dyDescent="0.3">
      <c r="D2573" s="7"/>
    </row>
    <row r="2574" spans="4:4" x14ac:dyDescent="0.3">
      <c r="D2574" s="7"/>
    </row>
    <row r="2575" spans="4:4" x14ac:dyDescent="0.3">
      <c r="D2575" s="7"/>
    </row>
    <row r="2576" spans="4:4" x14ac:dyDescent="0.3">
      <c r="D2576" s="7"/>
    </row>
    <row r="2577" spans="4:4" x14ac:dyDescent="0.3">
      <c r="D2577" s="7"/>
    </row>
    <row r="2578" spans="4:4" x14ac:dyDescent="0.3">
      <c r="D2578" s="7"/>
    </row>
    <row r="2579" spans="4:4" x14ac:dyDescent="0.3">
      <c r="D2579" s="7"/>
    </row>
    <row r="2580" spans="4:4" x14ac:dyDescent="0.3">
      <c r="D2580" s="7"/>
    </row>
    <row r="2581" spans="4:4" x14ac:dyDescent="0.3">
      <c r="D2581" s="7"/>
    </row>
    <row r="2582" spans="4:4" x14ac:dyDescent="0.3">
      <c r="D2582" s="7"/>
    </row>
    <row r="2583" spans="4:4" x14ac:dyDescent="0.3">
      <c r="D2583" s="7"/>
    </row>
    <row r="2584" spans="4:4" x14ac:dyDescent="0.3">
      <c r="D2584" s="7"/>
    </row>
    <row r="2585" spans="4:4" x14ac:dyDescent="0.3">
      <c r="D2585" s="7"/>
    </row>
    <row r="2586" spans="4:4" x14ac:dyDescent="0.3">
      <c r="D2586" s="7"/>
    </row>
    <row r="2587" spans="4:4" x14ac:dyDescent="0.3">
      <c r="D2587" s="7"/>
    </row>
    <row r="2588" spans="4:4" x14ac:dyDescent="0.3">
      <c r="D2588" s="7"/>
    </row>
    <row r="2589" spans="4:4" x14ac:dyDescent="0.3">
      <c r="D2589" s="7"/>
    </row>
    <row r="2590" spans="4:4" x14ac:dyDescent="0.3">
      <c r="D2590" s="7"/>
    </row>
    <row r="2591" spans="4:4" x14ac:dyDescent="0.3">
      <c r="D2591" s="7"/>
    </row>
    <row r="2592" spans="4:4" x14ac:dyDescent="0.3">
      <c r="D2592" s="7"/>
    </row>
    <row r="2593" spans="4:4" x14ac:dyDescent="0.3">
      <c r="D2593" s="7"/>
    </row>
    <row r="2594" spans="4:4" x14ac:dyDescent="0.3">
      <c r="D2594" s="7"/>
    </row>
    <row r="2595" spans="4:4" x14ac:dyDescent="0.3">
      <c r="D2595" s="7"/>
    </row>
    <row r="2596" spans="4:4" x14ac:dyDescent="0.3">
      <c r="D2596" s="7"/>
    </row>
    <row r="2597" spans="4:4" x14ac:dyDescent="0.3">
      <c r="D2597" s="7"/>
    </row>
    <row r="2598" spans="4:4" x14ac:dyDescent="0.3">
      <c r="D2598" s="7"/>
    </row>
    <row r="2599" spans="4:4" x14ac:dyDescent="0.3">
      <c r="D2599" s="7"/>
    </row>
    <row r="2600" spans="4:4" x14ac:dyDescent="0.3">
      <c r="D2600" s="7"/>
    </row>
    <row r="2601" spans="4:4" x14ac:dyDescent="0.3">
      <c r="D2601" s="7"/>
    </row>
    <row r="2602" spans="4:4" x14ac:dyDescent="0.3">
      <c r="D2602" s="7"/>
    </row>
    <row r="2603" spans="4:4" x14ac:dyDescent="0.3">
      <c r="D2603" s="7"/>
    </row>
    <row r="2604" spans="4:4" x14ac:dyDescent="0.3">
      <c r="D2604" s="7"/>
    </row>
    <row r="2605" spans="4:4" x14ac:dyDescent="0.3">
      <c r="D2605" s="7"/>
    </row>
    <row r="2606" spans="4:4" x14ac:dyDescent="0.3">
      <c r="D2606" s="7"/>
    </row>
    <row r="2607" spans="4:4" x14ac:dyDescent="0.3">
      <c r="D2607" s="7"/>
    </row>
    <row r="2608" spans="4:4" x14ac:dyDescent="0.3">
      <c r="D2608" s="7"/>
    </row>
    <row r="2609" spans="4:4" x14ac:dyDescent="0.3">
      <c r="D2609" s="7"/>
    </row>
    <row r="2610" spans="4:4" x14ac:dyDescent="0.3">
      <c r="D2610" s="7"/>
    </row>
    <row r="2611" spans="4:4" x14ac:dyDescent="0.3">
      <c r="D2611" s="7"/>
    </row>
    <row r="2612" spans="4:4" x14ac:dyDescent="0.3">
      <c r="D2612" s="7"/>
    </row>
    <row r="2613" spans="4:4" x14ac:dyDescent="0.3">
      <c r="D2613" s="7"/>
    </row>
    <row r="2614" spans="4:4" x14ac:dyDescent="0.3">
      <c r="D2614" s="7"/>
    </row>
    <row r="2615" spans="4:4" x14ac:dyDescent="0.3">
      <c r="D2615" s="7"/>
    </row>
    <row r="2616" spans="4:4" x14ac:dyDescent="0.3">
      <c r="D2616" s="7"/>
    </row>
    <row r="2617" spans="4:4" x14ac:dyDescent="0.3">
      <c r="D2617" s="7"/>
    </row>
    <row r="2618" spans="4:4" x14ac:dyDescent="0.3">
      <c r="D2618" s="7"/>
    </row>
    <row r="2619" spans="4:4" x14ac:dyDescent="0.3">
      <c r="D2619" s="7"/>
    </row>
    <row r="2620" spans="4:4" x14ac:dyDescent="0.3">
      <c r="D2620" s="7"/>
    </row>
    <row r="2621" spans="4:4" x14ac:dyDescent="0.3">
      <c r="D2621" s="7"/>
    </row>
    <row r="2622" spans="4:4" x14ac:dyDescent="0.3">
      <c r="D2622" s="7"/>
    </row>
    <row r="2623" spans="4:4" x14ac:dyDescent="0.3">
      <c r="D2623" s="7"/>
    </row>
    <row r="2624" spans="4:4" x14ac:dyDescent="0.3">
      <c r="D2624" s="7"/>
    </row>
    <row r="2625" spans="4:4" x14ac:dyDescent="0.3">
      <c r="D2625" s="7"/>
    </row>
    <row r="2626" spans="4:4" x14ac:dyDescent="0.3">
      <c r="D2626" s="7"/>
    </row>
    <row r="2627" spans="4:4" x14ac:dyDescent="0.3">
      <c r="D2627" s="7"/>
    </row>
    <row r="2628" spans="4:4" x14ac:dyDescent="0.3">
      <c r="D2628" s="7"/>
    </row>
    <row r="2629" spans="4:4" x14ac:dyDescent="0.3">
      <c r="D2629" s="7"/>
    </row>
    <row r="2630" spans="4:4" x14ac:dyDescent="0.3">
      <c r="D2630" s="7"/>
    </row>
    <row r="2631" spans="4:4" x14ac:dyDescent="0.3">
      <c r="D2631" s="7"/>
    </row>
    <row r="2632" spans="4:4" x14ac:dyDescent="0.3">
      <c r="D2632" s="7"/>
    </row>
    <row r="2633" spans="4:4" x14ac:dyDescent="0.3">
      <c r="D2633" s="7"/>
    </row>
    <row r="2634" spans="4:4" x14ac:dyDescent="0.3">
      <c r="D2634" s="7"/>
    </row>
    <row r="2635" spans="4:4" x14ac:dyDescent="0.3">
      <c r="D2635" s="7"/>
    </row>
    <row r="2636" spans="4:4" x14ac:dyDescent="0.3">
      <c r="D2636" s="7"/>
    </row>
    <row r="2637" spans="4:4" x14ac:dyDescent="0.3">
      <c r="D2637" s="7"/>
    </row>
    <row r="2638" spans="4:4" x14ac:dyDescent="0.3">
      <c r="D2638" s="7"/>
    </row>
    <row r="2639" spans="4:4" x14ac:dyDescent="0.3">
      <c r="D2639" s="7"/>
    </row>
    <row r="2640" spans="4:4" x14ac:dyDescent="0.3">
      <c r="D2640" s="7"/>
    </row>
    <row r="2641" spans="4:4" x14ac:dyDescent="0.3">
      <c r="D2641" s="7"/>
    </row>
    <row r="2642" spans="4:4" x14ac:dyDescent="0.3">
      <c r="D2642" s="7"/>
    </row>
    <row r="2643" spans="4:4" x14ac:dyDescent="0.3">
      <c r="D2643" s="7"/>
    </row>
    <row r="2644" spans="4:4" x14ac:dyDescent="0.3">
      <c r="D2644" s="7"/>
    </row>
    <row r="2645" spans="4:4" x14ac:dyDescent="0.3">
      <c r="D2645" s="7"/>
    </row>
    <row r="2646" spans="4:4" x14ac:dyDescent="0.3">
      <c r="D2646" s="7"/>
    </row>
    <row r="2647" spans="4:4" x14ac:dyDescent="0.3">
      <c r="D2647" s="7"/>
    </row>
    <row r="2648" spans="4:4" x14ac:dyDescent="0.3">
      <c r="D2648" s="7"/>
    </row>
    <row r="2649" spans="4:4" x14ac:dyDescent="0.3">
      <c r="D2649" s="7"/>
    </row>
    <row r="2650" spans="4:4" x14ac:dyDescent="0.3">
      <c r="D2650" s="7"/>
    </row>
    <row r="2651" spans="4:4" x14ac:dyDescent="0.3">
      <c r="D2651" s="7"/>
    </row>
    <row r="2652" spans="4:4" x14ac:dyDescent="0.3">
      <c r="D2652" s="7"/>
    </row>
    <row r="2653" spans="4:4" x14ac:dyDescent="0.3">
      <c r="D2653" s="7"/>
    </row>
    <row r="2654" spans="4:4" x14ac:dyDescent="0.3">
      <c r="D2654" s="7"/>
    </row>
    <row r="2655" spans="4:4" x14ac:dyDescent="0.3">
      <c r="D2655" s="7"/>
    </row>
    <row r="2656" spans="4:4" x14ac:dyDescent="0.3">
      <c r="D2656" s="7"/>
    </row>
    <row r="2657" spans="4:4" x14ac:dyDescent="0.3">
      <c r="D2657" s="7"/>
    </row>
    <row r="2658" spans="4:4" x14ac:dyDescent="0.3">
      <c r="D2658" s="7"/>
    </row>
    <row r="2659" spans="4:4" x14ac:dyDescent="0.3">
      <c r="D2659" s="7"/>
    </row>
    <row r="2660" spans="4:4" x14ac:dyDescent="0.3">
      <c r="D2660" s="7"/>
    </row>
    <row r="2661" spans="4:4" x14ac:dyDescent="0.3">
      <c r="D2661" s="7"/>
    </row>
    <row r="2662" spans="4:4" x14ac:dyDescent="0.3">
      <c r="D2662" s="7"/>
    </row>
    <row r="2663" spans="4:4" x14ac:dyDescent="0.3">
      <c r="D2663" s="7"/>
    </row>
    <row r="2664" spans="4:4" x14ac:dyDescent="0.3">
      <c r="D2664" s="7"/>
    </row>
    <row r="2665" spans="4:4" x14ac:dyDescent="0.3">
      <c r="D2665" s="7"/>
    </row>
    <row r="2666" spans="4:4" x14ac:dyDescent="0.3">
      <c r="D2666" s="7"/>
    </row>
    <row r="2667" spans="4:4" x14ac:dyDescent="0.3">
      <c r="D2667" s="7"/>
    </row>
    <row r="2668" spans="4:4" x14ac:dyDescent="0.3">
      <c r="D2668" s="7"/>
    </row>
    <row r="2669" spans="4:4" x14ac:dyDescent="0.3">
      <c r="D2669" s="7"/>
    </row>
    <row r="2670" spans="4:4" x14ac:dyDescent="0.3">
      <c r="D2670" s="7"/>
    </row>
    <row r="2671" spans="4:4" x14ac:dyDescent="0.3">
      <c r="D2671" s="7"/>
    </row>
    <row r="2672" spans="4:4" x14ac:dyDescent="0.3">
      <c r="D2672" s="7"/>
    </row>
    <row r="2673" spans="4:4" x14ac:dyDescent="0.3">
      <c r="D2673" s="7"/>
    </row>
    <row r="2674" spans="4:4" x14ac:dyDescent="0.3">
      <c r="D2674" s="7"/>
    </row>
    <row r="2675" spans="4:4" x14ac:dyDescent="0.3">
      <c r="D2675" s="7"/>
    </row>
    <row r="2676" spans="4:4" x14ac:dyDescent="0.3">
      <c r="D2676" s="7"/>
    </row>
    <row r="2677" spans="4:4" x14ac:dyDescent="0.3">
      <c r="D2677" s="7"/>
    </row>
    <row r="2678" spans="4:4" x14ac:dyDescent="0.3">
      <c r="D2678" s="7"/>
    </row>
    <row r="2679" spans="4:4" x14ac:dyDescent="0.3">
      <c r="D2679" s="7"/>
    </row>
    <row r="2680" spans="4:4" x14ac:dyDescent="0.3">
      <c r="D2680" s="7"/>
    </row>
    <row r="2681" spans="4:4" x14ac:dyDescent="0.3">
      <c r="D2681" s="7"/>
    </row>
    <row r="2682" spans="4:4" x14ac:dyDescent="0.3">
      <c r="D2682" s="7"/>
    </row>
    <row r="2683" spans="4:4" x14ac:dyDescent="0.3">
      <c r="D2683" s="7"/>
    </row>
    <row r="2684" spans="4:4" x14ac:dyDescent="0.3">
      <c r="D2684" s="7"/>
    </row>
    <row r="2685" spans="4:4" x14ac:dyDescent="0.3">
      <c r="D2685" s="7"/>
    </row>
    <row r="2686" spans="4:4" x14ac:dyDescent="0.3">
      <c r="D2686" s="7"/>
    </row>
    <row r="2687" spans="4:4" x14ac:dyDescent="0.3">
      <c r="D2687" s="7"/>
    </row>
    <row r="2688" spans="4:4" x14ac:dyDescent="0.3">
      <c r="D2688" s="7"/>
    </row>
    <row r="2689" spans="4:4" x14ac:dyDescent="0.3">
      <c r="D2689" s="7"/>
    </row>
    <row r="2690" spans="4:4" x14ac:dyDescent="0.3">
      <c r="D2690" s="7"/>
    </row>
    <row r="2691" spans="4:4" x14ac:dyDescent="0.3">
      <c r="D2691" s="7"/>
    </row>
    <row r="2692" spans="4:4" x14ac:dyDescent="0.3">
      <c r="D2692" s="7"/>
    </row>
    <row r="2693" spans="4:4" x14ac:dyDescent="0.3">
      <c r="D2693" s="7"/>
    </row>
    <row r="2694" spans="4:4" x14ac:dyDescent="0.3">
      <c r="D2694" s="7"/>
    </row>
    <row r="2695" spans="4:4" x14ac:dyDescent="0.3">
      <c r="D2695" s="7"/>
    </row>
    <row r="2696" spans="4:4" x14ac:dyDescent="0.3">
      <c r="D2696" s="7"/>
    </row>
    <row r="2697" spans="4:4" x14ac:dyDescent="0.3">
      <c r="D2697" s="7"/>
    </row>
    <row r="2698" spans="4:4" x14ac:dyDescent="0.3">
      <c r="D2698" s="7"/>
    </row>
    <row r="2699" spans="4:4" x14ac:dyDescent="0.3">
      <c r="D2699" s="7"/>
    </row>
    <row r="2700" spans="4:4" x14ac:dyDescent="0.3">
      <c r="D2700" s="7"/>
    </row>
    <row r="2701" spans="4:4" x14ac:dyDescent="0.3">
      <c r="D2701" s="7"/>
    </row>
    <row r="2702" spans="4:4" x14ac:dyDescent="0.3">
      <c r="D2702" s="7"/>
    </row>
    <row r="2703" spans="4:4" x14ac:dyDescent="0.3">
      <c r="D2703" s="7"/>
    </row>
    <row r="2704" spans="4:4" x14ac:dyDescent="0.3">
      <c r="D2704" s="7"/>
    </row>
    <row r="2705" spans="4:4" x14ac:dyDescent="0.3">
      <c r="D2705" s="7"/>
    </row>
    <row r="2706" spans="4:4" x14ac:dyDescent="0.3">
      <c r="D2706" s="7"/>
    </row>
    <row r="2707" spans="4:4" x14ac:dyDescent="0.3">
      <c r="D2707" s="7"/>
    </row>
    <row r="2708" spans="4:4" x14ac:dyDescent="0.3">
      <c r="D2708" s="7"/>
    </row>
    <row r="2709" spans="4:4" x14ac:dyDescent="0.3">
      <c r="D2709" s="7"/>
    </row>
    <row r="2710" spans="4:4" x14ac:dyDescent="0.3">
      <c r="D2710" s="7"/>
    </row>
    <row r="2711" spans="4:4" x14ac:dyDescent="0.3">
      <c r="D2711" s="7"/>
    </row>
    <row r="2712" spans="4:4" x14ac:dyDescent="0.3">
      <c r="D2712" s="7"/>
    </row>
    <row r="2713" spans="4:4" x14ac:dyDescent="0.3">
      <c r="D2713" s="7"/>
    </row>
    <row r="2714" spans="4:4" x14ac:dyDescent="0.3">
      <c r="D2714" s="7"/>
    </row>
    <row r="2715" spans="4:4" x14ac:dyDescent="0.3">
      <c r="D2715" s="7"/>
    </row>
    <row r="2716" spans="4:4" x14ac:dyDescent="0.3">
      <c r="D2716" s="7"/>
    </row>
    <row r="2717" spans="4:4" x14ac:dyDescent="0.3">
      <c r="D2717" s="7"/>
    </row>
    <row r="2718" spans="4:4" x14ac:dyDescent="0.3">
      <c r="D2718" s="7"/>
    </row>
    <row r="2719" spans="4:4" x14ac:dyDescent="0.3">
      <c r="D2719" s="7"/>
    </row>
    <row r="2720" spans="4:4" x14ac:dyDescent="0.3">
      <c r="D2720" s="7"/>
    </row>
    <row r="2721" spans="4:4" x14ac:dyDescent="0.3">
      <c r="D2721" s="7"/>
    </row>
    <row r="2722" spans="4:4" x14ac:dyDescent="0.3">
      <c r="D2722" s="7"/>
    </row>
    <row r="2723" spans="4:4" x14ac:dyDescent="0.3">
      <c r="D2723" s="7"/>
    </row>
    <row r="2724" spans="4:4" x14ac:dyDescent="0.3">
      <c r="D2724" s="7"/>
    </row>
    <row r="2725" spans="4:4" x14ac:dyDescent="0.3">
      <c r="D2725" s="7"/>
    </row>
    <row r="2726" spans="4:4" x14ac:dyDescent="0.3">
      <c r="D2726" s="7"/>
    </row>
    <row r="2727" spans="4:4" x14ac:dyDescent="0.3">
      <c r="D2727" s="7"/>
    </row>
    <row r="2728" spans="4:4" x14ac:dyDescent="0.3">
      <c r="D2728" s="7"/>
    </row>
    <row r="2729" spans="4:4" x14ac:dyDescent="0.3">
      <c r="D2729" s="7"/>
    </row>
    <row r="2730" spans="4:4" x14ac:dyDescent="0.3">
      <c r="D2730" s="7"/>
    </row>
    <row r="2731" spans="4:4" x14ac:dyDescent="0.3">
      <c r="D2731" s="7"/>
    </row>
    <row r="2732" spans="4:4" x14ac:dyDescent="0.3">
      <c r="D2732" s="7"/>
    </row>
    <row r="2733" spans="4:4" x14ac:dyDescent="0.3">
      <c r="D2733" s="7"/>
    </row>
    <row r="2734" spans="4:4" x14ac:dyDescent="0.3">
      <c r="D2734" s="7"/>
    </row>
    <row r="2735" spans="4:4" x14ac:dyDescent="0.3">
      <c r="D2735" s="7"/>
    </row>
    <row r="2736" spans="4:4" x14ac:dyDescent="0.3">
      <c r="D2736" s="7"/>
    </row>
    <row r="2737" spans="4:4" x14ac:dyDescent="0.3">
      <c r="D2737" s="7"/>
    </row>
    <row r="2738" spans="4:4" x14ac:dyDescent="0.3">
      <c r="D2738" s="7"/>
    </row>
    <row r="2739" spans="4:4" x14ac:dyDescent="0.3">
      <c r="D2739" s="7"/>
    </row>
    <row r="2740" spans="4:4" x14ac:dyDescent="0.3">
      <c r="D2740" s="7"/>
    </row>
    <row r="2741" spans="4:4" x14ac:dyDescent="0.3">
      <c r="D2741" s="7"/>
    </row>
    <row r="2742" spans="4:4" x14ac:dyDescent="0.3">
      <c r="D2742" s="7"/>
    </row>
    <row r="2743" spans="4:4" x14ac:dyDescent="0.3">
      <c r="D2743" s="7"/>
    </row>
    <row r="2744" spans="4:4" x14ac:dyDescent="0.3">
      <c r="D2744" s="7"/>
    </row>
    <row r="2745" spans="4:4" x14ac:dyDescent="0.3">
      <c r="D2745" s="7"/>
    </row>
    <row r="2746" spans="4:4" x14ac:dyDescent="0.3">
      <c r="D2746" s="7"/>
    </row>
    <row r="2747" spans="4:4" x14ac:dyDescent="0.3">
      <c r="D2747" s="7"/>
    </row>
    <row r="2748" spans="4:4" x14ac:dyDescent="0.3">
      <c r="D2748" s="7"/>
    </row>
    <row r="2749" spans="4:4" x14ac:dyDescent="0.3">
      <c r="D2749" s="7"/>
    </row>
    <row r="2750" spans="4:4" x14ac:dyDescent="0.3">
      <c r="D2750" s="7"/>
    </row>
    <row r="2751" spans="4:4" x14ac:dyDescent="0.3">
      <c r="D2751" s="7"/>
    </row>
    <row r="2752" spans="4:4" x14ac:dyDescent="0.3">
      <c r="D2752" s="7"/>
    </row>
    <row r="2753" spans="4:4" x14ac:dyDescent="0.3">
      <c r="D2753" s="7"/>
    </row>
    <row r="2754" spans="4:4" x14ac:dyDescent="0.3">
      <c r="D2754" s="7"/>
    </row>
    <row r="2755" spans="4:4" x14ac:dyDescent="0.3">
      <c r="D2755" s="7"/>
    </row>
    <row r="2756" spans="4:4" x14ac:dyDescent="0.3">
      <c r="D2756" s="7"/>
    </row>
    <row r="2757" spans="4:4" x14ac:dyDescent="0.3">
      <c r="D2757" s="7"/>
    </row>
    <row r="2758" spans="4:4" x14ac:dyDescent="0.3">
      <c r="D2758" s="7"/>
    </row>
    <row r="2759" spans="4:4" x14ac:dyDescent="0.3">
      <c r="D2759" s="7"/>
    </row>
    <row r="2760" spans="4:4" x14ac:dyDescent="0.3">
      <c r="D2760" s="7"/>
    </row>
    <row r="2761" spans="4:4" x14ac:dyDescent="0.3">
      <c r="D2761" s="7"/>
    </row>
    <row r="2762" spans="4:4" x14ac:dyDescent="0.3">
      <c r="D2762" s="7"/>
    </row>
    <row r="2763" spans="4:4" x14ac:dyDescent="0.3">
      <c r="D2763" s="7"/>
    </row>
    <row r="2764" spans="4:4" x14ac:dyDescent="0.3">
      <c r="D2764" s="7"/>
    </row>
    <row r="2765" spans="4:4" x14ac:dyDescent="0.3">
      <c r="D2765" s="7"/>
    </row>
    <row r="2766" spans="4:4" x14ac:dyDescent="0.3">
      <c r="D2766" s="7"/>
    </row>
    <row r="2767" spans="4:4" x14ac:dyDescent="0.3">
      <c r="D2767" s="7"/>
    </row>
    <row r="2768" spans="4:4" x14ac:dyDescent="0.3">
      <c r="D2768" s="7"/>
    </row>
    <row r="2769" spans="4:4" x14ac:dyDescent="0.3">
      <c r="D2769" s="7"/>
    </row>
    <row r="2770" spans="4:4" x14ac:dyDescent="0.3">
      <c r="D2770" s="7"/>
    </row>
    <row r="2771" spans="4:4" x14ac:dyDescent="0.3">
      <c r="D2771" s="7"/>
    </row>
    <row r="2772" spans="4:4" x14ac:dyDescent="0.3">
      <c r="D2772" s="7"/>
    </row>
    <row r="2773" spans="4:4" x14ac:dyDescent="0.3">
      <c r="D2773" s="7"/>
    </row>
    <row r="2774" spans="4:4" x14ac:dyDescent="0.3">
      <c r="D2774" s="7"/>
    </row>
    <row r="2775" spans="4:4" x14ac:dyDescent="0.3">
      <c r="D2775" s="7"/>
    </row>
    <row r="2776" spans="4:4" x14ac:dyDescent="0.3">
      <c r="D2776" s="7"/>
    </row>
    <row r="2777" spans="4:4" x14ac:dyDescent="0.3">
      <c r="D2777" s="7"/>
    </row>
    <row r="2778" spans="4:4" x14ac:dyDescent="0.3">
      <c r="D2778" s="7"/>
    </row>
    <row r="2779" spans="4:4" x14ac:dyDescent="0.3">
      <c r="D2779" s="7"/>
    </row>
    <row r="2780" spans="4:4" x14ac:dyDescent="0.3">
      <c r="D2780" s="7"/>
    </row>
    <row r="2781" spans="4:4" x14ac:dyDescent="0.3">
      <c r="D2781" s="7"/>
    </row>
    <row r="2782" spans="4:4" x14ac:dyDescent="0.3">
      <c r="D2782" s="7"/>
    </row>
    <row r="2783" spans="4:4" x14ac:dyDescent="0.3">
      <c r="D2783" s="7"/>
    </row>
    <row r="2784" spans="4:4" x14ac:dyDescent="0.3">
      <c r="D2784" s="7"/>
    </row>
    <row r="2785" spans="4:4" x14ac:dyDescent="0.3">
      <c r="D2785" s="7"/>
    </row>
    <row r="2786" spans="4:4" x14ac:dyDescent="0.3">
      <c r="D2786" s="7"/>
    </row>
    <row r="2787" spans="4:4" x14ac:dyDescent="0.3">
      <c r="D2787" s="7"/>
    </row>
    <row r="2788" spans="4:4" x14ac:dyDescent="0.3">
      <c r="D2788" s="7"/>
    </row>
    <row r="2789" spans="4:4" x14ac:dyDescent="0.3">
      <c r="D2789" s="7"/>
    </row>
    <row r="2790" spans="4:4" x14ac:dyDescent="0.3">
      <c r="D2790" s="7"/>
    </row>
    <row r="2791" spans="4:4" x14ac:dyDescent="0.3">
      <c r="D2791" s="7"/>
    </row>
    <row r="2792" spans="4:4" x14ac:dyDescent="0.3">
      <c r="D2792" s="7"/>
    </row>
    <row r="2793" spans="4:4" x14ac:dyDescent="0.3">
      <c r="D2793" s="7"/>
    </row>
    <row r="2794" spans="4:4" x14ac:dyDescent="0.3">
      <c r="D2794" s="7"/>
    </row>
    <row r="2795" spans="4:4" x14ac:dyDescent="0.3">
      <c r="D2795" s="7"/>
    </row>
    <row r="2796" spans="4:4" x14ac:dyDescent="0.3">
      <c r="D2796" s="7"/>
    </row>
    <row r="2797" spans="4:4" x14ac:dyDescent="0.3">
      <c r="D2797" s="7"/>
    </row>
    <row r="2798" spans="4:4" x14ac:dyDescent="0.3">
      <c r="D2798" s="7"/>
    </row>
    <row r="2799" spans="4:4" x14ac:dyDescent="0.3">
      <c r="D2799" s="7"/>
    </row>
    <row r="2800" spans="4:4" x14ac:dyDescent="0.3">
      <c r="D2800" s="7"/>
    </row>
    <row r="2801" spans="4:4" x14ac:dyDescent="0.3">
      <c r="D2801" s="7"/>
    </row>
    <row r="2802" spans="4:4" x14ac:dyDescent="0.3">
      <c r="D2802" s="7"/>
    </row>
    <row r="2803" spans="4:4" x14ac:dyDescent="0.3">
      <c r="D2803" s="7"/>
    </row>
    <row r="2804" spans="4:4" x14ac:dyDescent="0.3">
      <c r="D2804" s="7"/>
    </row>
    <row r="2805" spans="4:4" x14ac:dyDescent="0.3">
      <c r="D2805" s="7"/>
    </row>
    <row r="2806" spans="4:4" x14ac:dyDescent="0.3">
      <c r="D2806" s="7"/>
    </row>
    <row r="2807" spans="4:4" x14ac:dyDescent="0.3">
      <c r="D2807" s="7"/>
    </row>
    <row r="2808" spans="4:4" x14ac:dyDescent="0.3">
      <c r="D2808" s="7"/>
    </row>
    <row r="2809" spans="4:4" x14ac:dyDescent="0.3">
      <c r="D2809" s="7"/>
    </row>
    <row r="2810" spans="4:4" x14ac:dyDescent="0.3">
      <c r="D2810" s="7"/>
    </row>
    <row r="2811" spans="4:4" x14ac:dyDescent="0.3">
      <c r="D2811" s="7"/>
    </row>
    <row r="2812" spans="4:4" x14ac:dyDescent="0.3">
      <c r="D2812" s="7"/>
    </row>
    <row r="2813" spans="4:4" x14ac:dyDescent="0.3">
      <c r="D2813" s="7"/>
    </row>
    <row r="2814" spans="4:4" x14ac:dyDescent="0.3">
      <c r="D2814" s="7"/>
    </row>
    <row r="2815" spans="4:4" x14ac:dyDescent="0.3">
      <c r="D2815" s="7"/>
    </row>
    <row r="2816" spans="4:4" x14ac:dyDescent="0.3">
      <c r="D2816" s="7"/>
    </row>
    <row r="2817" spans="4:4" x14ac:dyDescent="0.3">
      <c r="D2817" s="7"/>
    </row>
    <row r="2818" spans="4:4" x14ac:dyDescent="0.3">
      <c r="D2818" s="7"/>
    </row>
    <row r="2819" spans="4:4" x14ac:dyDescent="0.3">
      <c r="D2819" s="7"/>
    </row>
    <row r="2820" spans="4:4" x14ac:dyDescent="0.3">
      <c r="D2820" s="7"/>
    </row>
    <row r="2821" spans="4:4" x14ac:dyDescent="0.3">
      <c r="D2821" s="7"/>
    </row>
    <row r="2822" spans="4:4" x14ac:dyDescent="0.3">
      <c r="D2822" s="7"/>
    </row>
    <row r="2823" spans="4:4" x14ac:dyDescent="0.3">
      <c r="D2823" s="7"/>
    </row>
    <row r="2824" spans="4:4" x14ac:dyDescent="0.3">
      <c r="D2824" s="7"/>
    </row>
    <row r="2825" spans="4:4" x14ac:dyDescent="0.3">
      <c r="D2825" s="7"/>
    </row>
    <row r="2826" spans="4:4" x14ac:dyDescent="0.3">
      <c r="D2826" s="7"/>
    </row>
    <row r="2827" spans="4:4" x14ac:dyDescent="0.3">
      <c r="D2827" s="7"/>
    </row>
    <row r="2828" spans="4:4" x14ac:dyDescent="0.3">
      <c r="D2828" s="7"/>
    </row>
    <row r="2829" spans="4:4" x14ac:dyDescent="0.3">
      <c r="D2829" s="7"/>
    </row>
    <row r="2830" spans="4:4" x14ac:dyDescent="0.3">
      <c r="D2830" s="7"/>
    </row>
    <row r="2831" spans="4:4" x14ac:dyDescent="0.3">
      <c r="D2831" s="7"/>
    </row>
    <row r="2832" spans="4:4" x14ac:dyDescent="0.3">
      <c r="D2832" s="7"/>
    </row>
    <row r="2833" spans="4:4" x14ac:dyDescent="0.3">
      <c r="D2833" s="7"/>
    </row>
    <row r="2834" spans="4:4" x14ac:dyDescent="0.3">
      <c r="D2834" s="7"/>
    </row>
    <row r="2835" spans="4:4" x14ac:dyDescent="0.3">
      <c r="D2835" s="7"/>
    </row>
    <row r="2836" spans="4:4" x14ac:dyDescent="0.3">
      <c r="D2836" s="7"/>
    </row>
    <row r="2837" spans="4:4" x14ac:dyDescent="0.3">
      <c r="D2837" s="7"/>
    </row>
    <row r="2838" spans="4:4" x14ac:dyDescent="0.3">
      <c r="D2838" s="7"/>
    </row>
    <row r="2839" spans="4:4" x14ac:dyDescent="0.3">
      <c r="D2839" s="7"/>
    </row>
    <row r="2840" spans="4:4" x14ac:dyDescent="0.3">
      <c r="D2840" s="7"/>
    </row>
    <row r="2841" spans="4:4" x14ac:dyDescent="0.3">
      <c r="D2841" s="7"/>
    </row>
    <row r="2842" spans="4:4" x14ac:dyDescent="0.3">
      <c r="D2842" s="7"/>
    </row>
    <row r="2843" spans="4:4" x14ac:dyDescent="0.3">
      <c r="D2843" s="7"/>
    </row>
    <row r="2844" spans="4:4" x14ac:dyDescent="0.3">
      <c r="D2844" s="7"/>
    </row>
    <row r="2845" spans="4:4" x14ac:dyDescent="0.3">
      <c r="D2845" s="7"/>
    </row>
    <row r="2846" spans="4:4" x14ac:dyDescent="0.3">
      <c r="D2846" s="7"/>
    </row>
    <row r="2847" spans="4:4" x14ac:dyDescent="0.3">
      <c r="D2847" s="7"/>
    </row>
    <row r="2848" spans="4:4" x14ac:dyDescent="0.3">
      <c r="D2848" s="7"/>
    </row>
    <row r="2849" spans="4:4" x14ac:dyDescent="0.3">
      <c r="D2849" s="7"/>
    </row>
    <row r="2850" spans="4:4" x14ac:dyDescent="0.3">
      <c r="D2850" s="7"/>
    </row>
    <row r="2851" spans="4:4" x14ac:dyDescent="0.3">
      <c r="D2851" s="7"/>
    </row>
    <row r="2852" spans="4:4" x14ac:dyDescent="0.3">
      <c r="D2852" s="7"/>
    </row>
    <row r="2853" spans="4:4" x14ac:dyDescent="0.3">
      <c r="D2853" s="7"/>
    </row>
    <row r="2854" spans="4:4" x14ac:dyDescent="0.3">
      <c r="D2854" s="7"/>
    </row>
    <row r="2855" spans="4:4" x14ac:dyDescent="0.3">
      <c r="D2855" s="7"/>
    </row>
    <row r="2856" spans="4:4" x14ac:dyDescent="0.3">
      <c r="D2856" s="7"/>
    </row>
    <row r="2857" spans="4:4" x14ac:dyDescent="0.3">
      <c r="D2857" s="7"/>
    </row>
    <row r="2858" spans="4:4" x14ac:dyDescent="0.3">
      <c r="D2858" s="7"/>
    </row>
    <row r="2859" spans="4:4" x14ac:dyDescent="0.3">
      <c r="D2859" s="7"/>
    </row>
    <row r="2860" spans="4:4" x14ac:dyDescent="0.3">
      <c r="D2860" s="7"/>
    </row>
    <row r="2861" spans="4:4" x14ac:dyDescent="0.3">
      <c r="D2861" s="7"/>
    </row>
    <row r="2862" spans="4:4" x14ac:dyDescent="0.3">
      <c r="D2862" s="7"/>
    </row>
    <row r="2863" spans="4:4" x14ac:dyDescent="0.3">
      <c r="D2863" s="7"/>
    </row>
    <row r="2864" spans="4:4" x14ac:dyDescent="0.3">
      <c r="D2864" s="7"/>
    </row>
    <row r="2865" spans="4:4" x14ac:dyDescent="0.3">
      <c r="D2865" s="7"/>
    </row>
    <row r="2866" spans="4:4" x14ac:dyDescent="0.3">
      <c r="D2866" s="7"/>
    </row>
    <row r="2867" spans="4:4" x14ac:dyDescent="0.3">
      <c r="D2867" s="7"/>
    </row>
    <row r="2868" spans="4:4" x14ac:dyDescent="0.3">
      <c r="D2868" s="7"/>
    </row>
    <row r="2869" spans="4:4" x14ac:dyDescent="0.3">
      <c r="D2869" s="7"/>
    </row>
    <row r="2870" spans="4:4" x14ac:dyDescent="0.3">
      <c r="D2870" s="7"/>
    </row>
    <row r="2871" spans="4:4" x14ac:dyDescent="0.3">
      <c r="D2871" s="7"/>
    </row>
    <row r="2872" spans="4:4" x14ac:dyDescent="0.3">
      <c r="D2872" s="7"/>
    </row>
    <row r="2873" spans="4:4" x14ac:dyDescent="0.3">
      <c r="D2873" s="7"/>
    </row>
    <row r="2874" spans="4:4" x14ac:dyDescent="0.3">
      <c r="D2874" s="7"/>
    </row>
    <row r="2875" spans="4:4" x14ac:dyDescent="0.3">
      <c r="D2875" s="7"/>
    </row>
    <row r="2876" spans="4:4" x14ac:dyDescent="0.3">
      <c r="D2876" s="7"/>
    </row>
    <row r="2877" spans="4:4" x14ac:dyDescent="0.3">
      <c r="D2877" s="7"/>
    </row>
    <row r="2878" spans="4:4" x14ac:dyDescent="0.3">
      <c r="D2878" s="7"/>
    </row>
    <row r="2879" spans="4:4" x14ac:dyDescent="0.3">
      <c r="D2879" s="7"/>
    </row>
    <row r="2880" spans="4:4" x14ac:dyDescent="0.3">
      <c r="D2880" s="7"/>
    </row>
    <row r="2881" spans="4:4" x14ac:dyDescent="0.3">
      <c r="D2881" s="7"/>
    </row>
    <row r="2882" spans="4:4" x14ac:dyDescent="0.3">
      <c r="D2882" s="7"/>
    </row>
    <row r="2883" spans="4:4" x14ac:dyDescent="0.3">
      <c r="D2883" s="7"/>
    </row>
    <row r="2884" spans="4:4" x14ac:dyDescent="0.3">
      <c r="D2884" s="7"/>
    </row>
    <row r="2885" spans="4:4" x14ac:dyDescent="0.3">
      <c r="D2885" s="7"/>
    </row>
    <row r="2886" spans="4:4" x14ac:dyDescent="0.3">
      <c r="D2886" s="7"/>
    </row>
    <row r="2887" spans="4:4" x14ac:dyDescent="0.3">
      <c r="D2887" s="7"/>
    </row>
    <row r="2888" spans="4:4" x14ac:dyDescent="0.3">
      <c r="D2888" s="7"/>
    </row>
    <row r="2889" spans="4:4" x14ac:dyDescent="0.3">
      <c r="D2889" s="7"/>
    </row>
    <row r="2890" spans="4:4" x14ac:dyDescent="0.3">
      <c r="D2890" s="7"/>
    </row>
    <row r="2891" spans="4:4" x14ac:dyDescent="0.3">
      <c r="D2891" s="7"/>
    </row>
    <row r="2892" spans="4:4" x14ac:dyDescent="0.3">
      <c r="D2892" s="7"/>
    </row>
    <row r="2893" spans="4:4" x14ac:dyDescent="0.3">
      <c r="D2893" s="7"/>
    </row>
    <row r="2894" spans="4:4" x14ac:dyDescent="0.3">
      <c r="D2894" s="7"/>
    </row>
    <row r="2895" spans="4:4" x14ac:dyDescent="0.3">
      <c r="D2895" s="7"/>
    </row>
    <row r="2896" spans="4:4" x14ac:dyDescent="0.3">
      <c r="D2896" s="7"/>
    </row>
    <row r="2897" spans="4:4" x14ac:dyDescent="0.3">
      <c r="D2897" s="7"/>
    </row>
    <row r="2898" spans="4:4" x14ac:dyDescent="0.3">
      <c r="D2898" s="7"/>
    </row>
    <row r="2899" spans="4:4" x14ac:dyDescent="0.3">
      <c r="D2899" s="7"/>
    </row>
    <row r="2900" spans="4:4" x14ac:dyDescent="0.3">
      <c r="D2900" s="7"/>
    </row>
    <row r="2901" spans="4:4" x14ac:dyDescent="0.3">
      <c r="D2901" s="7"/>
    </row>
    <row r="2902" spans="4:4" x14ac:dyDescent="0.3">
      <c r="D2902" s="7"/>
    </row>
    <row r="2903" spans="4:4" x14ac:dyDescent="0.3">
      <c r="D2903" s="7"/>
    </row>
    <row r="2904" spans="4:4" x14ac:dyDescent="0.3">
      <c r="D2904" s="7"/>
    </row>
    <row r="2905" spans="4:4" x14ac:dyDescent="0.3">
      <c r="D2905" s="7"/>
    </row>
    <row r="2906" spans="4:4" x14ac:dyDescent="0.3">
      <c r="D2906" s="7"/>
    </row>
    <row r="2907" spans="4:4" x14ac:dyDescent="0.3">
      <c r="D2907" s="7"/>
    </row>
    <row r="2908" spans="4:4" x14ac:dyDescent="0.3">
      <c r="D2908" s="7"/>
    </row>
    <row r="2909" spans="4:4" x14ac:dyDescent="0.3">
      <c r="D2909" s="7"/>
    </row>
    <row r="2910" spans="4:4" x14ac:dyDescent="0.3">
      <c r="D2910" s="7"/>
    </row>
    <row r="2911" spans="4:4" x14ac:dyDescent="0.3">
      <c r="D2911" s="7"/>
    </row>
    <row r="2912" spans="4:4" x14ac:dyDescent="0.3">
      <c r="D2912" s="7"/>
    </row>
    <row r="2913" spans="4:4" x14ac:dyDescent="0.3">
      <c r="D2913" s="7"/>
    </row>
    <row r="2914" spans="4:4" x14ac:dyDescent="0.3">
      <c r="D2914" s="7"/>
    </row>
    <row r="2915" spans="4:4" x14ac:dyDescent="0.3">
      <c r="D2915" s="7"/>
    </row>
    <row r="2916" spans="4:4" x14ac:dyDescent="0.3">
      <c r="D2916" s="7"/>
    </row>
    <row r="2917" spans="4:4" x14ac:dyDescent="0.3">
      <c r="D2917" s="7"/>
    </row>
    <row r="2918" spans="4:4" x14ac:dyDescent="0.3">
      <c r="D2918" s="7"/>
    </row>
    <row r="2919" spans="4:4" x14ac:dyDescent="0.3">
      <c r="D2919" s="7"/>
    </row>
    <row r="2920" spans="4:4" x14ac:dyDescent="0.3">
      <c r="D2920" s="7"/>
    </row>
    <row r="2921" spans="4:4" x14ac:dyDescent="0.3">
      <c r="D2921" s="7"/>
    </row>
    <row r="2922" spans="4:4" x14ac:dyDescent="0.3">
      <c r="D2922" s="7"/>
    </row>
    <row r="2923" spans="4:4" x14ac:dyDescent="0.3">
      <c r="D2923" s="7"/>
    </row>
    <row r="2924" spans="4:4" x14ac:dyDescent="0.3">
      <c r="D2924" s="7"/>
    </row>
    <row r="2925" spans="4:4" x14ac:dyDescent="0.3">
      <c r="D2925" s="7"/>
    </row>
    <row r="2926" spans="4:4" x14ac:dyDescent="0.3">
      <c r="D2926" s="7"/>
    </row>
    <row r="2927" spans="4:4" x14ac:dyDescent="0.3">
      <c r="D2927" s="7"/>
    </row>
    <row r="2928" spans="4:4" x14ac:dyDescent="0.3">
      <c r="D2928" s="7"/>
    </row>
    <row r="2929" spans="4:4" x14ac:dyDescent="0.3">
      <c r="D2929" s="7"/>
    </row>
    <row r="2930" spans="4:4" x14ac:dyDescent="0.3">
      <c r="D2930" s="7"/>
    </row>
    <row r="2931" spans="4:4" x14ac:dyDescent="0.3">
      <c r="D2931" s="7"/>
    </row>
    <row r="2932" spans="4:4" x14ac:dyDescent="0.3">
      <c r="D2932" s="7"/>
    </row>
    <row r="2933" spans="4:4" x14ac:dyDescent="0.3">
      <c r="D2933" s="7"/>
    </row>
    <row r="2934" spans="4:4" x14ac:dyDescent="0.3">
      <c r="D2934" s="7"/>
    </row>
    <row r="2935" spans="4:4" x14ac:dyDescent="0.3">
      <c r="D2935" s="7"/>
    </row>
    <row r="2936" spans="4:4" x14ac:dyDescent="0.3">
      <c r="D2936" s="7"/>
    </row>
    <row r="2937" spans="4:4" x14ac:dyDescent="0.3">
      <c r="D2937" s="7"/>
    </row>
    <row r="2938" spans="4:4" x14ac:dyDescent="0.3">
      <c r="D2938" s="7"/>
    </row>
    <row r="2939" spans="4:4" x14ac:dyDescent="0.3">
      <c r="D2939" s="7"/>
    </row>
    <row r="2940" spans="4:4" x14ac:dyDescent="0.3">
      <c r="D2940" s="7"/>
    </row>
    <row r="2941" spans="4:4" x14ac:dyDescent="0.3">
      <c r="D2941" s="7"/>
    </row>
    <row r="2942" spans="4:4" x14ac:dyDescent="0.3">
      <c r="D2942" s="7"/>
    </row>
    <row r="2943" spans="4:4" x14ac:dyDescent="0.3">
      <c r="D2943" s="7"/>
    </row>
    <row r="2944" spans="4:4" x14ac:dyDescent="0.3">
      <c r="D2944" s="7"/>
    </row>
    <row r="2945" spans="4:4" x14ac:dyDescent="0.3">
      <c r="D2945" s="7"/>
    </row>
    <row r="2946" spans="4:4" x14ac:dyDescent="0.3">
      <c r="D2946" s="7"/>
    </row>
    <row r="2947" spans="4:4" x14ac:dyDescent="0.3">
      <c r="D2947" s="7"/>
    </row>
    <row r="2948" spans="4:4" x14ac:dyDescent="0.3">
      <c r="D2948" s="7"/>
    </row>
    <row r="2949" spans="4:4" x14ac:dyDescent="0.3">
      <c r="D2949" s="7"/>
    </row>
    <row r="2950" spans="4:4" x14ac:dyDescent="0.3">
      <c r="D2950" s="7"/>
    </row>
    <row r="2951" spans="4:4" x14ac:dyDescent="0.3">
      <c r="D2951" s="7"/>
    </row>
    <row r="2952" spans="4:4" x14ac:dyDescent="0.3">
      <c r="D2952" s="7"/>
    </row>
    <row r="2953" spans="4:4" x14ac:dyDescent="0.3">
      <c r="D2953" s="7"/>
    </row>
    <row r="2954" spans="4:4" x14ac:dyDescent="0.3">
      <c r="D2954" s="7"/>
    </row>
    <row r="2955" spans="4:4" x14ac:dyDescent="0.3">
      <c r="D2955" s="7"/>
    </row>
    <row r="2956" spans="4:4" x14ac:dyDescent="0.3">
      <c r="D2956" s="7"/>
    </row>
    <row r="2957" spans="4:4" x14ac:dyDescent="0.3">
      <c r="D2957" s="7"/>
    </row>
    <row r="2958" spans="4:4" x14ac:dyDescent="0.3">
      <c r="D2958" s="7"/>
    </row>
    <row r="2959" spans="4:4" x14ac:dyDescent="0.3">
      <c r="D2959" s="7"/>
    </row>
    <row r="2960" spans="4:4" x14ac:dyDescent="0.3">
      <c r="D2960" s="7"/>
    </row>
    <row r="2961" spans="4:4" x14ac:dyDescent="0.3">
      <c r="D2961" s="7"/>
    </row>
    <row r="2962" spans="4:4" x14ac:dyDescent="0.3">
      <c r="D2962" s="7"/>
    </row>
    <row r="2963" spans="4:4" x14ac:dyDescent="0.3">
      <c r="D2963" s="7"/>
    </row>
    <row r="2964" spans="4:4" x14ac:dyDescent="0.3">
      <c r="D2964" s="7"/>
    </row>
    <row r="2965" spans="4:4" x14ac:dyDescent="0.3">
      <c r="D2965" s="7"/>
    </row>
    <row r="2966" spans="4:4" x14ac:dyDescent="0.3">
      <c r="D2966" s="7"/>
    </row>
    <row r="2967" spans="4:4" x14ac:dyDescent="0.3">
      <c r="D2967" s="7"/>
    </row>
    <row r="2968" spans="4:4" x14ac:dyDescent="0.3">
      <c r="D2968" s="7"/>
    </row>
    <row r="2969" spans="4:4" x14ac:dyDescent="0.3">
      <c r="D2969" s="7"/>
    </row>
    <row r="2970" spans="4:4" x14ac:dyDescent="0.3">
      <c r="D2970" s="7"/>
    </row>
    <row r="2971" spans="4:4" x14ac:dyDescent="0.3">
      <c r="D2971" s="7"/>
    </row>
    <row r="2972" spans="4:4" x14ac:dyDescent="0.3">
      <c r="D2972" s="7"/>
    </row>
    <row r="2973" spans="4:4" x14ac:dyDescent="0.3">
      <c r="D2973" s="7"/>
    </row>
    <row r="2974" spans="4:4" x14ac:dyDescent="0.3">
      <c r="D2974" s="7"/>
    </row>
    <row r="2975" spans="4:4" x14ac:dyDescent="0.3">
      <c r="D2975" s="7"/>
    </row>
    <row r="2976" spans="4:4" x14ac:dyDescent="0.3">
      <c r="D2976" s="7"/>
    </row>
    <row r="2977" spans="4:4" x14ac:dyDescent="0.3">
      <c r="D2977" s="7"/>
    </row>
    <row r="2978" spans="4:4" x14ac:dyDescent="0.3">
      <c r="D2978" s="7"/>
    </row>
    <row r="2979" spans="4:4" x14ac:dyDescent="0.3">
      <c r="D2979" s="7"/>
    </row>
    <row r="2980" spans="4:4" x14ac:dyDescent="0.3">
      <c r="D2980" s="7"/>
    </row>
    <row r="2981" spans="4:4" x14ac:dyDescent="0.3">
      <c r="D2981" s="7"/>
    </row>
    <row r="2982" spans="4:4" x14ac:dyDescent="0.3">
      <c r="D2982" s="7"/>
    </row>
    <row r="2983" spans="4:4" x14ac:dyDescent="0.3">
      <c r="D2983" s="7"/>
    </row>
    <row r="2984" spans="4:4" x14ac:dyDescent="0.3">
      <c r="D2984" s="7"/>
    </row>
    <row r="2985" spans="4:4" x14ac:dyDescent="0.3">
      <c r="D2985" s="7"/>
    </row>
    <row r="2986" spans="4:4" x14ac:dyDescent="0.3">
      <c r="D2986" s="7"/>
    </row>
    <row r="2987" spans="4:4" x14ac:dyDescent="0.3">
      <c r="D2987" s="7"/>
    </row>
    <row r="2988" spans="4:4" x14ac:dyDescent="0.3">
      <c r="D2988" s="7"/>
    </row>
    <row r="2989" spans="4:4" x14ac:dyDescent="0.3">
      <c r="D2989" s="7"/>
    </row>
    <row r="2990" spans="4:4" x14ac:dyDescent="0.3">
      <c r="D2990" s="7"/>
    </row>
    <row r="2991" spans="4:4" x14ac:dyDescent="0.3">
      <c r="D2991" s="7"/>
    </row>
    <row r="2992" spans="4:4" x14ac:dyDescent="0.3">
      <c r="D2992" s="7"/>
    </row>
    <row r="2993" spans="4:4" x14ac:dyDescent="0.3">
      <c r="D2993" s="7"/>
    </row>
    <row r="2994" spans="4:4" x14ac:dyDescent="0.3">
      <c r="D2994" s="7"/>
    </row>
    <row r="2995" spans="4:4" x14ac:dyDescent="0.3">
      <c r="D2995" s="7"/>
    </row>
    <row r="2996" spans="4:4" x14ac:dyDescent="0.3">
      <c r="D2996" s="7"/>
    </row>
    <row r="2997" spans="4:4" x14ac:dyDescent="0.3">
      <c r="D2997" s="7"/>
    </row>
    <row r="2998" spans="4:4" x14ac:dyDescent="0.3">
      <c r="D2998" s="7"/>
    </row>
    <row r="2999" spans="4:4" x14ac:dyDescent="0.3">
      <c r="D2999" s="7"/>
    </row>
    <row r="3000" spans="4:4" x14ac:dyDescent="0.3">
      <c r="D3000" s="7"/>
    </row>
    <row r="3001" spans="4:4" x14ac:dyDescent="0.3">
      <c r="D3001" s="7"/>
    </row>
    <row r="3002" spans="4:4" x14ac:dyDescent="0.3">
      <c r="D3002" s="7"/>
    </row>
    <row r="3003" spans="4:4" x14ac:dyDescent="0.3">
      <c r="D3003" s="7"/>
    </row>
    <row r="3004" spans="4:4" x14ac:dyDescent="0.3">
      <c r="D3004" s="7"/>
    </row>
    <row r="3005" spans="4:4" x14ac:dyDescent="0.3">
      <c r="D3005" s="7"/>
    </row>
    <row r="3006" spans="4:4" x14ac:dyDescent="0.3">
      <c r="D3006" s="7"/>
    </row>
    <row r="3007" spans="4:4" x14ac:dyDescent="0.3">
      <c r="D3007" s="7"/>
    </row>
    <row r="3008" spans="4:4" x14ac:dyDescent="0.3">
      <c r="D3008" s="7"/>
    </row>
    <row r="3009" spans="4:4" x14ac:dyDescent="0.3">
      <c r="D3009" s="7"/>
    </row>
    <row r="3010" spans="4:4" x14ac:dyDescent="0.3">
      <c r="D3010" s="7"/>
    </row>
    <row r="3011" spans="4:4" x14ac:dyDescent="0.3">
      <c r="D3011" s="7"/>
    </row>
    <row r="3012" spans="4:4" x14ac:dyDescent="0.3">
      <c r="D3012" s="7"/>
    </row>
    <row r="3013" spans="4:4" x14ac:dyDescent="0.3">
      <c r="D3013" s="7"/>
    </row>
    <row r="3014" spans="4:4" x14ac:dyDescent="0.3">
      <c r="D3014" s="7"/>
    </row>
    <row r="3015" spans="4:4" x14ac:dyDescent="0.3">
      <c r="D3015" s="7"/>
    </row>
    <row r="3016" spans="4:4" x14ac:dyDescent="0.3">
      <c r="D3016" s="7"/>
    </row>
    <row r="3017" spans="4:4" x14ac:dyDescent="0.3">
      <c r="D3017" s="7"/>
    </row>
    <row r="3018" spans="4:4" x14ac:dyDescent="0.3">
      <c r="D3018" s="7"/>
    </row>
    <row r="3019" spans="4:4" x14ac:dyDescent="0.3">
      <c r="D3019" s="7"/>
    </row>
    <row r="3020" spans="4:4" x14ac:dyDescent="0.3">
      <c r="D3020" s="7"/>
    </row>
    <row r="3021" spans="4:4" x14ac:dyDescent="0.3">
      <c r="D3021" s="7"/>
    </row>
    <row r="3022" spans="4:4" x14ac:dyDescent="0.3">
      <c r="D3022" s="7"/>
    </row>
    <row r="3023" spans="4:4" x14ac:dyDescent="0.3">
      <c r="D3023" s="7"/>
    </row>
    <row r="3024" spans="4:4" x14ac:dyDescent="0.3">
      <c r="D3024" s="7"/>
    </row>
    <row r="3025" spans="4:4" x14ac:dyDescent="0.3">
      <c r="D3025" s="7"/>
    </row>
    <row r="3026" spans="4:4" x14ac:dyDescent="0.3">
      <c r="D3026" s="7"/>
    </row>
    <row r="3027" spans="4:4" x14ac:dyDescent="0.3">
      <c r="D3027" s="7"/>
    </row>
    <row r="3028" spans="4:4" x14ac:dyDescent="0.3">
      <c r="D3028" s="7"/>
    </row>
    <row r="3029" spans="4:4" x14ac:dyDescent="0.3">
      <c r="D3029" s="7"/>
    </row>
    <row r="3030" spans="4:4" x14ac:dyDescent="0.3">
      <c r="D3030" s="7"/>
    </row>
    <row r="3031" spans="4:4" x14ac:dyDescent="0.3">
      <c r="D3031" s="7"/>
    </row>
    <row r="3032" spans="4:4" x14ac:dyDescent="0.3">
      <c r="D3032" s="7"/>
    </row>
    <row r="3033" spans="4:4" x14ac:dyDescent="0.3">
      <c r="D3033" s="7"/>
    </row>
    <row r="3034" spans="4:4" x14ac:dyDescent="0.3">
      <c r="D3034" s="7"/>
    </row>
    <row r="3035" spans="4:4" x14ac:dyDescent="0.3">
      <c r="D3035" s="7"/>
    </row>
    <row r="3036" spans="4:4" x14ac:dyDescent="0.3">
      <c r="D3036" s="7"/>
    </row>
    <row r="3037" spans="4:4" x14ac:dyDescent="0.3">
      <c r="D3037" s="7"/>
    </row>
    <row r="3038" spans="4:4" x14ac:dyDescent="0.3">
      <c r="D3038" s="7"/>
    </row>
    <row r="3039" spans="4:4" x14ac:dyDescent="0.3">
      <c r="D3039" s="7"/>
    </row>
    <row r="3040" spans="4:4" x14ac:dyDescent="0.3">
      <c r="D3040" s="7"/>
    </row>
    <row r="3041" spans="4:4" x14ac:dyDescent="0.3">
      <c r="D3041" s="7"/>
    </row>
    <row r="3042" spans="4:4" x14ac:dyDescent="0.3">
      <c r="D3042" s="7"/>
    </row>
    <row r="3043" spans="4:4" x14ac:dyDescent="0.3">
      <c r="D3043" s="7"/>
    </row>
    <row r="3044" spans="4:4" x14ac:dyDescent="0.3">
      <c r="D3044" s="7"/>
    </row>
    <row r="3045" spans="4:4" x14ac:dyDescent="0.3">
      <c r="D3045" s="7"/>
    </row>
    <row r="3046" spans="4:4" x14ac:dyDescent="0.3">
      <c r="D3046" s="7"/>
    </row>
    <row r="3047" spans="4:4" x14ac:dyDescent="0.3">
      <c r="D3047" s="7"/>
    </row>
    <row r="3048" spans="4:4" x14ac:dyDescent="0.3">
      <c r="D3048" s="7"/>
    </row>
    <row r="3049" spans="4:4" x14ac:dyDescent="0.3">
      <c r="D3049" s="7"/>
    </row>
    <row r="3050" spans="4:4" x14ac:dyDescent="0.3">
      <c r="D3050" s="7"/>
    </row>
    <row r="3051" spans="4:4" x14ac:dyDescent="0.3">
      <c r="D3051" s="7"/>
    </row>
    <row r="3052" spans="4:4" x14ac:dyDescent="0.3">
      <c r="D3052" s="7"/>
    </row>
    <row r="3053" spans="4:4" x14ac:dyDescent="0.3">
      <c r="D3053" s="7"/>
    </row>
    <row r="3054" spans="4:4" x14ac:dyDescent="0.3">
      <c r="D3054" s="7"/>
    </row>
    <row r="3055" spans="4:4" x14ac:dyDescent="0.3">
      <c r="D3055" s="7"/>
    </row>
    <row r="3056" spans="4:4" x14ac:dyDescent="0.3">
      <c r="D3056" s="7"/>
    </row>
    <row r="3057" spans="4:4" x14ac:dyDescent="0.3">
      <c r="D3057" s="7"/>
    </row>
    <row r="3058" spans="4:4" x14ac:dyDescent="0.3">
      <c r="D3058" s="7"/>
    </row>
    <row r="3059" spans="4:4" x14ac:dyDescent="0.3">
      <c r="D3059" s="7"/>
    </row>
    <row r="3060" spans="4:4" x14ac:dyDescent="0.3">
      <c r="D3060" s="7"/>
    </row>
    <row r="3061" spans="4:4" x14ac:dyDescent="0.3">
      <c r="D3061" s="7"/>
    </row>
    <row r="3062" spans="4:4" x14ac:dyDescent="0.3">
      <c r="D3062" s="7"/>
    </row>
    <row r="3063" spans="4:4" x14ac:dyDescent="0.3">
      <c r="D3063" s="7"/>
    </row>
    <row r="3064" spans="4:4" x14ac:dyDescent="0.3">
      <c r="D3064" s="7"/>
    </row>
    <row r="3065" spans="4:4" x14ac:dyDescent="0.3">
      <c r="D3065" s="7"/>
    </row>
    <row r="3066" spans="4:4" x14ac:dyDescent="0.3">
      <c r="D3066" s="7"/>
    </row>
    <row r="3067" spans="4:4" x14ac:dyDescent="0.3">
      <c r="D3067" s="7"/>
    </row>
    <row r="3068" spans="4:4" x14ac:dyDescent="0.3">
      <c r="D3068" s="7"/>
    </row>
    <row r="3069" spans="4:4" x14ac:dyDescent="0.3">
      <c r="D3069" s="7"/>
    </row>
    <row r="3070" spans="4:4" x14ac:dyDescent="0.3">
      <c r="D3070" s="7"/>
    </row>
    <row r="3071" spans="4:4" x14ac:dyDescent="0.3">
      <c r="D3071" s="7"/>
    </row>
    <row r="3072" spans="4:4" x14ac:dyDescent="0.3">
      <c r="D3072" s="7"/>
    </row>
    <row r="3073" spans="4:4" x14ac:dyDescent="0.3">
      <c r="D3073" s="7"/>
    </row>
    <row r="3074" spans="4:4" x14ac:dyDescent="0.3">
      <c r="D3074" s="7"/>
    </row>
    <row r="3075" spans="4:4" x14ac:dyDescent="0.3">
      <c r="D3075" s="7"/>
    </row>
    <row r="3076" spans="4:4" x14ac:dyDescent="0.3">
      <c r="D3076" s="7"/>
    </row>
    <row r="3077" spans="4:4" x14ac:dyDescent="0.3">
      <c r="D3077" s="7"/>
    </row>
    <row r="3078" spans="4:4" x14ac:dyDescent="0.3">
      <c r="D3078" s="7"/>
    </row>
    <row r="3079" spans="4:4" x14ac:dyDescent="0.3">
      <c r="D3079" s="7"/>
    </row>
    <row r="3080" spans="4:4" x14ac:dyDescent="0.3">
      <c r="D3080" s="7"/>
    </row>
    <row r="3081" spans="4:4" x14ac:dyDescent="0.3">
      <c r="D3081" s="7"/>
    </row>
    <row r="3082" spans="4:4" x14ac:dyDescent="0.3">
      <c r="D3082" s="7"/>
    </row>
    <row r="3083" spans="4:4" x14ac:dyDescent="0.3">
      <c r="D3083" s="7"/>
    </row>
    <row r="3084" spans="4:4" x14ac:dyDescent="0.3">
      <c r="D3084" s="7"/>
    </row>
    <row r="3085" spans="4:4" x14ac:dyDescent="0.3">
      <c r="D3085" s="7"/>
    </row>
    <row r="3086" spans="4:4" x14ac:dyDescent="0.3">
      <c r="D3086" s="7"/>
    </row>
    <row r="3087" spans="4:4" x14ac:dyDescent="0.3">
      <c r="D3087" s="7"/>
    </row>
    <row r="3088" spans="4:4" x14ac:dyDescent="0.3">
      <c r="D3088" s="7"/>
    </row>
    <row r="3089" spans="4:4" x14ac:dyDescent="0.3">
      <c r="D3089" s="7"/>
    </row>
    <row r="3090" spans="4:4" x14ac:dyDescent="0.3">
      <c r="D3090" s="7"/>
    </row>
    <row r="3091" spans="4:4" x14ac:dyDescent="0.3">
      <c r="D3091" s="7"/>
    </row>
    <row r="3092" spans="4:4" x14ac:dyDescent="0.3">
      <c r="D3092" s="7"/>
    </row>
    <row r="3093" spans="4:4" x14ac:dyDescent="0.3">
      <c r="D3093" s="7"/>
    </row>
    <row r="3094" spans="4:4" x14ac:dyDescent="0.3">
      <c r="D3094" s="7"/>
    </row>
    <row r="3095" spans="4:4" x14ac:dyDescent="0.3">
      <c r="D3095" s="7"/>
    </row>
    <row r="3096" spans="4:4" x14ac:dyDescent="0.3">
      <c r="D3096" s="7"/>
    </row>
    <row r="3097" spans="4:4" x14ac:dyDescent="0.3">
      <c r="D3097" s="7"/>
    </row>
    <row r="3098" spans="4:4" x14ac:dyDescent="0.3">
      <c r="D3098" s="7"/>
    </row>
    <row r="3099" spans="4:4" x14ac:dyDescent="0.3">
      <c r="D3099" s="7"/>
    </row>
    <row r="3100" spans="4:4" x14ac:dyDescent="0.3">
      <c r="D3100" s="7"/>
    </row>
    <row r="3101" spans="4:4" x14ac:dyDescent="0.3">
      <c r="D3101" s="7"/>
    </row>
    <row r="3102" spans="4:4" x14ac:dyDescent="0.3">
      <c r="D3102" s="7"/>
    </row>
    <row r="3103" spans="4:4" x14ac:dyDescent="0.3">
      <c r="D3103" s="7"/>
    </row>
    <row r="3104" spans="4:4" x14ac:dyDescent="0.3">
      <c r="D3104" s="7"/>
    </row>
    <row r="3105" spans="4:4" x14ac:dyDescent="0.3">
      <c r="D3105" s="7"/>
    </row>
    <row r="3106" spans="4:4" x14ac:dyDescent="0.3">
      <c r="D3106" s="7"/>
    </row>
    <row r="3107" spans="4:4" x14ac:dyDescent="0.3">
      <c r="D3107" s="7"/>
    </row>
    <row r="3108" spans="4:4" x14ac:dyDescent="0.3">
      <c r="D3108" s="7"/>
    </row>
    <row r="3109" spans="4:4" x14ac:dyDescent="0.3">
      <c r="D3109" s="7"/>
    </row>
    <row r="3110" spans="4:4" x14ac:dyDescent="0.3">
      <c r="D3110" s="7"/>
    </row>
    <row r="3111" spans="4:4" x14ac:dyDescent="0.3">
      <c r="D3111" s="7"/>
    </row>
    <row r="3112" spans="4:4" x14ac:dyDescent="0.3">
      <c r="D3112" s="7"/>
    </row>
    <row r="3113" spans="4:4" x14ac:dyDescent="0.3">
      <c r="D3113" s="7"/>
    </row>
    <row r="3114" spans="4:4" x14ac:dyDescent="0.3">
      <c r="D3114" s="7"/>
    </row>
    <row r="3115" spans="4:4" x14ac:dyDescent="0.3">
      <c r="D3115" s="7"/>
    </row>
    <row r="3116" spans="4:4" x14ac:dyDescent="0.3">
      <c r="D3116" s="7"/>
    </row>
    <row r="3117" spans="4:4" x14ac:dyDescent="0.3">
      <c r="D3117" s="7"/>
    </row>
    <row r="3118" spans="4:4" x14ac:dyDescent="0.3">
      <c r="D3118" s="7"/>
    </row>
    <row r="3119" spans="4:4" x14ac:dyDescent="0.3">
      <c r="D3119" s="7"/>
    </row>
    <row r="3120" spans="4:4" x14ac:dyDescent="0.3">
      <c r="D3120" s="7"/>
    </row>
    <row r="3121" spans="4:4" x14ac:dyDescent="0.3">
      <c r="D3121" s="7"/>
    </row>
    <row r="3122" spans="4:4" x14ac:dyDescent="0.3">
      <c r="D3122" s="7"/>
    </row>
    <row r="3123" spans="4:4" x14ac:dyDescent="0.3">
      <c r="D3123" s="7"/>
    </row>
    <row r="3124" spans="4:4" x14ac:dyDescent="0.3">
      <c r="D3124" s="7"/>
    </row>
    <row r="3125" spans="4:4" x14ac:dyDescent="0.3">
      <c r="D3125" s="7"/>
    </row>
    <row r="3126" spans="4:4" x14ac:dyDescent="0.3">
      <c r="D3126" s="7"/>
    </row>
    <row r="3127" spans="4:4" x14ac:dyDescent="0.3">
      <c r="D3127" s="7"/>
    </row>
    <row r="3128" spans="4:4" x14ac:dyDescent="0.3">
      <c r="D3128" s="7"/>
    </row>
    <row r="3129" spans="4:4" x14ac:dyDescent="0.3">
      <c r="D3129" s="7"/>
    </row>
    <row r="3130" spans="4:4" x14ac:dyDescent="0.3">
      <c r="D3130" s="7"/>
    </row>
    <row r="3131" spans="4:4" x14ac:dyDescent="0.3">
      <c r="D3131" s="7"/>
    </row>
    <row r="3132" spans="4:4" x14ac:dyDescent="0.3">
      <c r="D3132" s="7"/>
    </row>
    <row r="3133" spans="4:4" x14ac:dyDescent="0.3">
      <c r="D3133" s="7"/>
    </row>
    <row r="3134" spans="4:4" x14ac:dyDescent="0.3">
      <c r="D3134" s="7"/>
    </row>
    <row r="3135" spans="4:4" x14ac:dyDescent="0.3">
      <c r="D3135" s="7"/>
    </row>
    <row r="3136" spans="4:4" x14ac:dyDescent="0.3">
      <c r="D3136" s="7"/>
    </row>
    <row r="3137" spans="4:4" x14ac:dyDescent="0.3">
      <c r="D3137" s="7"/>
    </row>
    <row r="3138" spans="4:4" x14ac:dyDescent="0.3">
      <c r="D3138" s="7"/>
    </row>
    <row r="3139" spans="4:4" x14ac:dyDescent="0.3">
      <c r="D3139" s="7"/>
    </row>
    <row r="3140" spans="4:4" x14ac:dyDescent="0.3">
      <c r="D3140" s="7"/>
    </row>
    <row r="3141" spans="4:4" x14ac:dyDescent="0.3">
      <c r="D3141" s="7"/>
    </row>
    <row r="3142" spans="4:4" x14ac:dyDescent="0.3">
      <c r="D3142" s="7"/>
    </row>
    <row r="3143" spans="4:4" x14ac:dyDescent="0.3">
      <c r="D3143" s="7"/>
    </row>
    <row r="3144" spans="4:4" x14ac:dyDescent="0.3">
      <c r="D3144" s="7"/>
    </row>
    <row r="3145" spans="4:4" x14ac:dyDescent="0.3">
      <c r="D3145" s="7"/>
    </row>
    <row r="3146" spans="4:4" x14ac:dyDescent="0.3">
      <c r="D3146" s="7"/>
    </row>
    <row r="3147" spans="4:4" x14ac:dyDescent="0.3">
      <c r="D3147" s="7"/>
    </row>
    <row r="3148" spans="4:4" x14ac:dyDescent="0.3">
      <c r="D3148" s="7"/>
    </row>
    <row r="3149" spans="4:4" x14ac:dyDescent="0.3">
      <c r="D3149" s="7"/>
    </row>
    <row r="3150" spans="4:4" x14ac:dyDescent="0.3">
      <c r="D3150" s="7"/>
    </row>
    <row r="3151" spans="4:4" x14ac:dyDescent="0.3">
      <c r="D3151" s="7"/>
    </row>
    <row r="3152" spans="4:4" x14ac:dyDescent="0.3">
      <c r="D3152" s="7"/>
    </row>
    <row r="3153" spans="4:4" x14ac:dyDescent="0.3">
      <c r="D3153" s="7"/>
    </row>
    <row r="3154" spans="4:4" x14ac:dyDescent="0.3">
      <c r="D3154" s="7"/>
    </row>
    <row r="3155" spans="4:4" x14ac:dyDescent="0.3">
      <c r="D3155" s="7"/>
    </row>
    <row r="3156" spans="4:4" x14ac:dyDescent="0.3">
      <c r="D3156" s="7"/>
    </row>
    <row r="3157" spans="4:4" x14ac:dyDescent="0.3">
      <c r="D3157" s="7"/>
    </row>
    <row r="3158" spans="4:4" x14ac:dyDescent="0.3">
      <c r="D3158" s="7"/>
    </row>
    <row r="3159" spans="4:4" x14ac:dyDescent="0.3">
      <c r="D3159" s="7"/>
    </row>
    <row r="3160" spans="4:4" x14ac:dyDescent="0.3">
      <c r="D3160" s="7"/>
    </row>
    <row r="3161" spans="4:4" x14ac:dyDescent="0.3">
      <c r="D3161" s="7"/>
    </row>
    <row r="3162" spans="4:4" x14ac:dyDescent="0.3">
      <c r="D3162" s="7"/>
    </row>
    <row r="3163" spans="4:4" x14ac:dyDescent="0.3">
      <c r="D3163" s="7"/>
    </row>
    <row r="3164" spans="4:4" x14ac:dyDescent="0.3">
      <c r="D3164" s="7"/>
    </row>
    <row r="3165" spans="4:4" x14ac:dyDescent="0.3">
      <c r="D3165" s="7"/>
    </row>
    <row r="3166" spans="4:4" x14ac:dyDescent="0.3">
      <c r="D3166" s="7"/>
    </row>
    <row r="3167" spans="4:4" x14ac:dyDescent="0.3">
      <c r="D3167" s="7"/>
    </row>
    <row r="3168" spans="4:4" x14ac:dyDescent="0.3">
      <c r="D3168" s="7"/>
    </row>
    <row r="3169" spans="4:4" x14ac:dyDescent="0.3">
      <c r="D3169" s="7"/>
    </row>
    <row r="3170" spans="4:4" x14ac:dyDescent="0.3">
      <c r="D3170" s="7"/>
    </row>
    <row r="3171" spans="4:4" x14ac:dyDescent="0.3">
      <c r="D3171" s="7"/>
    </row>
    <row r="3172" spans="4:4" x14ac:dyDescent="0.3">
      <c r="D3172" s="7"/>
    </row>
    <row r="3173" spans="4:4" x14ac:dyDescent="0.3">
      <c r="D3173" s="7"/>
    </row>
    <row r="3174" spans="4:4" x14ac:dyDescent="0.3">
      <c r="D3174" s="7"/>
    </row>
    <row r="3175" spans="4:4" x14ac:dyDescent="0.3">
      <c r="D3175" s="7"/>
    </row>
    <row r="3176" spans="4:4" x14ac:dyDescent="0.3">
      <c r="D3176" s="7"/>
    </row>
    <row r="3177" spans="4:4" x14ac:dyDescent="0.3">
      <c r="D3177" s="7"/>
    </row>
    <row r="3178" spans="4:4" x14ac:dyDescent="0.3">
      <c r="D3178" s="7"/>
    </row>
    <row r="3179" spans="4:4" x14ac:dyDescent="0.3">
      <c r="D3179" s="7"/>
    </row>
    <row r="3180" spans="4:4" x14ac:dyDescent="0.3">
      <c r="D3180" s="7"/>
    </row>
    <row r="3181" spans="4:4" x14ac:dyDescent="0.3">
      <c r="D3181" s="7"/>
    </row>
    <row r="3182" spans="4:4" x14ac:dyDescent="0.3">
      <c r="D3182" s="7"/>
    </row>
    <row r="3183" spans="4:4" x14ac:dyDescent="0.3">
      <c r="D3183" s="7"/>
    </row>
    <row r="3184" spans="4:4" x14ac:dyDescent="0.3">
      <c r="D3184" s="7"/>
    </row>
    <row r="3185" spans="4:4" x14ac:dyDescent="0.3">
      <c r="D3185" s="7"/>
    </row>
    <row r="3186" spans="4:4" x14ac:dyDescent="0.3">
      <c r="D3186" s="7"/>
    </row>
    <row r="3187" spans="4:4" x14ac:dyDescent="0.3">
      <c r="D3187" s="7"/>
    </row>
    <row r="3188" spans="4:4" x14ac:dyDescent="0.3">
      <c r="D3188" s="7"/>
    </row>
    <row r="3189" spans="4:4" x14ac:dyDescent="0.3">
      <c r="D3189" s="7"/>
    </row>
    <row r="3190" spans="4:4" x14ac:dyDescent="0.3">
      <c r="D3190" s="7"/>
    </row>
    <row r="3191" spans="4:4" x14ac:dyDescent="0.3">
      <c r="D3191" s="7"/>
    </row>
    <row r="3192" spans="4:4" x14ac:dyDescent="0.3">
      <c r="D3192" s="7"/>
    </row>
    <row r="3193" spans="4:4" x14ac:dyDescent="0.3">
      <c r="D3193" s="7"/>
    </row>
    <row r="3194" spans="4:4" x14ac:dyDescent="0.3">
      <c r="D3194" s="7"/>
    </row>
    <row r="3195" spans="4:4" x14ac:dyDescent="0.3">
      <c r="D3195" s="7"/>
    </row>
    <row r="3196" spans="4:4" x14ac:dyDescent="0.3">
      <c r="D3196" s="7"/>
    </row>
    <row r="3197" spans="4:4" x14ac:dyDescent="0.3">
      <c r="D3197" s="7"/>
    </row>
    <row r="3198" spans="4:4" x14ac:dyDescent="0.3">
      <c r="D3198" s="7"/>
    </row>
    <row r="3199" spans="4:4" x14ac:dyDescent="0.3">
      <c r="D3199" s="7"/>
    </row>
    <row r="3200" spans="4:4" x14ac:dyDescent="0.3">
      <c r="D3200" s="7"/>
    </row>
    <row r="3201" spans="4:4" x14ac:dyDescent="0.3">
      <c r="D3201" s="7"/>
    </row>
    <row r="3202" spans="4:4" x14ac:dyDescent="0.3">
      <c r="D3202" s="7"/>
    </row>
    <row r="3203" spans="4:4" x14ac:dyDescent="0.3">
      <c r="D3203" s="7"/>
    </row>
    <row r="3204" spans="4:4" x14ac:dyDescent="0.3">
      <c r="D3204" s="7"/>
    </row>
    <row r="3205" spans="4:4" x14ac:dyDescent="0.3">
      <c r="D3205" s="7"/>
    </row>
    <row r="3206" spans="4:4" x14ac:dyDescent="0.3">
      <c r="D3206" s="7"/>
    </row>
    <row r="3207" spans="4:4" x14ac:dyDescent="0.3">
      <c r="D3207" s="7"/>
    </row>
    <row r="3208" spans="4:4" x14ac:dyDescent="0.3">
      <c r="D3208" s="7"/>
    </row>
    <row r="3209" spans="4:4" x14ac:dyDescent="0.3">
      <c r="D3209" s="7"/>
    </row>
    <row r="3210" spans="4:4" x14ac:dyDescent="0.3">
      <c r="D3210" s="7"/>
    </row>
    <row r="3211" spans="4:4" x14ac:dyDescent="0.3">
      <c r="D3211" s="7"/>
    </row>
    <row r="3212" spans="4:4" x14ac:dyDescent="0.3">
      <c r="D3212" s="7"/>
    </row>
    <row r="3213" spans="4:4" x14ac:dyDescent="0.3">
      <c r="D3213" s="7"/>
    </row>
    <row r="3214" spans="4:4" x14ac:dyDescent="0.3">
      <c r="D3214" s="7"/>
    </row>
    <row r="3215" spans="4:4" x14ac:dyDescent="0.3">
      <c r="D3215" s="7"/>
    </row>
    <row r="3216" spans="4:4" x14ac:dyDescent="0.3">
      <c r="D3216" s="7"/>
    </row>
    <row r="3217" spans="4:4" x14ac:dyDescent="0.3">
      <c r="D3217" s="7"/>
    </row>
    <row r="3218" spans="4:4" x14ac:dyDescent="0.3">
      <c r="D3218" s="7"/>
    </row>
    <row r="3219" spans="4:4" x14ac:dyDescent="0.3">
      <c r="D3219" s="7"/>
    </row>
    <row r="3220" spans="4:4" x14ac:dyDescent="0.3">
      <c r="D3220" s="7"/>
    </row>
    <row r="3221" spans="4:4" x14ac:dyDescent="0.3">
      <c r="D3221" s="7"/>
    </row>
    <row r="3222" spans="4:4" x14ac:dyDescent="0.3">
      <c r="D3222" s="7"/>
    </row>
    <row r="3223" spans="4:4" x14ac:dyDescent="0.3">
      <c r="D3223" s="7"/>
    </row>
    <row r="3224" spans="4:4" x14ac:dyDescent="0.3">
      <c r="D3224" s="7"/>
    </row>
    <row r="3225" spans="4:4" x14ac:dyDescent="0.3">
      <c r="D3225" s="7"/>
    </row>
    <row r="3226" spans="4:4" x14ac:dyDescent="0.3">
      <c r="D3226" s="7"/>
    </row>
    <row r="3227" spans="4:4" x14ac:dyDescent="0.3">
      <c r="D3227" s="7"/>
    </row>
    <row r="3228" spans="4:4" x14ac:dyDescent="0.3">
      <c r="D3228" s="7"/>
    </row>
    <row r="3229" spans="4:4" x14ac:dyDescent="0.3">
      <c r="D3229" s="7"/>
    </row>
    <row r="3230" spans="4:4" x14ac:dyDescent="0.3">
      <c r="D3230" s="7"/>
    </row>
    <row r="3231" spans="4:4" x14ac:dyDescent="0.3">
      <c r="D3231" s="7"/>
    </row>
    <row r="3232" spans="4:4" x14ac:dyDescent="0.3">
      <c r="D3232" s="7"/>
    </row>
    <row r="3233" spans="4:4" x14ac:dyDescent="0.3">
      <c r="D3233" s="7"/>
    </row>
    <row r="3234" spans="4:4" x14ac:dyDescent="0.3">
      <c r="D3234" s="7"/>
    </row>
    <row r="3235" spans="4:4" x14ac:dyDescent="0.3">
      <c r="D3235" s="7"/>
    </row>
    <row r="3236" spans="4:4" x14ac:dyDescent="0.3">
      <c r="D3236" s="7"/>
    </row>
    <row r="3237" spans="4:4" x14ac:dyDescent="0.3">
      <c r="D3237" s="7"/>
    </row>
    <row r="3238" spans="4:4" x14ac:dyDescent="0.3">
      <c r="D3238" s="7"/>
    </row>
    <row r="3239" spans="4:4" x14ac:dyDescent="0.3">
      <c r="D3239" s="7"/>
    </row>
    <row r="3240" spans="4:4" x14ac:dyDescent="0.3">
      <c r="D3240" s="7"/>
    </row>
    <row r="3241" spans="4:4" x14ac:dyDescent="0.3">
      <c r="D3241" s="7"/>
    </row>
    <row r="3242" spans="4:4" x14ac:dyDescent="0.3">
      <c r="D3242" s="7"/>
    </row>
    <row r="3243" spans="4:4" x14ac:dyDescent="0.3">
      <c r="D3243" s="7"/>
    </row>
    <row r="3244" spans="4:4" x14ac:dyDescent="0.3">
      <c r="D3244" s="7"/>
    </row>
    <row r="3245" spans="4:4" x14ac:dyDescent="0.3">
      <c r="D3245" s="7"/>
    </row>
    <row r="3246" spans="4:4" x14ac:dyDescent="0.3">
      <c r="D3246" s="7"/>
    </row>
    <row r="3247" spans="4:4" x14ac:dyDescent="0.3">
      <c r="D3247" s="7"/>
    </row>
    <row r="3248" spans="4:4" x14ac:dyDescent="0.3">
      <c r="D3248" s="7"/>
    </row>
    <row r="3249" spans="4:4" x14ac:dyDescent="0.3">
      <c r="D3249" s="7"/>
    </row>
    <row r="3250" spans="4:4" x14ac:dyDescent="0.3">
      <c r="D3250" s="7"/>
    </row>
    <row r="3251" spans="4:4" x14ac:dyDescent="0.3">
      <c r="D3251" s="7"/>
    </row>
    <row r="3252" spans="4:4" x14ac:dyDescent="0.3">
      <c r="D3252" s="7"/>
    </row>
    <row r="3253" spans="4:4" x14ac:dyDescent="0.3">
      <c r="D3253" s="7"/>
    </row>
    <row r="3254" spans="4:4" x14ac:dyDescent="0.3">
      <c r="D3254" s="7"/>
    </row>
    <row r="3255" spans="4:4" x14ac:dyDescent="0.3">
      <c r="D3255" s="7"/>
    </row>
    <row r="3256" spans="4:4" x14ac:dyDescent="0.3">
      <c r="D3256" s="7"/>
    </row>
    <row r="3257" spans="4:4" x14ac:dyDescent="0.3">
      <c r="D3257" s="7"/>
    </row>
    <row r="3258" spans="4:4" x14ac:dyDescent="0.3">
      <c r="D3258" s="7"/>
    </row>
    <row r="3259" spans="4:4" x14ac:dyDescent="0.3">
      <c r="D3259" s="7"/>
    </row>
    <row r="3260" spans="4:4" x14ac:dyDescent="0.3">
      <c r="D3260" s="7"/>
    </row>
    <row r="3261" spans="4:4" x14ac:dyDescent="0.3">
      <c r="D3261" s="7"/>
    </row>
    <row r="3262" spans="4:4" x14ac:dyDescent="0.3">
      <c r="D3262" s="7"/>
    </row>
    <row r="3263" spans="4:4" x14ac:dyDescent="0.3">
      <c r="D3263" s="7"/>
    </row>
    <row r="3264" spans="4:4" x14ac:dyDescent="0.3">
      <c r="D3264" s="7"/>
    </row>
    <row r="3265" spans="4:4" x14ac:dyDescent="0.3">
      <c r="D3265" s="7"/>
    </row>
    <row r="3266" spans="4:4" x14ac:dyDescent="0.3">
      <c r="D3266" s="7"/>
    </row>
    <row r="3267" spans="4:4" x14ac:dyDescent="0.3">
      <c r="D3267" s="7"/>
    </row>
    <row r="3268" spans="4:4" x14ac:dyDescent="0.3">
      <c r="D3268" s="7"/>
    </row>
    <row r="3269" spans="4:4" x14ac:dyDescent="0.3">
      <c r="D3269" s="7"/>
    </row>
    <row r="3270" spans="4:4" x14ac:dyDescent="0.3">
      <c r="D3270" s="7"/>
    </row>
    <row r="3271" spans="4:4" x14ac:dyDescent="0.3">
      <c r="D3271" s="7"/>
    </row>
    <row r="3272" spans="4:4" x14ac:dyDescent="0.3">
      <c r="D3272" s="7"/>
    </row>
    <row r="3273" spans="4:4" x14ac:dyDescent="0.3">
      <c r="D3273" s="7"/>
    </row>
    <row r="3274" spans="4:4" x14ac:dyDescent="0.3">
      <c r="D3274" s="7"/>
    </row>
    <row r="3275" spans="4:4" x14ac:dyDescent="0.3">
      <c r="D3275" s="7"/>
    </row>
    <row r="3276" spans="4:4" x14ac:dyDescent="0.3">
      <c r="D3276" s="7"/>
    </row>
    <row r="3277" spans="4:4" x14ac:dyDescent="0.3">
      <c r="D3277" s="7"/>
    </row>
    <row r="3278" spans="4:4" x14ac:dyDescent="0.3">
      <c r="D3278" s="7"/>
    </row>
    <row r="3279" spans="4:4" x14ac:dyDescent="0.3">
      <c r="D3279" s="7"/>
    </row>
    <row r="3280" spans="4:4" x14ac:dyDescent="0.3">
      <c r="D3280" s="7"/>
    </row>
    <row r="3281" spans="4:4" x14ac:dyDescent="0.3">
      <c r="D3281" s="7"/>
    </row>
    <row r="3282" spans="4:4" x14ac:dyDescent="0.3">
      <c r="D3282" s="7"/>
    </row>
    <row r="3283" spans="4:4" x14ac:dyDescent="0.3">
      <c r="D3283" s="7"/>
    </row>
    <row r="3284" spans="4:4" x14ac:dyDescent="0.3">
      <c r="D3284" s="7"/>
    </row>
    <row r="3285" spans="4:4" x14ac:dyDescent="0.3">
      <c r="D3285" s="7"/>
    </row>
    <row r="3286" spans="4:4" x14ac:dyDescent="0.3">
      <c r="D3286" s="7"/>
    </row>
    <row r="3287" spans="4:4" x14ac:dyDescent="0.3">
      <c r="D3287" s="7"/>
    </row>
    <row r="3288" spans="4:4" x14ac:dyDescent="0.3">
      <c r="D3288" s="7"/>
    </row>
    <row r="3289" spans="4:4" x14ac:dyDescent="0.3">
      <c r="D3289" s="7"/>
    </row>
    <row r="3290" spans="4:4" x14ac:dyDescent="0.3">
      <c r="D3290" s="7"/>
    </row>
    <row r="3291" spans="4:4" x14ac:dyDescent="0.3">
      <c r="D3291" s="7"/>
    </row>
    <row r="3292" spans="4:4" x14ac:dyDescent="0.3">
      <c r="D3292" s="7"/>
    </row>
    <row r="3293" spans="4:4" x14ac:dyDescent="0.3">
      <c r="D3293" s="7"/>
    </row>
    <row r="3294" spans="4:4" x14ac:dyDescent="0.3">
      <c r="D3294" s="7"/>
    </row>
    <row r="3295" spans="4:4" x14ac:dyDescent="0.3">
      <c r="D3295" s="7"/>
    </row>
    <row r="3296" spans="4:4" x14ac:dyDescent="0.3">
      <c r="D3296" s="7"/>
    </row>
    <row r="3297" spans="4:4" x14ac:dyDescent="0.3">
      <c r="D3297" s="7"/>
    </row>
    <row r="3298" spans="4:4" x14ac:dyDescent="0.3">
      <c r="D3298" s="7"/>
    </row>
    <row r="3299" spans="4:4" x14ac:dyDescent="0.3">
      <c r="D3299" s="7"/>
    </row>
    <row r="3300" spans="4:4" x14ac:dyDescent="0.3">
      <c r="D3300" s="7"/>
    </row>
    <row r="3301" spans="4:4" x14ac:dyDescent="0.3">
      <c r="D3301" s="7"/>
    </row>
    <row r="3302" spans="4:4" x14ac:dyDescent="0.3">
      <c r="D3302" s="7"/>
    </row>
    <row r="3303" spans="4:4" x14ac:dyDescent="0.3">
      <c r="D3303" s="7"/>
    </row>
    <row r="3304" spans="4:4" x14ac:dyDescent="0.3">
      <c r="D3304" s="7"/>
    </row>
    <row r="3305" spans="4:4" x14ac:dyDescent="0.3">
      <c r="D3305" s="7"/>
    </row>
    <row r="3306" spans="4:4" x14ac:dyDescent="0.3">
      <c r="D3306" s="7"/>
    </row>
    <row r="3307" spans="4:4" x14ac:dyDescent="0.3">
      <c r="D3307" s="7"/>
    </row>
    <row r="3308" spans="4:4" x14ac:dyDescent="0.3">
      <c r="D3308" s="7"/>
    </row>
    <row r="3309" spans="4:4" x14ac:dyDescent="0.3">
      <c r="D3309" s="7"/>
    </row>
    <row r="3310" spans="4:4" x14ac:dyDescent="0.3">
      <c r="D3310" s="7"/>
    </row>
    <row r="3311" spans="4:4" x14ac:dyDescent="0.3">
      <c r="D3311" s="7"/>
    </row>
    <row r="3312" spans="4:4" x14ac:dyDescent="0.3">
      <c r="D3312" s="7"/>
    </row>
    <row r="3313" spans="4:4" x14ac:dyDescent="0.3">
      <c r="D3313" s="7"/>
    </row>
    <row r="3314" spans="4:4" x14ac:dyDescent="0.3">
      <c r="D3314" s="7"/>
    </row>
    <row r="3315" spans="4:4" x14ac:dyDescent="0.3">
      <c r="D3315" s="7"/>
    </row>
    <row r="3316" spans="4:4" x14ac:dyDescent="0.3">
      <c r="D3316" s="7"/>
    </row>
    <row r="3317" spans="4:4" x14ac:dyDescent="0.3">
      <c r="D3317" s="7"/>
    </row>
    <row r="3318" spans="4:4" x14ac:dyDescent="0.3">
      <c r="D3318" s="7"/>
    </row>
    <row r="3319" spans="4:4" x14ac:dyDescent="0.3">
      <c r="D3319" s="7"/>
    </row>
    <row r="3320" spans="4:4" x14ac:dyDescent="0.3">
      <c r="D3320" s="7"/>
    </row>
    <row r="3321" spans="4:4" x14ac:dyDescent="0.3">
      <c r="D3321" s="7"/>
    </row>
    <row r="3322" spans="4:4" x14ac:dyDescent="0.3">
      <c r="D3322" s="7"/>
    </row>
    <row r="3323" spans="4:4" x14ac:dyDescent="0.3">
      <c r="D3323" s="7"/>
    </row>
    <row r="3324" spans="4:4" x14ac:dyDescent="0.3">
      <c r="D3324" s="7"/>
    </row>
    <row r="3325" spans="4:4" x14ac:dyDescent="0.3">
      <c r="D3325" s="7"/>
    </row>
    <row r="3326" spans="4:4" x14ac:dyDescent="0.3">
      <c r="D3326" s="7"/>
    </row>
    <row r="3327" spans="4:4" x14ac:dyDescent="0.3">
      <c r="D3327" s="7"/>
    </row>
    <row r="3328" spans="4:4" x14ac:dyDescent="0.3">
      <c r="D3328" s="7"/>
    </row>
    <row r="3329" spans="4:4" x14ac:dyDescent="0.3">
      <c r="D3329" s="7"/>
    </row>
    <row r="3330" spans="4:4" x14ac:dyDescent="0.3">
      <c r="D3330" s="7"/>
    </row>
    <row r="3331" spans="4:4" x14ac:dyDescent="0.3">
      <c r="D3331" s="7"/>
    </row>
    <row r="3332" spans="4:4" x14ac:dyDescent="0.3">
      <c r="D3332" s="7"/>
    </row>
    <row r="3333" spans="4:4" x14ac:dyDescent="0.3">
      <c r="D3333" s="7"/>
    </row>
    <row r="3334" spans="4:4" x14ac:dyDescent="0.3">
      <c r="D3334" s="7"/>
    </row>
    <row r="3335" spans="4:4" x14ac:dyDescent="0.3">
      <c r="D3335" s="7"/>
    </row>
    <row r="3336" spans="4:4" x14ac:dyDescent="0.3">
      <c r="D3336" s="7"/>
    </row>
    <row r="3337" spans="4:4" x14ac:dyDescent="0.3">
      <c r="D3337" s="7"/>
    </row>
    <row r="3338" spans="4:4" x14ac:dyDescent="0.3">
      <c r="D3338" s="7"/>
    </row>
    <row r="3339" spans="4:4" x14ac:dyDescent="0.3">
      <c r="D3339" s="7"/>
    </row>
    <row r="3340" spans="4:4" x14ac:dyDescent="0.3">
      <c r="D3340" s="7"/>
    </row>
    <row r="3341" spans="4:4" x14ac:dyDescent="0.3">
      <c r="D3341" s="7"/>
    </row>
    <row r="3342" spans="4:4" x14ac:dyDescent="0.3">
      <c r="D3342" s="7"/>
    </row>
    <row r="3343" spans="4:4" x14ac:dyDescent="0.3">
      <c r="D3343" s="7"/>
    </row>
    <row r="3344" spans="4:4" x14ac:dyDescent="0.3">
      <c r="D3344" s="7"/>
    </row>
    <row r="3345" spans="4:4" x14ac:dyDescent="0.3">
      <c r="D3345" s="7"/>
    </row>
    <row r="3346" spans="4:4" x14ac:dyDescent="0.3">
      <c r="D3346" s="7"/>
    </row>
    <row r="3347" spans="4:4" x14ac:dyDescent="0.3">
      <c r="D3347" s="7"/>
    </row>
    <row r="3348" spans="4:4" x14ac:dyDescent="0.3">
      <c r="D3348" s="7"/>
    </row>
    <row r="3349" spans="4:4" x14ac:dyDescent="0.3">
      <c r="D3349" s="7"/>
    </row>
    <row r="3350" spans="4:4" x14ac:dyDescent="0.3">
      <c r="D3350" s="7"/>
    </row>
    <row r="3351" spans="4:4" x14ac:dyDescent="0.3">
      <c r="D3351" s="7"/>
    </row>
    <row r="3352" spans="4:4" x14ac:dyDescent="0.3">
      <c r="D3352" s="7"/>
    </row>
    <row r="3353" spans="4:4" x14ac:dyDescent="0.3">
      <c r="D3353" s="7"/>
    </row>
    <row r="3354" spans="4:4" x14ac:dyDescent="0.3">
      <c r="D3354" s="7"/>
    </row>
    <row r="3355" spans="4:4" x14ac:dyDescent="0.3">
      <c r="D3355" s="7"/>
    </row>
    <row r="3356" spans="4:4" x14ac:dyDescent="0.3">
      <c r="D3356" s="7"/>
    </row>
    <row r="3357" spans="4:4" x14ac:dyDescent="0.3">
      <c r="D3357" s="7"/>
    </row>
    <row r="3358" spans="4:4" x14ac:dyDescent="0.3">
      <c r="D3358" s="7"/>
    </row>
    <row r="3359" spans="4:4" x14ac:dyDescent="0.3">
      <c r="D3359" s="7"/>
    </row>
    <row r="3360" spans="4:4" x14ac:dyDescent="0.3">
      <c r="D3360" s="7"/>
    </row>
    <row r="3361" spans="4:4" x14ac:dyDescent="0.3">
      <c r="D3361" s="7"/>
    </row>
    <row r="3362" spans="4:4" x14ac:dyDescent="0.3">
      <c r="D3362" s="7"/>
    </row>
    <row r="3363" spans="4:4" x14ac:dyDescent="0.3">
      <c r="D3363" s="7"/>
    </row>
    <row r="3364" spans="4:4" x14ac:dyDescent="0.3">
      <c r="D3364" s="7"/>
    </row>
    <row r="3365" spans="4:4" x14ac:dyDescent="0.3">
      <c r="D3365" s="7"/>
    </row>
    <row r="3366" spans="4:4" x14ac:dyDescent="0.3">
      <c r="D3366" s="7"/>
    </row>
    <row r="3367" spans="4:4" x14ac:dyDescent="0.3">
      <c r="D3367" s="7"/>
    </row>
    <row r="3368" spans="4:4" x14ac:dyDescent="0.3">
      <c r="D3368" s="7"/>
    </row>
    <row r="3369" spans="4:4" x14ac:dyDescent="0.3">
      <c r="D3369" s="7"/>
    </row>
    <row r="3370" spans="4:4" x14ac:dyDescent="0.3">
      <c r="D3370" s="7"/>
    </row>
    <row r="3371" spans="4:4" x14ac:dyDescent="0.3">
      <c r="D3371" s="7"/>
    </row>
    <row r="3372" spans="4:4" x14ac:dyDescent="0.3">
      <c r="D3372" s="7"/>
    </row>
    <row r="3373" spans="4:4" x14ac:dyDescent="0.3">
      <c r="D3373" s="7"/>
    </row>
    <row r="3374" spans="4:4" x14ac:dyDescent="0.3">
      <c r="D3374" s="7"/>
    </row>
    <row r="3375" spans="4:4" x14ac:dyDescent="0.3">
      <c r="D3375" s="7"/>
    </row>
    <row r="3376" spans="4:4" x14ac:dyDescent="0.3">
      <c r="D3376" s="7"/>
    </row>
    <row r="3377" spans="4:4" x14ac:dyDescent="0.3">
      <c r="D3377" s="7"/>
    </row>
    <row r="3378" spans="4:4" x14ac:dyDescent="0.3">
      <c r="D3378" s="7"/>
    </row>
    <row r="3379" spans="4:4" x14ac:dyDescent="0.3">
      <c r="D3379" s="7"/>
    </row>
    <row r="3380" spans="4:4" x14ac:dyDescent="0.3">
      <c r="D3380" s="7"/>
    </row>
    <row r="3381" spans="4:4" x14ac:dyDescent="0.3">
      <c r="D3381" s="7"/>
    </row>
    <row r="3382" spans="4:4" x14ac:dyDescent="0.3">
      <c r="D3382" s="7"/>
    </row>
    <row r="3383" spans="4:4" x14ac:dyDescent="0.3">
      <c r="D3383" s="7"/>
    </row>
    <row r="3384" spans="4:4" x14ac:dyDescent="0.3">
      <c r="D3384" s="7"/>
    </row>
    <row r="3385" spans="4:4" x14ac:dyDescent="0.3">
      <c r="D3385" s="7"/>
    </row>
    <row r="3386" spans="4:4" x14ac:dyDescent="0.3">
      <c r="D3386" s="7"/>
    </row>
    <row r="3387" spans="4:4" x14ac:dyDescent="0.3">
      <c r="D3387" s="7"/>
    </row>
    <row r="3388" spans="4:4" x14ac:dyDescent="0.3">
      <c r="D3388" s="7"/>
    </row>
    <row r="3389" spans="4:4" x14ac:dyDescent="0.3">
      <c r="D3389" s="7"/>
    </row>
    <row r="3390" spans="4:4" x14ac:dyDescent="0.3">
      <c r="D3390" s="7"/>
    </row>
    <row r="3391" spans="4:4" x14ac:dyDescent="0.3">
      <c r="D3391" s="7"/>
    </row>
    <row r="3392" spans="4:4" x14ac:dyDescent="0.3">
      <c r="D3392" s="7"/>
    </row>
    <row r="3393" spans="4:4" x14ac:dyDescent="0.3">
      <c r="D3393" s="7"/>
    </row>
    <row r="3394" spans="4:4" x14ac:dyDescent="0.3">
      <c r="D3394" s="7"/>
    </row>
    <row r="3395" spans="4:4" x14ac:dyDescent="0.3">
      <c r="D3395" s="7"/>
    </row>
    <row r="3396" spans="4:4" x14ac:dyDescent="0.3">
      <c r="D3396" s="7"/>
    </row>
    <row r="3397" spans="4:4" x14ac:dyDescent="0.3">
      <c r="D3397" s="7"/>
    </row>
    <row r="3398" spans="4:4" x14ac:dyDescent="0.3">
      <c r="D3398" s="7"/>
    </row>
    <row r="3399" spans="4:4" x14ac:dyDescent="0.3">
      <c r="D3399" s="7"/>
    </row>
    <row r="3400" spans="4:4" x14ac:dyDescent="0.3">
      <c r="D3400" s="7"/>
    </row>
    <row r="3401" spans="4:4" x14ac:dyDescent="0.3">
      <c r="D3401" s="7"/>
    </row>
    <row r="3402" spans="4:4" x14ac:dyDescent="0.3">
      <c r="D3402" s="7"/>
    </row>
    <row r="3403" spans="4:4" x14ac:dyDescent="0.3">
      <c r="D3403" s="7"/>
    </row>
    <row r="3404" spans="4:4" x14ac:dyDescent="0.3">
      <c r="D3404" s="7"/>
    </row>
    <row r="3405" spans="4:4" x14ac:dyDescent="0.3">
      <c r="D3405" s="7"/>
    </row>
    <row r="3406" spans="4:4" x14ac:dyDescent="0.3">
      <c r="D3406" s="7"/>
    </row>
    <row r="3407" spans="4:4" x14ac:dyDescent="0.3">
      <c r="D3407" s="7"/>
    </row>
    <row r="3408" spans="4:4" x14ac:dyDescent="0.3">
      <c r="D3408" s="7"/>
    </row>
    <row r="3409" spans="4:4" x14ac:dyDescent="0.3">
      <c r="D3409" s="7"/>
    </row>
    <row r="3410" spans="4:4" x14ac:dyDescent="0.3">
      <c r="D3410" s="7"/>
    </row>
    <row r="3411" spans="4:4" x14ac:dyDescent="0.3">
      <c r="D3411" s="7"/>
    </row>
    <row r="3412" spans="4:4" x14ac:dyDescent="0.3">
      <c r="D3412" s="7"/>
    </row>
    <row r="3413" spans="4:4" x14ac:dyDescent="0.3">
      <c r="D3413" s="7"/>
    </row>
    <row r="3414" spans="4:4" x14ac:dyDescent="0.3">
      <c r="D3414" s="7"/>
    </row>
    <row r="3415" spans="4:4" x14ac:dyDescent="0.3">
      <c r="D3415" s="7"/>
    </row>
    <row r="3416" spans="4:4" x14ac:dyDescent="0.3">
      <c r="D3416" s="7"/>
    </row>
    <row r="3417" spans="4:4" x14ac:dyDescent="0.3">
      <c r="D3417" s="7"/>
    </row>
    <row r="3418" spans="4:4" x14ac:dyDescent="0.3">
      <c r="D3418" s="7"/>
    </row>
    <row r="3419" spans="4:4" x14ac:dyDescent="0.3">
      <c r="D3419" s="7"/>
    </row>
    <row r="3420" spans="4:4" x14ac:dyDescent="0.3">
      <c r="D3420" s="7"/>
    </row>
    <row r="3421" spans="4:4" x14ac:dyDescent="0.3">
      <c r="D3421" s="7"/>
    </row>
    <row r="3422" spans="4:4" x14ac:dyDescent="0.3">
      <c r="D3422" s="7"/>
    </row>
    <row r="3423" spans="4:4" x14ac:dyDescent="0.3">
      <c r="D3423" s="7"/>
    </row>
    <row r="3424" spans="4:4" x14ac:dyDescent="0.3">
      <c r="D3424" s="7"/>
    </row>
    <row r="3425" spans="4:4" x14ac:dyDescent="0.3">
      <c r="D3425" s="7"/>
    </row>
    <row r="3426" spans="4:4" x14ac:dyDescent="0.3">
      <c r="D3426" s="7"/>
    </row>
    <row r="3427" spans="4:4" x14ac:dyDescent="0.3">
      <c r="D3427" s="7"/>
    </row>
    <row r="3428" spans="4:4" x14ac:dyDescent="0.3">
      <c r="D3428" s="7"/>
    </row>
    <row r="3429" spans="4:4" x14ac:dyDescent="0.3">
      <c r="D3429" s="7"/>
    </row>
    <row r="3430" spans="4:4" x14ac:dyDescent="0.3">
      <c r="D3430" s="7"/>
    </row>
    <row r="3431" spans="4:4" x14ac:dyDescent="0.3">
      <c r="D3431" s="7"/>
    </row>
    <row r="3432" spans="4:4" x14ac:dyDescent="0.3">
      <c r="D3432" s="7"/>
    </row>
    <row r="3433" spans="4:4" x14ac:dyDescent="0.3">
      <c r="D3433" s="7"/>
    </row>
    <row r="3434" spans="4:4" x14ac:dyDescent="0.3">
      <c r="D3434" s="7"/>
    </row>
    <row r="3435" spans="4:4" x14ac:dyDescent="0.3">
      <c r="D3435" s="7"/>
    </row>
    <row r="3436" spans="4:4" x14ac:dyDescent="0.3">
      <c r="D3436" s="7"/>
    </row>
    <row r="3437" spans="4:4" x14ac:dyDescent="0.3">
      <c r="D3437" s="7"/>
    </row>
    <row r="3438" spans="4:4" x14ac:dyDescent="0.3">
      <c r="D3438" s="7"/>
    </row>
    <row r="3439" spans="4:4" x14ac:dyDescent="0.3">
      <c r="D3439" s="7"/>
    </row>
    <row r="3440" spans="4:4" x14ac:dyDescent="0.3">
      <c r="D3440" s="7"/>
    </row>
    <row r="3441" spans="4:4" x14ac:dyDescent="0.3">
      <c r="D3441" s="7"/>
    </row>
    <row r="3442" spans="4:4" x14ac:dyDescent="0.3">
      <c r="D3442" s="7"/>
    </row>
    <row r="3443" spans="4:4" x14ac:dyDescent="0.3">
      <c r="D3443" s="7"/>
    </row>
    <row r="3444" spans="4:4" x14ac:dyDescent="0.3">
      <c r="D3444" s="7"/>
    </row>
    <row r="3445" spans="4:4" x14ac:dyDescent="0.3">
      <c r="D3445" s="7"/>
    </row>
    <row r="3446" spans="4:4" x14ac:dyDescent="0.3">
      <c r="D3446" s="7"/>
    </row>
    <row r="3447" spans="4:4" x14ac:dyDescent="0.3">
      <c r="D3447" s="7"/>
    </row>
    <row r="3448" spans="4:4" x14ac:dyDescent="0.3">
      <c r="D3448" s="7"/>
    </row>
    <row r="3449" spans="4:4" x14ac:dyDescent="0.3">
      <c r="D3449" s="7"/>
    </row>
    <row r="3450" spans="4:4" x14ac:dyDescent="0.3">
      <c r="D3450" s="7"/>
    </row>
    <row r="3451" spans="4:4" x14ac:dyDescent="0.3">
      <c r="D3451" s="7"/>
    </row>
    <row r="3452" spans="4:4" x14ac:dyDescent="0.3">
      <c r="D3452" s="7"/>
    </row>
    <row r="3453" spans="4:4" x14ac:dyDescent="0.3">
      <c r="D3453" s="7"/>
    </row>
    <row r="3454" spans="4:4" x14ac:dyDescent="0.3">
      <c r="D3454" s="7"/>
    </row>
    <row r="3455" spans="4:4" x14ac:dyDescent="0.3">
      <c r="D3455" s="7"/>
    </row>
    <row r="3456" spans="4:4" x14ac:dyDescent="0.3">
      <c r="D3456" s="7"/>
    </row>
    <row r="3457" spans="4:4" x14ac:dyDescent="0.3">
      <c r="D3457" s="7"/>
    </row>
    <row r="3458" spans="4:4" x14ac:dyDescent="0.3">
      <c r="D3458" s="7"/>
    </row>
    <row r="3459" spans="4:4" x14ac:dyDescent="0.3">
      <c r="D3459" s="7"/>
    </row>
    <row r="3460" spans="4:4" x14ac:dyDescent="0.3">
      <c r="D3460" s="7"/>
    </row>
    <row r="3461" spans="4:4" x14ac:dyDescent="0.3">
      <c r="D3461" s="7"/>
    </row>
    <row r="3462" spans="4:4" x14ac:dyDescent="0.3">
      <c r="D3462" s="7"/>
    </row>
    <row r="3463" spans="4:4" x14ac:dyDescent="0.3">
      <c r="D3463" s="7"/>
    </row>
    <row r="3464" spans="4:4" x14ac:dyDescent="0.3">
      <c r="D3464" s="7"/>
    </row>
    <row r="3465" spans="4:4" x14ac:dyDescent="0.3">
      <c r="D3465" s="7"/>
    </row>
    <row r="3466" spans="4:4" x14ac:dyDescent="0.3">
      <c r="D3466" s="7"/>
    </row>
    <row r="3467" spans="4:4" x14ac:dyDescent="0.3">
      <c r="D3467" s="7"/>
    </row>
    <row r="3468" spans="4:4" x14ac:dyDescent="0.3">
      <c r="D3468" s="7"/>
    </row>
    <row r="3469" spans="4:4" x14ac:dyDescent="0.3">
      <c r="D3469" s="7"/>
    </row>
    <row r="3470" spans="4:4" x14ac:dyDescent="0.3">
      <c r="D3470" s="7"/>
    </row>
    <row r="3471" spans="4:4" x14ac:dyDescent="0.3">
      <c r="D3471" s="7"/>
    </row>
    <row r="3472" spans="4:4" x14ac:dyDescent="0.3">
      <c r="D3472" s="7"/>
    </row>
    <row r="3473" spans="4:4" x14ac:dyDescent="0.3">
      <c r="D3473" s="7"/>
    </row>
    <row r="3474" spans="4:4" x14ac:dyDescent="0.3">
      <c r="D3474" s="7"/>
    </row>
    <row r="3475" spans="4:4" x14ac:dyDescent="0.3">
      <c r="D3475" s="7"/>
    </row>
    <row r="3476" spans="4:4" x14ac:dyDescent="0.3">
      <c r="D3476" s="7"/>
    </row>
    <row r="3477" spans="4:4" x14ac:dyDescent="0.3">
      <c r="D3477" s="7"/>
    </row>
    <row r="3478" spans="4:4" x14ac:dyDescent="0.3">
      <c r="D3478" s="7"/>
    </row>
    <row r="3479" spans="4:4" x14ac:dyDescent="0.3">
      <c r="D3479" s="7"/>
    </row>
    <row r="3480" spans="4:4" x14ac:dyDescent="0.3">
      <c r="D3480" s="7"/>
    </row>
    <row r="3481" spans="4:4" x14ac:dyDescent="0.3">
      <c r="D3481" s="7"/>
    </row>
    <row r="3482" spans="4:4" x14ac:dyDescent="0.3">
      <c r="D3482" s="7"/>
    </row>
    <row r="3483" spans="4:4" x14ac:dyDescent="0.3">
      <c r="D3483" s="7"/>
    </row>
    <row r="3484" spans="4:4" x14ac:dyDescent="0.3">
      <c r="D3484" s="7"/>
    </row>
    <row r="3485" spans="4:4" x14ac:dyDescent="0.3">
      <c r="D3485" s="7"/>
    </row>
    <row r="3486" spans="4:4" x14ac:dyDescent="0.3">
      <c r="D3486" s="7"/>
    </row>
    <row r="3487" spans="4:4" x14ac:dyDescent="0.3">
      <c r="D3487" s="7"/>
    </row>
    <row r="3488" spans="4:4" x14ac:dyDescent="0.3">
      <c r="D3488" s="7"/>
    </row>
    <row r="3489" spans="4:4" x14ac:dyDescent="0.3">
      <c r="D3489" s="7"/>
    </row>
    <row r="3490" spans="4:4" x14ac:dyDescent="0.3">
      <c r="D3490" s="7"/>
    </row>
    <row r="3491" spans="4:4" x14ac:dyDescent="0.3">
      <c r="D3491" s="7"/>
    </row>
    <row r="3492" spans="4:4" x14ac:dyDescent="0.3">
      <c r="D3492" s="7"/>
    </row>
    <row r="3493" spans="4:4" x14ac:dyDescent="0.3">
      <c r="D3493" s="7"/>
    </row>
    <row r="3494" spans="4:4" x14ac:dyDescent="0.3">
      <c r="D3494" s="7"/>
    </row>
    <row r="3495" spans="4:4" x14ac:dyDescent="0.3">
      <c r="D3495" s="7"/>
    </row>
    <row r="3496" spans="4:4" x14ac:dyDescent="0.3">
      <c r="D3496" s="7"/>
    </row>
    <row r="3497" spans="4:4" x14ac:dyDescent="0.3">
      <c r="D3497" s="7"/>
    </row>
    <row r="3498" spans="4:4" x14ac:dyDescent="0.3">
      <c r="D3498" s="7"/>
    </row>
    <row r="3499" spans="4:4" x14ac:dyDescent="0.3">
      <c r="D3499" s="7"/>
    </row>
    <row r="3500" spans="4:4" x14ac:dyDescent="0.3">
      <c r="D3500" s="7"/>
    </row>
    <row r="3501" spans="4:4" x14ac:dyDescent="0.3">
      <c r="D3501" s="7"/>
    </row>
    <row r="3502" spans="4:4" x14ac:dyDescent="0.3">
      <c r="D3502" s="7"/>
    </row>
    <row r="3503" spans="4:4" x14ac:dyDescent="0.3">
      <c r="D3503" s="7"/>
    </row>
    <row r="3504" spans="4:4" x14ac:dyDescent="0.3">
      <c r="D3504" s="7"/>
    </row>
    <row r="3505" spans="4:4" x14ac:dyDescent="0.3">
      <c r="D3505" s="7"/>
    </row>
    <row r="3506" spans="4:4" x14ac:dyDescent="0.3">
      <c r="D3506" s="7"/>
    </row>
    <row r="3507" spans="4:4" x14ac:dyDescent="0.3">
      <c r="D3507" s="7"/>
    </row>
    <row r="3508" spans="4:4" x14ac:dyDescent="0.3">
      <c r="D3508" s="7"/>
    </row>
    <row r="3509" spans="4:4" x14ac:dyDescent="0.3">
      <c r="D3509" s="7"/>
    </row>
    <row r="3510" spans="4:4" x14ac:dyDescent="0.3">
      <c r="D3510" s="7"/>
    </row>
    <row r="3511" spans="4:4" x14ac:dyDescent="0.3">
      <c r="D3511" s="7"/>
    </row>
    <row r="3512" spans="4:4" x14ac:dyDescent="0.3">
      <c r="D3512" s="7"/>
    </row>
    <row r="3513" spans="4:4" x14ac:dyDescent="0.3">
      <c r="D3513" s="7"/>
    </row>
    <row r="3514" spans="4:4" x14ac:dyDescent="0.3">
      <c r="D3514" s="7"/>
    </row>
    <row r="3515" spans="4:4" x14ac:dyDescent="0.3">
      <c r="D3515" s="7"/>
    </row>
    <row r="3516" spans="4:4" x14ac:dyDescent="0.3">
      <c r="D3516" s="7"/>
    </row>
    <row r="3517" spans="4:4" x14ac:dyDescent="0.3">
      <c r="D3517" s="7"/>
    </row>
    <row r="3518" spans="4:4" x14ac:dyDescent="0.3">
      <c r="D3518" s="7"/>
    </row>
    <row r="3519" spans="4:4" x14ac:dyDescent="0.3">
      <c r="D3519" s="7"/>
    </row>
    <row r="3520" spans="4:4" x14ac:dyDescent="0.3">
      <c r="D3520" s="7"/>
    </row>
    <row r="3521" spans="4:4" x14ac:dyDescent="0.3">
      <c r="D3521" s="7"/>
    </row>
    <row r="3522" spans="4:4" x14ac:dyDescent="0.3">
      <c r="D3522" s="7"/>
    </row>
    <row r="3523" spans="4:4" x14ac:dyDescent="0.3">
      <c r="D3523" s="7"/>
    </row>
    <row r="3524" spans="4:4" x14ac:dyDescent="0.3">
      <c r="D3524" s="7"/>
    </row>
    <row r="3525" spans="4:4" x14ac:dyDescent="0.3">
      <c r="D3525" s="7"/>
    </row>
    <row r="3526" spans="4:4" x14ac:dyDescent="0.3">
      <c r="D3526" s="7"/>
    </row>
    <row r="3527" spans="4:4" x14ac:dyDescent="0.3">
      <c r="D3527" s="7"/>
    </row>
    <row r="3528" spans="4:4" x14ac:dyDescent="0.3">
      <c r="D3528" s="7"/>
    </row>
    <row r="3529" spans="4:4" x14ac:dyDescent="0.3">
      <c r="D3529" s="7"/>
    </row>
    <row r="3530" spans="4:4" x14ac:dyDescent="0.3">
      <c r="D3530" s="7"/>
    </row>
    <row r="3531" spans="4:4" x14ac:dyDescent="0.3">
      <c r="D3531" s="7"/>
    </row>
    <row r="3532" spans="4:4" x14ac:dyDescent="0.3">
      <c r="D3532" s="7"/>
    </row>
    <row r="3533" spans="4:4" x14ac:dyDescent="0.3">
      <c r="D3533" s="7"/>
    </row>
    <row r="3534" spans="4:4" x14ac:dyDescent="0.3">
      <c r="D3534" s="7"/>
    </row>
    <row r="3535" spans="4:4" x14ac:dyDescent="0.3">
      <c r="D3535" s="7"/>
    </row>
    <row r="3536" spans="4:4" x14ac:dyDescent="0.3">
      <c r="D3536" s="7"/>
    </row>
    <row r="3537" spans="4:4" x14ac:dyDescent="0.3">
      <c r="D3537" s="7"/>
    </row>
    <row r="3538" spans="4:4" x14ac:dyDescent="0.3">
      <c r="D3538" s="7"/>
    </row>
    <row r="3539" spans="4:4" x14ac:dyDescent="0.3">
      <c r="D3539" s="7"/>
    </row>
    <row r="3540" spans="4:4" x14ac:dyDescent="0.3">
      <c r="D3540" s="7"/>
    </row>
    <row r="3541" spans="4:4" x14ac:dyDescent="0.3">
      <c r="D3541" s="7"/>
    </row>
    <row r="3542" spans="4:4" x14ac:dyDescent="0.3">
      <c r="D3542" s="7"/>
    </row>
    <row r="3543" spans="4:4" x14ac:dyDescent="0.3">
      <c r="D3543" s="7"/>
    </row>
    <row r="3544" spans="4:4" x14ac:dyDescent="0.3">
      <c r="D3544" s="7"/>
    </row>
    <row r="3545" spans="4:4" x14ac:dyDescent="0.3">
      <c r="D3545" s="7"/>
    </row>
    <row r="3546" spans="4:4" x14ac:dyDescent="0.3">
      <c r="D3546" s="7"/>
    </row>
    <row r="3547" spans="4:4" x14ac:dyDescent="0.3">
      <c r="D3547" s="7"/>
    </row>
    <row r="3548" spans="4:4" x14ac:dyDescent="0.3">
      <c r="D3548" s="7"/>
    </row>
    <row r="3549" spans="4:4" x14ac:dyDescent="0.3">
      <c r="D3549" s="7"/>
    </row>
    <row r="3550" spans="4:4" x14ac:dyDescent="0.3">
      <c r="D3550" s="7"/>
    </row>
    <row r="3551" spans="4:4" x14ac:dyDescent="0.3">
      <c r="D3551" s="7"/>
    </row>
    <row r="3552" spans="4:4" x14ac:dyDescent="0.3">
      <c r="D3552" s="7"/>
    </row>
    <row r="3553" spans="4:4" x14ac:dyDescent="0.3">
      <c r="D3553" s="7"/>
    </row>
    <row r="3554" spans="4:4" x14ac:dyDescent="0.3">
      <c r="D3554" s="7"/>
    </row>
    <row r="3555" spans="4:4" x14ac:dyDescent="0.3">
      <c r="D3555" s="7"/>
    </row>
    <row r="3556" spans="4:4" x14ac:dyDescent="0.3">
      <c r="D3556" s="7"/>
    </row>
    <row r="3557" spans="4:4" x14ac:dyDescent="0.3">
      <c r="D3557" s="7"/>
    </row>
    <row r="3558" spans="4:4" x14ac:dyDescent="0.3">
      <c r="D3558" s="7"/>
    </row>
    <row r="3559" spans="4:4" x14ac:dyDescent="0.3">
      <c r="D3559" s="7"/>
    </row>
    <row r="3560" spans="4:4" x14ac:dyDescent="0.3">
      <c r="D3560" s="7"/>
    </row>
    <row r="3561" spans="4:4" x14ac:dyDescent="0.3">
      <c r="D3561" s="7"/>
    </row>
    <row r="3562" spans="4:4" x14ac:dyDescent="0.3">
      <c r="D3562" s="7"/>
    </row>
    <row r="3563" spans="4:4" x14ac:dyDescent="0.3">
      <c r="D3563" s="7"/>
    </row>
    <row r="3564" spans="4:4" x14ac:dyDescent="0.3">
      <c r="D3564" s="7"/>
    </row>
    <row r="3565" spans="4:4" x14ac:dyDescent="0.3">
      <c r="D3565" s="7"/>
    </row>
    <row r="3566" spans="4:4" x14ac:dyDescent="0.3">
      <c r="D3566" s="7"/>
    </row>
    <row r="3567" spans="4:4" x14ac:dyDescent="0.3">
      <c r="D3567" s="7"/>
    </row>
    <row r="3568" spans="4:4" x14ac:dyDescent="0.3">
      <c r="D3568" s="7"/>
    </row>
    <row r="3569" spans="4:4" x14ac:dyDescent="0.3">
      <c r="D3569" s="7"/>
    </row>
    <row r="3570" spans="4:4" x14ac:dyDescent="0.3">
      <c r="D3570" s="7"/>
    </row>
    <row r="3571" spans="4:4" x14ac:dyDescent="0.3">
      <c r="D3571" s="7"/>
    </row>
    <row r="3572" spans="4:4" x14ac:dyDescent="0.3">
      <c r="D3572" s="7"/>
    </row>
    <row r="3573" spans="4:4" x14ac:dyDescent="0.3">
      <c r="D3573" s="7"/>
    </row>
    <row r="3574" spans="4:4" x14ac:dyDescent="0.3">
      <c r="D3574" s="7"/>
    </row>
    <row r="3575" spans="4:4" x14ac:dyDescent="0.3">
      <c r="D3575" s="7"/>
    </row>
    <row r="3576" spans="4:4" x14ac:dyDescent="0.3">
      <c r="D3576" s="7"/>
    </row>
    <row r="3577" spans="4:4" x14ac:dyDescent="0.3">
      <c r="D3577" s="7"/>
    </row>
    <row r="3578" spans="4:4" x14ac:dyDescent="0.3">
      <c r="D3578" s="7"/>
    </row>
    <row r="3579" spans="4:4" x14ac:dyDescent="0.3">
      <c r="D3579" s="7"/>
    </row>
    <row r="3580" spans="4:4" x14ac:dyDescent="0.3">
      <c r="D3580" s="7"/>
    </row>
    <row r="3581" spans="4:4" x14ac:dyDescent="0.3">
      <c r="D3581" s="7"/>
    </row>
    <row r="3582" spans="4:4" x14ac:dyDescent="0.3">
      <c r="D3582" s="7"/>
    </row>
    <row r="3583" spans="4:4" x14ac:dyDescent="0.3">
      <c r="D3583" s="7"/>
    </row>
    <row r="3584" spans="4:4" x14ac:dyDescent="0.3">
      <c r="D3584" s="7"/>
    </row>
    <row r="3585" spans="4:4" x14ac:dyDescent="0.3">
      <c r="D3585" s="7"/>
    </row>
    <row r="3586" spans="4:4" x14ac:dyDescent="0.3">
      <c r="D3586" s="7"/>
    </row>
    <row r="3587" spans="4:4" x14ac:dyDescent="0.3">
      <c r="D3587" s="7"/>
    </row>
    <row r="3588" spans="4:4" x14ac:dyDescent="0.3">
      <c r="D3588" s="7"/>
    </row>
    <row r="3589" spans="4:4" x14ac:dyDescent="0.3">
      <c r="D3589" s="7"/>
    </row>
    <row r="3590" spans="4:4" x14ac:dyDescent="0.3">
      <c r="D3590" s="7"/>
    </row>
    <row r="3591" spans="4:4" x14ac:dyDescent="0.3">
      <c r="D3591" s="7"/>
    </row>
    <row r="3592" spans="4:4" x14ac:dyDescent="0.3">
      <c r="D3592" s="7"/>
    </row>
    <row r="3593" spans="4:4" x14ac:dyDescent="0.3">
      <c r="D3593" s="7"/>
    </row>
    <row r="3594" spans="4:4" x14ac:dyDescent="0.3">
      <c r="D3594" s="7"/>
    </row>
    <row r="3595" spans="4:4" x14ac:dyDescent="0.3">
      <c r="D3595" s="7"/>
    </row>
    <row r="3596" spans="4:4" x14ac:dyDescent="0.3">
      <c r="D3596" s="7"/>
    </row>
    <row r="3597" spans="4:4" x14ac:dyDescent="0.3">
      <c r="D3597" s="7"/>
    </row>
    <row r="3598" spans="4:4" x14ac:dyDescent="0.3">
      <c r="D3598" s="7"/>
    </row>
    <row r="3599" spans="4:4" x14ac:dyDescent="0.3">
      <c r="D3599" s="7"/>
    </row>
    <row r="3600" spans="4:4" x14ac:dyDescent="0.3">
      <c r="D3600" s="7"/>
    </row>
    <row r="3601" spans="4:4" x14ac:dyDescent="0.3">
      <c r="D3601" s="7"/>
    </row>
    <row r="3602" spans="4:4" x14ac:dyDescent="0.3">
      <c r="D3602" s="7"/>
    </row>
    <row r="3603" spans="4:4" x14ac:dyDescent="0.3">
      <c r="D3603" s="7"/>
    </row>
    <row r="3604" spans="4:4" x14ac:dyDescent="0.3">
      <c r="D3604" s="7"/>
    </row>
    <row r="3605" spans="4:4" x14ac:dyDescent="0.3">
      <c r="D3605" s="7"/>
    </row>
    <row r="3606" spans="4:4" x14ac:dyDescent="0.3">
      <c r="D3606" s="7"/>
    </row>
    <row r="3607" spans="4:4" x14ac:dyDescent="0.3">
      <c r="D3607" s="7"/>
    </row>
    <row r="3608" spans="4:4" x14ac:dyDescent="0.3">
      <c r="D3608" s="7"/>
    </row>
    <row r="3609" spans="4:4" x14ac:dyDescent="0.3">
      <c r="D3609" s="7"/>
    </row>
    <row r="3610" spans="4:4" x14ac:dyDescent="0.3">
      <c r="D3610" s="7"/>
    </row>
    <row r="3611" spans="4:4" x14ac:dyDescent="0.3">
      <c r="D3611" s="7"/>
    </row>
    <row r="3612" spans="4:4" x14ac:dyDescent="0.3">
      <c r="D3612" s="7"/>
    </row>
    <row r="3613" spans="4:4" x14ac:dyDescent="0.3">
      <c r="D3613" s="7"/>
    </row>
    <row r="3614" spans="4:4" x14ac:dyDescent="0.3">
      <c r="D3614" s="7"/>
    </row>
    <row r="3615" spans="4:4" x14ac:dyDescent="0.3">
      <c r="D3615" s="7"/>
    </row>
    <row r="3616" spans="4:4" x14ac:dyDescent="0.3">
      <c r="D3616" s="7"/>
    </row>
    <row r="3617" spans="4:4" x14ac:dyDescent="0.3">
      <c r="D3617" s="7"/>
    </row>
    <row r="3618" spans="4:4" x14ac:dyDescent="0.3">
      <c r="D3618" s="7"/>
    </row>
    <row r="3619" spans="4:4" x14ac:dyDescent="0.3">
      <c r="D3619" s="7"/>
    </row>
    <row r="3620" spans="4:4" x14ac:dyDescent="0.3">
      <c r="D3620" s="7"/>
    </row>
    <row r="3621" spans="4:4" x14ac:dyDescent="0.3">
      <c r="D3621" s="7"/>
    </row>
    <row r="3622" spans="4:4" x14ac:dyDescent="0.3">
      <c r="D3622" s="7"/>
    </row>
    <row r="3623" spans="4:4" x14ac:dyDescent="0.3">
      <c r="D3623" s="7"/>
    </row>
    <row r="3624" spans="4:4" x14ac:dyDescent="0.3">
      <c r="D3624" s="7"/>
    </row>
    <row r="3625" spans="4:4" x14ac:dyDescent="0.3">
      <c r="D3625" s="7"/>
    </row>
    <row r="3626" spans="4:4" x14ac:dyDescent="0.3">
      <c r="D3626" s="7"/>
    </row>
    <row r="3627" spans="4:4" x14ac:dyDescent="0.3">
      <c r="D3627" s="7"/>
    </row>
    <row r="3628" spans="4:4" x14ac:dyDescent="0.3">
      <c r="D3628" s="7"/>
    </row>
    <row r="3629" spans="4:4" x14ac:dyDescent="0.3">
      <c r="D3629" s="7"/>
    </row>
    <row r="3630" spans="4:4" x14ac:dyDescent="0.3">
      <c r="D3630" s="7"/>
    </row>
    <row r="3631" spans="4:4" x14ac:dyDescent="0.3">
      <c r="D3631" s="7"/>
    </row>
    <row r="3632" spans="4:4" x14ac:dyDescent="0.3">
      <c r="D3632" s="7"/>
    </row>
    <row r="3633" spans="4:4" x14ac:dyDescent="0.3">
      <c r="D3633" s="7"/>
    </row>
    <row r="3634" spans="4:4" x14ac:dyDescent="0.3">
      <c r="D3634" s="7"/>
    </row>
    <row r="3635" spans="4:4" x14ac:dyDescent="0.3">
      <c r="D3635" s="7"/>
    </row>
    <row r="3636" spans="4:4" x14ac:dyDescent="0.3">
      <c r="D3636" s="7"/>
    </row>
    <row r="3637" spans="4:4" x14ac:dyDescent="0.3">
      <c r="D3637" s="7"/>
    </row>
    <row r="3638" spans="4:4" x14ac:dyDescent="0.3">
      <c r="D3638" s="7"/>
    </row>
    <row r="3639" spans="4:4" x14ac:dyDescent="0.3">
      <c r="D3639" s="7"/>
    </row>
    <row r="3640" spans="4:4" x14ac:dyDescent="0.3">
      <c r="D3640" s="7"/>
    </row>
    <row r="3641" spans="4:4" x14ac:dyDescent="0.3">
      <c r="D3641" s="7"/>
    </row>
    <row r="3642" spans="4:4" x14ac:dyDescent="0.3">
      <c r="D3642" s="7"/>
    </row>
    <row r="3643" spans="4:4" x14ac:dyDescent="0.3">
      <c r="D3643" s="7"/>
    </row>
    <row r="3644" spans="4:4" x14ac:dyDescent="0.3">
      <c r="D3644" s="7"/>
    </row>
    <row r="3645" spans="4:4" x14ac:dyDescent="0.3">
      <c r="D3645" s="7"/>
    </row>
    <row r="3646" spans="4:4" x14ac:dyDescent="0.3">
      <c r="D3646" s="7"/>
    </row>
    <row r="3647" spans="4:4" x14ac:dyDescent="0.3">
      <c r="D3647" s="7"/>
    </row>
    <row r="3648" spans="4:4" x14ac:dyDescent="0.3">
      <c r="D3648" s="7"/>
    </row>
    <row r="3649" spans="4:4" x14ac:dyDescent="0.3">
      <c r="D3649" s="7"/>
    </row>
    <row r="3650" spans="4:4" x14ac:dyDescent="0.3">
      <c r="D3650" s="7"/>
    </row>
    <row r="3651" spans="4:4" x14ac:dyDescent="0.3">
      <c r="D3651" s="7"/>
    </row>
    <row r="3652" spans="4:4" x14ac:dyDescent="0.3">
      <c r="D3652" s="7"/>
    </row>
    <row r="3653" spans="4:4" x14ac:dyDescent="0.3">
      <c r="D3653" s="7"/>
    </row>
    <row r="3654" spans="4:4" x14ac:dyDescent="0.3">
      <c r="D3654" s="7"/>
    </row>
    <row r="3655" spans="4:4" x14ac:dyDescent="0.3">
      <c r="D3655" s="7"/>
    </row>
    <row r="3656" spans="4:4" x14ac:dyDescent="0.3">
      <c r="D3656" s="7"/>
    </row>
    <row r="3657" spans="4:4" x14ac:dyDescent="0.3">
      <c r="D3657" s="7"/>
    </row>
    <row r="3658" spans="4:4" x14ac:dyDescent="0.3">
      <c r="D3658" s="7"/>
    </row>
    <row r="3659" spans="4:4" x14ac:dyDescent="0.3">
      <c r="D3659" s="7"/>
    </row>
    <row r="3660" spans="4:4" x14ac:dyDescent="0.3">
      <c r="D3660" s="7"/>
    </row>
    <row r="3661" spans="4:4" x14ac:dyDescent="0.3">
      <c r="D3661" s="7"/>
    </row>
    <row r="3662" spans="4:4" x14ac:dyDescent="0.3">
      <c r="D3662" s="7"/>
    </row>
    <row r="3663" spans="4:4" x14ac:dyDescent="0.3">
      <c r="D3663" s="7"/>
    </row>
    <row r="3664" spans="4:4" x14ac:dyDescent="0.3">
      <c r="D3664" s="7"/>
    </row>
    <row r="3665" spans="4:4" x14ac:dyDescent="0.3">
      <c r="D3665" s="7"/>
    </row>
    <row r="3666" spans="4:4" x14ac:dyDescent="0.3">
      <c r="D3666" s="7"/>
    </row>
    <row r="3667" spans="4:4" x14ac:dyDescent="0.3">
      <c r="D3667" s="7"/>
    </row>
    <row r="3668" spans="4:4" x14ac:dyDescent="0.3">
      <c r="D3668" s="7"/>
    </row>
    <row r="3669" spans="4:4" x14ac:dyDescent="0.3">
      <c r="D3669" s="7"/>
    </row>
    <row r="3670" spans="4:4" x14ac:dyDescent="0.3">
      <c r="D3670" s="7"/>
    </row>
    <row r="3671" spans="4:4" x14ac:dyDescent="0.3">
      <c r="D3671" s="7"/>
    </row>
    <row r="3672" spans="4:4" x14ac:dyDescent="0.3">
      <c r="D3672" s="7"/>
    </row>
    <row r="3673" spans="4:4" x14ac:dyDescent="0.3">
      <c r="D3673" s="7"/>
    </row>
    <row r="3674" spans="4:4" x14ac:dyDescent="0.3">
      <c r="D3674" s="7"/>
    </row>
    <row r="3675" spans="4:4" x14ac:dyDescent="0.3">
      <c r="D3675" s="7"/>
    </row>
    <row r="3676" spans="4:4" x14ac:dyDescent="0.3">
      <c r="D3676" s="7"/>
    </row>
    <row r="3677" spans="4:4" x14ac:dyDescent="0.3">
      <c r="D3677" s="7"/>
    </row>
    <row r="3678" spans="4:4" x14ac:dyDescent="0.3">
      <c r="D3678" s="7"/>
    </row>
    <row r="3679" spans="4:4" x14ac:dyDescent="0.3">
      <c r="D3679" s="7"/>
    </row>
    <row r="3680" spans="4:4" x14ac:dyDescent="0.3">
      <c r="D3680" s="7"/>
    </row>
    <row r="3681" spans="4:4" x14ac:dyDescent="0.3">
      <c r="D3681" s="7"/>
    </row>
    <row r="3682" spans="4:4" x14ac:dyDescent="0.3">
      <c r="D3682" s="7"/>
    </row>
    <row r="3683" spans="4:4" x14ac:dyDescent="0.3">
      <c r="D3683" s="7"/>
    </row>
    <row r="3684" spans="4:4" x14ac:dyDescent="0.3">
      <c r="D3684" s="7"/>
    </row>
    <row r="3685" spans="4:4" x14ac:dyDescent="0.3">
      <c r="D3685" s="7"/>
    </row>
    <row r="3686" spans="4:4" x14ac:dyDescent="0.3">
      <c r="D3686" s="7"/>
    </row>
    <row r="3687" spans="4:4" x14ac:dyDescent="0.3">
      <c r="D3687" s="7"/>
    </row>
    <row r="3688" spans="4:4" x14ac:dyDescent="0.3">
      <c r="D3688" s="7"/>
    </row>
    <row r="3689" spans="4:4" x14ac:dyDescent="0.3">
      <c r="D3689" s="7"/>
    </row>
    <row r="3690" spans="4:4" x14ac:dyDescent="0.3">
      <c r="D3690" s="7"/>
    </row>
    <row r="3691" spans="4:4" x14ac:dyDescent="0.3">
      <c r="D3691" s="7"/>
    </row>
    <row r="3692" spans="4:4" x14ac:dyDescent="0.3">
      <c r="D3692" s="7"/>
    </row>
    <row r="3693" spans="4:4" x14ac:dyDescent="0.3">
      <c r="D3693" s="7"/>
    </row>
    <row r="3694" spans="4:4" x14ac:dyDescent="0.3">
      <c r="D3694" s="7"/>
    </row>
    <row r="3695" spans="4:4" x14ac:dyDescent="0.3">
      <c r="D3695" s="7"/>
    </row>
    <row r="3696" spans="4:4" x14ac:dyDescent="0.3">
      <c r="D3696" s="7"/>
    </row>
    <row r="3697" spans="4:4" x14ac:dyDescent="0.3">
      <c r="D3697" s="7"/>
    </row>
    <row r="3698" spans="4:4" x14ac:dyDescent="0.3">
      <c r="D3698" s="7"/>
    </row>
    <row r="3699" spans="4:4" x14ac:dyDescent="0.3">
      <c r="D3699" s="7"/>
    </row>
    <row r="3700" spans="4:4" x14ac:dyDescent="0.3">
      <c r="D3700" s="7"/>
    </row>
    <row r="3701" spans="4:4" x14ac:dyDescent="0.3">
      <c r="D3701" s="7"/>
    </row>
    <row r="3702" spans="4:4" x14ac:dyDescent="0.3">
      <c r="D3702" s="7"/>
    </row>
    <row r="3703" spans="4:4" x14ac:dyDescent="0.3">
      <c r="D3703" s="7"/>
    </row>
    <row r="3704" spans="4:4" x14ac:dyDescent="0.3">
      <c r="D3704" s="7"/>
    </row>
    <row r="3705" spans="4:4" x14ac:dyDescent="0.3">
      <c r="D3705" s="7"/>
    </row>
    <row r="3706" spans="4:4" x14ac:dyDescent="0.3">
      <c r="D3706" s="7"/>
    </row>
    <row r="3707" spans="4:4" x14ac:dyDescent="0.3">
      <c r="D3707" s="7"/>
    </row>
    <row r="3708" spans="4:4" x14ac:dyDescent="0.3">
      <c r="D3708" s="7"/>
    </row>
    <row r="3709" spans="4:4" x14ac:dyDescent="0.3">
      <c r="D3709" s="7"/>
    </row>
    <row r="3710" spans="4:4" x14ac:dyDescent="0.3">
      <c r="D3710" s="7"/>
    </row>
    <row r="3711" spans="4:4" x14ac:dyDescent="0.3">
      <c r="D3711" s="7"/>
    </row>
    <row r="3712" spans="4:4" x14ac:dyDescent="0.3">
      <c r="D3712" s="7"/>
    </row>
    <row r="3713" spans="4:4" x14ac:dyDescent="0.3">
      <c r="D3713" s="7"/>
    </row>
    <row r="3714" spans="4:4" x14ac:dyDescent="0.3">
      <c r="D3714" s="7"/>
    </row>
    <row r="3715" spans="4:4" x14ac:dyDescent="0.3">
      <c r="D3715" s="7"/>
    </row>
    <row r="3716" spans="4:4" x14ac:dyDescent="0.3">
      <c r="D3716" s="7"/>
    </row>
    <row r="3717" spans="4:4" x14ac:dyDescent="0.3">
      <c r="D3717" s="7"/>
    </row>
    <row r="3718" spans="4:4" x14ac:dyDescent="0.3">
      <c r="D3718" s="7"/>
    </row>
    <row r="3719" spans="4:4" x14ac:dyDescent="0.3">
      <c r="D3719" s="7"/>
    </row>
    <row r="3720" spans="4:4" x14ac:dyDescent="0.3">
      <c r="D3720" s="7"/>
    </row>
    <row r="3721" spans="4:4" x14ac:dyDescent="0.3">
      <c r="D3721" s="7"/>
    </row>
    <row r="3722" spans="4:4" x14ac:dyDescent="0.3">
      <c r="D3722" s="7"/>
    </row>
    <row r="3723" spans="4:4" x14ac:dyDescent="0.3">
      <c r="D3723" s="7"/>
    </row>
    <row r="3724" spans="4:4" x14ac:dyDescent="0.3">
      <c r="D3724" s="7"/>
    </row>
    <row r="3725" spans="4:4" x14ac:dyDescent="0.3">
      <c r="D3725" s="7"/>
    </row>
    <row r="3726" spans="4:4" x14ac:dyDescent="0.3">
      <c r="D3726" s="7"/>
    </row>
    <row r="3727" spans="4:4" x14ac:dyDescent="0.3">
      <c r="D3727" s="7"/>
    </row>
    <row r="3728" spans="4:4" x14ac:dyDescent="0.3">
      <c r="D3728" s="7"/>
    </row>
    <row r="3729" spans="4:4" x14ac:dyDescent="0.3">
      <c r="D3729" s="7"/>
    </row>
    <row r="3730" spans="4:4" x14ac:dyDescent="0.3">
      <c r="D3730" s="7"/>
    </row>
    <row r="3731" spans="4:4" x14ac:dyDescent="0.3">
      <c r="D3731" s="7"/>
    </row>
    <row r="3732" spans="4:4" x14ac:dyDescent="0.3">
      <c r="D3732" s="7"/>
    </row>
    <row r="3733" spans="4:4" x14ac:dyDescent="0.3">
      <c r="D3733" s="7"/>
    </row>
    <row r="3734" spans="4:4" x14ac:dyDescent="0.3">
      <c r="D3734" s="7"/>
    </row>
    <row r="3735" spans="4:4" x14ac:dyDescent="0.3">
      <c r="D3735" s="7"/>
    </row>
    <row r="3736" spans="4:4" x14ac:dyDescent="0.3">
      <c r="D3736" s="7"/>
    </row>
    <row r="3737" spans="4:4" x14ac:dyDescent="0.3">
      <c r="D3737" s="7"/>
    </row>
    <row r="3738" spans="4:4" x14ac:dyDescent="0.3">
      <c r="D3738" s="7"/>
    </row>
    <row r="3739" spans="4:4" x14ac:dyDescent="0.3">
      <c r="D3739" s="7"/>
    </row>
    <row r="3740" spans="4:4" x14ac:dyDescent="0.3">
      <c r="D3740" s="7"/>
    </row>
    <row r="3741" spans="4:4" x14ac:dyDescent="0.3">
      <c r="D3741" s="7"/>
    </row>
    <row r="3742" spans="4:4" x14ac:dyDescent="0.3">
      <c r="D3742" s="7"/>
    </row>
    <row r="3743" spans="4:4" x14ac:dyDescent="0.3">
      <c r="D3743" s="7"/>
    </row>
    <row r="3744" spans="4:4" x14ac:dyDescent="0.3">
      <c r="D3744" s="7"/>
    </row>
    <row r="3745" spans="4:4" x14ac:dyDescent="0.3">
      <c r="D3745" s="7"/>
    </row>
    <row r="3746" spans="4:4" x14ac:dyDescent="0.3">
      <c r="D3746" s="7"/>
    </row>
    <row r="3747" spans="4:4" x14ac:dyDescent="0.3">
      <c r="D3747" s="7"/>
    </row>
    <row r="3748" spans="4:4" x14ac:dyDescent="0.3">
      <c r="D3748" s="7"/>
    </row>
    <row r="3749" spans="4:4" x14ac:dyDescent="0.3">
      <c r="D3749" s="7"/>
    </row>
    <row r="3750" spans="4:4" x14ac:dyDescent="0.3">
      <c r="D3750" s="7"/>
    </row>
    <row r="3751" spans="4:4" x14ac:dyDescent="0.3">
      <c r="D3751" s="7"/>
    </row>
    <row r="3752" spans="4:4" x14ac:dyDescent="0.3">
      <c r="D3752" s="7"/>
    </row>
    <row r="3753" spans="4:4" x14ac:dyDescent="0.3">
      <c r="D3753" s="7"/>
    </row>
    <row r="3754" spans="4:4" x14ac:dyDescent="0.3">
      <c r="D3754" s="7"/>
    </row>
    <row r="3755" spans="4:4" x14ac:dyDescent="0.3">
      <c r="D3755" s="7"/>
    </row>
    <row r="3756" spans="4:4" x14ac:dyDescent="0.3">
      <c r="D3756" s="7"/>
    </row>
    <row r="3757" spans="4:4" x14ac:dyDescent="0.3">
      <c r="D3757" s="7"/>
    </row>
    <row r="3758" spans="4:4" x14ac:dyDescent="0.3">
      <c r="D3758" s="7"/>
    </row>
    <row r="3759" spans="4:4" x14ac:dyDescent="0.3">
      <c r="D3759" s="7"/>
    </row>
    <row r="3760" spans="4:4" x14ac:dyDescent="0.3">
      <c r="D3760" s="7"/>
    </row>
    <row r="3761" spans="4:4" x14ac:dyDescent="0.3">
      <c r="D3761" s="7"/>
    </row>
    <row r="3762" spans="4:4" x14ac:dyDescent="0.3">
      <c r="D3762" s="7"/>
    </row>
    <row r="3763" spans="4:4" x14ac:dyDescent="0.3">
      <c r="D3763" s="7"/>
    </row>
    <row r="3764" spans="4:4" x14ac:dyDescent="0.3">
      <c r="D3764" s="7"/>
    </row>
    <row r="3765" spans="4:4" x14ac:dyDescent="0.3">
      <c r="D3765" s="7"/>
    </row>
    <row r="3766" spans="4:4" x14ac:dyDescent="0.3">
      <c r="D3766" s="7"/>
    </row>
    <row r="3767" spans="4:4" x14ac:dyDescent="0.3">
      <c r="D3767" s="7"/>
    </row>
    <row r="3768" spans="4:4" x14ac:dyDescent="0.3">
      <c r="D3768" s="7"/>
    </row>
    <row r="3769" spans="4:4" x14ac:dyDescent="0.3">
      <c r="D3769" s="7"/>
    </row>
    <row r="3770" spans="4:4" x14ac:dyDescent="0.3">
      <c r="D3770" s="7"/>
    </row>
    <row r="3771" spans="4:4" x14ac:dyDescent="0.3">
      <c r="D3771" s="7"/>
    </row>
    <row r="3772" spans="4:4" x14ac:dyDescent="0.3">
      <c r="D3772" s="7"/>
    </row>
    <row r="3773" spans="4:4" x14ac:dyDescent="0.3">
      <c r="D3773" s="7"/>
    </row>
    <row r="3774" spans="4:4" x14ac:dyDescent="0.3">
      <c r="D3774" s="7"/>
    </row>
    <row r="3775" spans="4:4" x14ac:dyDescent="0.3">
      <c r="D3775" s="7"/>
    </row>
    <row r="3776" spans="4:4" x14ac:dyDescent="0.3">
      <c r="D3776" s="7"/>
    </row>
    <row r="3777" spans="4:4" x14ac:dyDescent="0.3">
      <c r="D3777" s="7"/>
    </row>
    <row r="3778" spans="4:4" x14ac:dyDescent="0.3">
      <c r="D3778" s="7"/>
    </row>
    <row r="3779" spans="4:4" x14ac:dyDescent="0.3">
      <c r="D3779" s="7"/>
    </row>
    <row r="3780" spans="4:4" x14ac:dyDescent="0.3">
      <c r="D3780" s="7"/>
    </row>
    <row r="3781" spans="4:4" x14ac:dyDescent="0.3">
      <c r="D3781" s="7"/>
    </row>
    <row r="3782" spans="4:4" x14ac:dyDescent="0.3">
      <c r="D3782" s="7"/>
    </row>
    <row r="3783" spans="4:4" x14ac:dyDescent="0.3">
      <c r="D3783" s="7"/>
    </row>
    <row r="3784" spans="4:4" x14ac:dyDescent="0.3">
      <c r="D3784" s="7"/>
    </row>
    <row r="3785" spans="4:4" x14ac:dyDescent="0.3">
      <c r="D3785" s="7"/>
    </row>
    <row r="3786" spans="4:4" x14ac:dyDescent="0.3">
      <c r="D3786" s="7"/>
    </row>
    <row r="3787" spans="4:4" x14ac:dyDescent="0.3">
      <c r="D3787" s="7"/>
    </row>
    <row r="3788" spans="4:4" x14ac:dyDescent="0.3">
      <c r="D3788" s="7"/>
    </row>
    <row r="3789" spans="4:4" x14ac:dyDescent="0.3">
      <c r="D3789" s="7"/>
    </row>
    <row r="3790" spans="4:4" x14ac:dyDescent="0.3">
      <c r="D3790" s="7"/>
    </row>
    <row r="3791" spans="4:4" x14ac:dyDescent="0.3">
      <c r="D3791" s="7"/>
    </row>
    <row r="3792" spans="4:4" x14ac:dyDescent="0.3">
      <c r="D3792" s="7"/>
    </row>
    <row r="3793" spans="4:4" x14ac:dyDescent="0.3">
      <c r="D3793" s="7"/>
    </row>
    <row r="3794" spans="4:4" x14ac:dyDescent="0.3">
      <c r="D3794" s="7"/>
    </row>
    <row r="3795" spans="4:4" x14ac:dyDescent="0.3">
      <c r="D3795" s="7"/>
    </row>
    <row r="3796" spans="4:4" x14ac:dyDescent="0.3">
      <c r="D3796" s="7"/>
    </row>
    <row r="3797" spans="4:4" x14ac:dyDescent="0.3">
      <c r="D3797" s="7"/>
    </row>
    <row r="3798" spans="4:4" x14ac:dyDescent="0.3">
      <c r="D3798" s="7"/>
    </row>
    <row r="3799" spans="4:4" x14ac:dyDescent="0.3">
      <c r="D3799" s="7"/>
    </row>
    <row r="3800" spans="4:4" x14ac:dyDescent="0.3">
      <c r="D3800" s="7"/>
    </row>
    <row r="3801" spans="4:4" x14ac:dyDescent="0.3">
      <c r="D3801" s="7"/>
    </row>
    <row r="3802" spans="4:4" x14ac:dyDescent="0.3">
      <c r="D3802" s="7"/>
    </row>
    <row r="3803" spans="4:4" x14ac:dyDescent="0.3">
      <c r="D3803" s="7"/>
    </row>
    <row r="3804" spans="4:4" x14ac:dyDescent="0.3">
      <c r="D3804" s="7"/>
    </row>
    <row r="3805" spans="4:4" x14ac:dyDescent="0.3">
      <c r="D3805" s="7"/>
    </row>
    <row r="3806" spans="4:4" x14ac:dyDescent="0.3">
      <c r="D3806" s="7"/>
    </row>
    <row r="3807" spans="4:4" x14ac:dyDescent="0.3">
      <c r="D3807" s="7"/>
    </row>
    <row r="3808" spans="4:4" x14ac:dyDescent="0.3">
      <c r="D3808" s="7"/>
    </row>
    <row r="3809" spans="4:4" x14ac:dyDescent="0.3">
      <c r="D3809" s="7"/>
    </row>
    <row r="3810" spans="4:4" x14ac:dyDescent="0.3">
      <c r="D3810" s="7"/>
    </row>
    <row r="3811" spans="4:4" x14ac:dyDescent="0.3">
      <c r="D3811" s="7"/>
    </row>
    <row r="3812" spans="4:4" x14ac:dyDescent="0.3">
      <c r="D3812" s="7"/>
    </row>
    <row r="3813" spans="4:4" x14ac:dyDescent="0.3">
      <c r="D3813" s="7"/>
    </row>
    <row r="3814" spans="4:4" x14ac:dyDescent="0.3">
      <c r="D3814" s="7"/>
    </row>
    <row r="3815" spans="4:4" x14ac:dyDescent="0.3">
      <c r="D3815" s="7"/>
    </row>
    <row r="3816" spans="4:4" x14ac:dyDescent="0.3">
      <c r="D3816" s="7"/>
    </row>
    <row r="3817" spans="4:4" x14ac:dyDescent="0.3">
      <c r="D3817" s="7"/>
    </row>
    <row r="3818" spans="4:4" x14ac:dyDescent="0.3">
      <c r="D3818" s="7"/>
    </row>
    <row r="3819" spans="4:4" x14ac:dyDescent="0.3">
      <c r="D3819" s="7"/>
    </row>
    <row r="3820" spans="4:4" x14ac:dyDescent="0.3">
      <c r="D3820" s="7"/>
    </row>
    <row r="3821" spans="4:4" x14ac:dyDescent="0.3">
      <c r="D3821" s="7"/>
    </row>
    <row r="3822" spans="4:4" x14ac:dyDescent="0.3">
      <c r="D3822" s="7"/>
    </row>
    <row r="3823" spans="4:4" x14ac:dyDescent="0.3">
      <c r="D3823" s="7"/>
    </row>
    <row r="3824" spans="4:4" x14ac:dyDescent="0.3">
      <c r="D3824" s="7"/>
    </row>
    <row r="3825" spans="4:4" x14ac:dyDescent="0.3">
      <c r="D3825" s="7"/>
    </row>
    <row r="3826" spans="4:4" x14ac:dyDescent="0.3">
      <c r="D3826" s="7"/>
    </row>
    <row r="3827" spans="4:4" x14ac:dyDescent="0.3">
      <c r="D3827" s="7"/>
    </row>
    <row r="3828" spans="4:4" x14ac:dyDescent="0.3">
      <c r="D3828" s="7"/>
    </row>
    <row r="3829" spans="4:4" x14ac:dyDescent="0.3">
      <c r="D3829" s="7"/>
    </row>
    <row r="3830" spans="4:4" x14ac:dyDescent="0.3">
      <c r="D3830" s="7"/>
    </row>
    <row r="3831" spans="4:4" x14ac:dyDescent="0.3">
      <c r="D3831" s="7"/>
    </row>
    <row r="3832" spans="4:4" x14ac:dyDescent="0.3">
      <c r="D3832" s="7"/>
    </row>
    <row r="3833" spans="4:4" x14ac:dyDescent="0.3">
      <c r="D3833" s="7"/>
    </row>
    <row r="3834" spans="4:4" x14ac:dyDescent="0.3">
      <c r="D3834" s="7"/>
    </row>
    <row r="3835" spans="4:4" x14ac:dyDescent="0.3">
      <c r="D3835" s="7"/>
    </row>
    <row r="3836" spans="4:4" x14ac:dyDescent="0.3">
      <c r="D3836" s="7"/>
    </row>
    <row r="3837" spans="4:4" x14ac:dyDescent="0.3">
      <c r="D3837" s="7"/>
    </row>
    <row r="3838" spans="4:4" x14ac:dyDescent="0.3">
      <c r="D3838" s="7"/>
    </row>
    <row r="3839" spans="4:4" x14ac:dyDescent="0.3">
      <c r="D3839" s="7"/>
    </row>
    <row r="3840" spans="4:4" x14ac:dyDescent="0.3">
      <c r="D3840" s="7"/>
    </row>
    <row r="3841" spans="4:4" x14ac:dyDescent="0.3">
      <c r="D3841" s="7"/>
    </row>
    <row r="3842" spans="4:4" x14ac:dyDescent="0.3">
      <c r="D3842" s="7"/>
    </row>
    <row r="3843" spans="4:4" x14ac:dyDescent="0.3">
      <c r="D3843" s="7"/>
    </row>
    <row r="3844" spans="4:4" x14ac:dyDescent="0.3">
      <c r="D3844" s="7"/>
    </row>
    <row r="3845" spans="4:4" x14ac:dyDescent="0.3">
      <c r="D3845" s="7"/>
    </row>
    <row r="3846" spans="4:4" x14ac:dyDescent="0.3">
      <c r="D3846" s="7"/>
    </row>
    <row r="3847" spans="4:4" x14ac:dyDescent="0.3">
      <c r="D3847" s="7"/>
    </row>
    <row r="3848" spans="4:4" x14ac:dyDescent="0.3">
      <c r="D3848" s="7"/>
    </row>
    <row r="3849" spans="4:4" x14ac:dyDescent="0.3">
      <c r="D3849" s="7"/>
    </row>
    <row r="3850" spans="4:4" x14ac:dyDescent="0.3">
      <c r="D3850" s="7"/>
    </row>
    <row r="3851" spans="4:4" x14ac:dyDescent="0.3">
      <c r="D3851" s="7"/>
    </row>
    <row r="3852" spans="4:4" x14ac:dyDescent="0.3">
      <c r="D3852" s="7"/>
    </row>
    <row r="3853" spans="4:4" x14ac:dyDescent="0.3">
      <c r="D3853" s="7"/>
    </row>
    <row r="3854" spans="4:4" x14ac:dyDescent="0.3">
      <c r="D3854" s="7"/>
    </row>
    <row r="3855" spans="4:4" x14ac:dyDescent="0.3">
      <c r="D3855" s="7"/>
    </row>
    <row r="3856" spans="4:4" x14ac:dyDescent="0.3">
      <c r="D3856" s="7"/>
    </row>
    <row r="3857" spans="4:4" x14ac:dyDescent="0.3">
      <c r="D3857" s="7"/>
    </row>
    <row r="3858" spans="4:4" x14ac:dyDescent="0.3">
      <c r="D3858" s="7"/>
    </row>
    <row r="3859" spans="4:4" x14ac:dyDescent="0.3">
      <c r="D3859" s="7"/>
    </row>
    <row r="3860" spans="4:4" x14ac:dyDescent="0.3">
      <c r="D3860" s="7"/>
    </row>
    <row r="3861" spans="4:4" x14ac:dyDescent="0.3">
      <c r="D3861" s="7"/>
    </row>
    <row r="3862" spans="4:4" x14ac:dyDescent="0.3">
      <c r="D3862" s="7"/>
    </row>
    <row r="3863" spans="4:4" x14ac:dyDescent="0.3">
      <c r="D3863" s="7"/>
    </row>
    <row r="3864" spans="4:4" x14ac:dyDescent="0.3">
      <c r="D3864" s="7"/>
    </row>
    <row r="3865" spans="4:4" x14ac:dyDescent="0.3">
      <c r="D3865" s="7"/>
    </row>
    <row r="3866" spans="4:4" x14ac:dyDescent="0.3">
      <c r="D3866" s="7"/>
    </row>
    <row r="3867" spans="4:4" x14ac:dyDescent="0.3">
      <c r="D3867" s="7"/>
    </row>
    <row r="3868" spans="4:4" x14ac:dyDescent="0.3">
      <c r="D3868" s="7"/>
    </row>
    <row r="3869" spans="4:4" x14ac:dyDescent="0.3">
      <c r="D3869" s="7"/>
    </row>
    <row r="3870" spans="4:4" x14ac:dyDescent="0.3">
      <c r="D3870" s="7"/>
    </row>
    <row r="3871" spans="4:4" x14ac:dyDescent="0.3">
      <c r="D3871" s="7"/>
    </row>
    <row r="3872" spans="4:4" x14ac:dyDescent="0.3">
      <c r="D3872" s="7"/>
    </row>
    <row r="3873" spans="4:4" x14ac:dyDescent="0.3">
      <c r="D3873" s="7"/>
    </row>
    <row r="3874" spans="4:4" x14ac:dyDescent="0.3">
      <c r="D3874" s="7"/>
    </row>
    <row r="3875" spans="4:4" x14ac:dyDescent="0.3">
      <c r="D3875" s="7"/>
    </row>
    <row r="3876" spans="4:4" x14ac:dyDescent="0.3">
      <c r="D3876" s="7"/>
    </row>
    <row r="3877" spans="4:4" x14ac:dyDescent="0.3">
      <c r="D3877" s="7"/>
    </row>
    <row r="3878" spans="4:4" x14ac:dyDescent="0.3">
      <c r="D3878" s="7"/>
    </row>
    <row r="3879" spans="4:4" x14ac:dyDescent="0.3">
      <c r="D3879" s="7"/>
    </row>
    <row r="3880" spans="4:4" x14ac:dyDescent="0.3">
      <c r="D3880" s="7"/>
    </row>
    <row r="3881" spans="4:4" x14ac:dyDescent="0.3">
      <c r="D3881" s="7"/>
    </row>
    <row r="3882" spans="4:4" x14ac:dyDescent="0.3">
      <c r="D3882" s="7"/>
    </row>
    <row r="3883" spans="4:4" x14ac:dyDescent="0.3">
      <c r="D3883" s="7"/>
    </row>
    <row r="3884" spans="4:4" x14ac:dyDescent="0.3">
      <c r="D3884" s="7"/>
    </row>
    <row r="3885" spans="4:4" x14ac:dyDescent="0.3">
      <c r="D3885" s="7"/>
    </row>
    <row r="3886" spans="4:4" x14ac:dyDescent="0.3">
      <c r="D3886" s="7"/>
    </row>
    <row r="3887" spans="4:4" x14ac:dyDescent="0.3">
      <c r="D3887" s="7"/>
    </row>
    <row r="3888" spans="4:4" x14ac:dyDescent="0.3">
      <c r="D3888" s="7"/>
    </row>
    <row r="3889" spans="4:4" x14ac:dyDescent="0.3">
      <c r="D3889" s="7"/>
    </row>
    <row r="3890" spans="4:4" x14ac:dyDescent="0.3">
      <c r="D3890" s="7"/>
    </row>
    <row r="3891" spans="4:4" x14ac:dyDescent="0.3">
      <c r="D3891" s="7"/>
    </row>
    <row r="3892" spans="4:4" x14ac:dyDescent="0.3">
      <c r="D3892" s="7"/>
    </row>
    <row r="3893" spans="4:4" x14ac:dyDescent="0.3">
      <c r="D3893" s="7"/>
    </row>
    <row r="3894" spans="4:4" x14ac:dyDescent="0.3">
      <c r="D3894" s="7"/>
    </row>
    <row r="3895" spans="4:4" x14ac:dyDescent="0.3">
      <c r="D3895" s="7"/>
    </row>
    <row r="3896" spans="4:4" x14ac:dyDescent="0.3">
      <c r="D3896" s="7"/>
    </row>
    <row r="3897" spans="4:4" x14ac:dyDescent="0.3">
      <c r="D3897" s="7"/>
    </row>
    <row r="3898" spans="4:4" x14ac:dyDescent="0.3">
      <c r="D3898" s="7"/>
    </row>
    <row r="3899" spans="4:4" x14ac:dyDescent="0.3">
      <c r="D3899" s="7"/>
    </row>
    <row r="3900" spans="4:4" x14ac:dyDescent="0.3">
      <c r="D3900" s="7"/>
    </row>
    <row r="3901" spans="4:4" x14ac:dyDescent="0.3">
      <c r="D3901" s="7"/>
    </row>
    <row r="3902" spans="4:4" x14ac:dyDescent="0.3">
      <c r="D3902" s="7"/>
    </row>
    <row r="3903" spans="4:4" x14ac:dyDescent="0.3">
      <c r="D3903" s="7"/>
    </row>
    <row r="3904" spans="4:4" x14ac:dyDescent="0.3">
      <c r="D3904" s="7"/>
    </row>
    <row r="3905" spans="4:4" x14ac:dyDescent="0.3">
      <c r="D3905" s="7"/>
    </row>
    <row r="3906" spans="4:4" x14ac:dyDescent="0.3">
      <c r="D3906" s="7"/>
    </row>
    <row r="3907" spans="4:4" x14ac:dyDescent="0.3">
      <c r="D3907" s="7"/>
    </row>
    <row r="3908" spans="4:4" x14ac:dyDescent="0.3">
      <c r="D3908" s="7"/>
    </row>
    <row r="3909" spans="4:4" x14ac:dyDescent="0.3">
      <c r="D3909" s="7"/>
    </row>
    <row r="3910" spans="4:4" x14ac:dyDescent="0.3">
      <c r="D3910" s="7"/>
    </row>
    <row r="3911" spans="4:4" x14ac:dyDescent="0.3">
      <c r="D3911" s="7"/>
    </row>
    <row r="3912" spans="4:4" x14ac:dyDescent="0.3">
      <c r="D3912" s="7"/>
    </row>
    <row r="3913" spans="4:4" x14ac:dyDescent="0.3">
      <c r="D3913" s="7"/>
    </row>
    <row r="3914" spans="4:4" x14ac:dyDescent="0.3">
      <c r="D3914" s="7"/>
    </row>
    <row r="3915" spans="4:4" x14ac:dyDescent="0.3">
      <c r="D3915" s="7"/>
    </row>
    <row r="3916" spans="4:4" x14ac:dyDescent="0.3">
      <c r="D3916" s="7"/>
    </row>
    <row r="3917" spans="4:4" x14ac:dyDescent="0.3">
      <c r="D3917" s="7"/>
    </row>
    <row r="3918" spans="4:4" x14ac:dyDescent="0.3">
      <c r="D3918" s="7"/>
    </row>
    <row r="3919" spans="4:4" x14ac:dyDescent="0.3">
      <c r="D3919" s="7"/>
    </row>
    <row r="3920" spans="4:4" x14ac:dyDescent="0.3">
      <c r="D3920" s="7"/>
    </row>
    <row r="3921" spans="4:4" x14ac:dyDescent="0.3">
      <c r="D3921" s="7"/>
    </row>
    <row r="3922" spans="4:4" x14ac:dyDescent="0.3">
      <c r="D3922" s="7"/>
    </row>
    <row r="3923" spans="4:4" x14ac:dyDescent="0.3">
      <c r="D3923" s="7"/>
    </row>
    <row r="3924" spans="4:4" x14ac:dyDescent="0.3">
      <c r="D3924" s="7"/>
    </row>
    <row r="3925" spans="4:4" x14ac:dyDescent="0.3">
      <c r="D3925" s="7"/>
    </row>
    <row r="3926" spans="4:4" x14ac:dyDescent="0.3">
      <c r="D3926" s="7"/>
    </row>
    <row r="3927" spans="4:4" x14ac:dyDescent="0.3">
      <c r="D3927" s="7"/>
    </row>
    <row r="3928" spans="4:4" x14ac:dyDescent="0.3">
      <c r="D3928" s="7"/>
    </row>
    <row r="3929" spans="4:4" x14ac:dyDescent="0.3">
      <c r="D3929" s="7"/>
    </row>
    <row r="3930" spans="4:4" x14ac:dyDescent="0.3">
      <c r="D3930" s="7"/>
    </row>
    <row r="3931" spans="4:4" x14ac:dyDescent="0.3">
      <c r="D3931" s="7"/>
    </row>
    <row r="3932" spans="4:4" x14ac:dyDescent="0.3">
      <c r="D3932" s="7"/>
    </row>
    <row r="3933" spans="4:4" x14ac:dyDescent="0.3">
      <c r="D3933" s="7"/>
    </row>
    <row r="3934" spans="4:4" x14ac:dyDescent="0.3">
      <c r="D3934" s="7"/>
    </row>
    <row r="3935" spans="4:4" x14ac:dyDescent="0.3">
      <c r="D3935" s="7"/>
    </row>
    <row r="3936" spans="4:4" x14ac:dyDescent="0.3">
      <c r="D3936" s="7"/>
    </row>
    <row r="3937" spans="4:4" x14ac:dyDescent="0.3">
      <c r="D3937" s="7"/>
    </row>
    <row r="3938" spans="4:4" x14ac:dyDescent="0.3">
      <c r="D3938" s="7"/>
    </row>
    <row r="3939" spans="4:4" x14ac:dyDescent="0.3">
      <c r="D3939" s="7"/>
    </row>
    <row r="3940" spans="4:4" x14ac:dyDescent="0.3">
      <c r="D3940" s="7"/>
    </row>
    <row r="3941" spans="4:4" x14ac:dyDescent="0.3">
      <c r="D3941" s="7"/>
    </row>
    <row r="3942" spans="4:4" x14ac:dyDescent="0.3">
      <c r="D3942" s="7"/>
    </row>
    <row r="3943" spans="4:4" x14ac:dyDescent="0.3">
      <c r="D3943" s="7"/>
    </row>
    <row r="3944" spans="4:4" x14ac:dyDescent="0.3">
      <c r="D3944" s="7"/>
    </row>
    <row r="3945" spans="4:4" x14ac:dyDescent="0.3">
      <c r="D3945" s="7"/>
    </row>
    <row r="3946" spans="4:4" x14ac:dyDescent="0.3">
      <c r="D3946" s="7"/>
    </row>
    <row r="3947" spans="4:4" x14ac:dyDescent="0.3">
      <c r="D3947" s="7"/>
    </row>
    <row r="3948" spans="4:4" x14ac:dyDescent="0.3">
      <c r="D3948" s="7"/>
    </row>
    <row r="3949" spans="4:4" x14ac:dyDescent="0.3">
      <c r="D3949" s="7"/>
    </row>
    <row r="3950" spans="4:4" x14ac:dyDescent="0.3">
      <c r="D3950" s="7"/>
    </row>
    <row r="3951" spans="4:4" x14ac:dyDescent="0.3">
      <c r="D3951" s="7"/>
    </row>
    <row r="3952" spans="4:4" x14ac:dyDescent="0.3">
      <c r="D3952" s="7"/>
    </row>
    <row r="3953" spans="4:4" x14ac:dyDescent="0.3">
      <c r="D3953" s="7"/>
    </row>
    <row r="3954" spans="4:4" x14ac:dyDescent="0.3">
      <c r="D3954" s="7"/>
    </row>
    <row r="3955" spans="4:4" x14ac:dyDescent="0.3">
      <c r="D3955" s="7"/>
    </row>
    <row r="3956" spans="4:4" x14ac:dyDescent="0.3">
      <c r="D3956" s="7"/>
    </row>
    <row r="3957" spans="4:4" x14ac:dyDescent="0.3">
      <c r="D3957" s="7"/>
    </row>
    <row r="3958" spans="4:4" x14ac:dyDescent="0.3">
      <c r="D3958" s="7"/>
    </row>
    <row r="3959" spans="4:4" x14ac:dyDescent="0.3">
      <c r="D3959" s="7"/>
    </row>
    <row r="3960" spans="4:4" x14ac:dyDescent="0.3">
      <c r="D3960" s="7"/>
    </row>
    <row r="3961" spans="4:4" x14ac:dyDescent="0.3">
      <c r="D3961" s="7"/>
    </row>
    <row r="3962" spans="4:4" x14ac:dyDescent="0.3">
      <c r="D3962" s="7"/>
    </row>
    <row r="3963" spans="4:4" x14ac:dyDescent="0.3">
      <c r="D3963" s="7"/>
    </row>
    <row r="3964" spans="4:4" x14ac:dyDescent="0.3">
      <c r="D3964" s="7"/>
    </row>
    <row r="3965" spans="4:4" x14ac:dyDescent="0.3">
      <c r="D3965" s="7"/>
    </row>
    <row r="3966" spans="4:4" x14ac:dyDescent="0.3">
      <c r="D3966" s="7"/>
    </row>
    <row r="3967" spans="4:4" x14ac:dyDescent="0.3">
      <c r="D3967" s="7"/>
    </row>
    <row r="3968" spans="4:4" x14ac:dyDescent="0.3">
      <c r="D3968" s="7"/>
    </row>
    <row r="3969" spans="4:4" x14ac:dyDescent="0.3">
      <c r="D3969" s="7"/>
    </row>
    <row r="3970" spans="4:4" x14ac:dyDescent="0.3">
      <c r="D3970" s="7"/>
    </row>
    <row r="3971" spans="4:4" x14ac:dyDescent="0.3">
      <c r="D3971" s="7"/>
    </row>
    <row r="3972" spans="4:4" x14ac:dyDescent="0.3">
      <c r="D3972" s="7"/>
    </row>
    <row r="3973" spans="4:4" x14ac:dyDescent="0.3">
      <c r="D3973" s="7"/>
    </row>
    <row r="3974" spans="4:4" x14ac:dyDescent="0.3">
      <c r="D3974" s="7"/>
    </row>
    <row r="3975" spans="4:4" x14ac:dyDescent="0.3">
      <c r="D3975" s="7"/>
    </row>
    <row r="3976" spans="4:4" x14ac:dyDescent="0.3">
      <c r="D3976" s="7"/>
    </row>
    <row r="3977" spans="4:4" x14ac:dyDescent="0.3">
      <c r="D3977" s="7"/>
    </row>
    <row r="3978" spans="4:4" x14ac:dyDescent="0.3">
      <c r="D3978" s="7"/>
    </row>
    <row r="3979" spans="4:4" x14ac:dyDescent="0.3">
      <c r="D3979" s="7"/>
    </row>
    <row r="3980" spans="4:4" x14ac:dyDescent="0.3">
      <c r="D3980" s="7"/>
    </row>
    <row r="3981" spans="4:4" x14ac:dyDescent="0.3">
      <c r="D3981" s="7"/>
    </row>
    <row r="3982" spans="4:4" x14ac:dyDescent="0.3">
      <c r="D3982" s="7"/>
    </row>
    <row r="3983" spans="4:4" x14ac:dyDescent="0.3">
      <c r="D3983" s="7"/>
    </row>
    <row r="3984" spans="4:4" x14ac:dyDescent="0.3">
      <c r="D3984" s="7"/>
    </row>
    <row r="3985" spans="4:4" x14ac:dyDescent="0.3">
      <c r="D3985" s="7"/>
    </row>
    <row r="3986" spans="4:4" x14ac:dyDescent="0.3">
      <c r="D3986" s="7"/>
    </row>
    <row r="3987" spans="4:4" x14ac:dyDescent="0.3">
      <c r="D3987" s="7"/>
    </row>
    <row r="3988" spans="4:4" x14ac:dyDescent="0.3">
      <c r="D3988" s="7"/>
    </row>
    <row r="3989" spans="4:4" x14ac:dyDescent="0.3">
      <c r="D3989" s="7"/>
    </row>
    <row r="3990" spans="4:4" x14ac:dyDescent="0.3">
      <c r="D3990" s="7"/>
    </row>
    <row r="3991" spans="4:4" x14ac:dyDescent="0.3">
      <c r="D3991" s="7"/>
    </row>
    <row r="3992" spans="4:4" x14ac:dyDescent="0.3">
      <c r="D3992" s="7"/>
    </row>
    <row r="3993" spans="4:4" x14ac:dyDescent="0.3">
      <c r="D3993" s="7"/>
    </row>
    <row r="3994" spans="4:4" x14ac:dyDescent="0.3">
      <c r="D3994" s="7"/>
    </row>
    <row r="3995" spans="4:4" x14ac:dyDescent="0.3">
      <c r="D3995" s="7"/>
    </row>
    <row r="3996" spans="4:4" x14ac:dyDescent="0.3">
      <c r="D3996" s="7"/>
    </row>
    <row r="3997" spans="4:4" x14ac:dyDescent="0.3">
      <c r="D3997" s="7"/>
    </row>
    <row r="3998" spans="4:4" x14ac:dyDescent="0.3">
      <c r="D3998" s="7"/>
    </row>
    <row r="3999" spans="4:4" x14ac:dyDescent="0.3">
      <c r="D3999" s="7"/>
    </row>
    <row r="4000" spans="4:4" x14ac:dyDescent="0.3">
      <c r="D4000" s="7"/>
    </row>
    <row r="4001" spans="4:4" x14ac:dyDescent="0.3">
      <c r="D4001" s="7"/>
    </row>
    <row r="4002" spans="4:4" x14ac:dyDescent="0.3">
      <c r="D4002" s="7"/>
    </row>
    <row r="4003" spans="4:4" x14ac:dyDescent="0.3">
      <c r="D4003" s="7"/>
    </row>
    <row r="4004" spans="4:4" x14ac:dyDescent="0.3">
      <c r="D4004" s="7"/>
    </row>
    <row r="4005" spans="4:4" x14ac:dyDescent="0.3">
      <c r="D4005" s="7"/>
    </row>
    <row r="4006" spans="4:4" x14ac:dyDescent="0.3">
      <c r="D4006" s="7"/>
    </row>
    <row r="4007" spans="4:4" x14ac:dyDescent="0.3">
      <c r="D4007" s="7"/>
    </row>
    <row r="4008" spans="4:4" x14ac:dyDescent="0.3">
      <c r="D4008" s="7"/>
    </row>
    <row r="4009" spans="4:4" x14ac:dyDescent="0.3">
      <c r="D4009" s="7"/>
    </row>
    <row r="4010" spans="4:4" x14ac:dyDescent="0.3">
      <c r="D4010" s="7"/>
    </row>
    <row r="4011" spans="4:4" x14ac:dyDescent="0.3">
      <c r="D4011" s="7"/>
    </row>
    <row r="4012" spans="4:4" x14ac:dyDescent="0.3">
      <c r="D4012" s="7"/>
    </row>
    <row r="4013" spans="4:4" x14ac:dyDescent="0.3">
      <c r="D4013" s="7"/>
    </row>
    <row r="4014" spans="4:4" x14ac:dyDescent="0.3">
      <c r="D4014" s="7"/>
    </row>
    <row r="4015" spans="4:4" x14ac:dyDescent="0.3">
      <c r="D4015" s="7"/>
    </row>
    <row r="4016" spans="4:4" x14ac:dyDescent="0.3">
      <c r="D4016" s="7"/>
    </row>
    <row r="4017" spans="4:4" x14ac:dyDescent="0.3">
      <c r="D4017" s="7"/>
    </row>
    <row r="4018" spans="4:4" x14ac:dyDescent="0.3">
      <c r="D4018" s="7"/>
    </row>
    <row r="4019" spans="4:4" x14ac:dyDescent="0.3">
      <c r="D4019" s="7"/>
    </row>
    <row r="4020" spans="4:4" x14ac:dyDescent="0.3">
      <c r="D4020" s="7"/>
    </row>
    <row r="4021" spans="4:4" x14ac:dyDescent="0.3">
      <c r="D4021" s="7"/>
    </row>
    <row r="4022" spans="4:4" x14ac:dyDescent="0.3">
      <c r="D4022" s="7"/>
    </row>
    <row r="4023" spans="4:4" x14ac:dyDescent="0.3">
      <c r="D4023" s="7"/>
    </row>
    <row r="4024" spans="4:4" x14ac:dyDescent="0.3">
      <c r="D4024" s="7"/>
    </row>
    <row r="4025" spans="4:4" x14ac:dyDescent="0.3">
      <c r="D4025" s="7"/>
    </row>
    <row r="4026" spans="4:4" x14ac:dyDescent="0.3">
      <c r="D4026" s="7"/>
    </row>
    <row r="4027" spans="4:4" x14ac:dyDescent="0.3">
      <c r="D4027" s="7"/>
    </row>
    <row r="4028" spans="4:4" x14ac:dyDescent="0.3">
      <c r="D4028" s="7"/>
    </row>
    <row r="4029" spans="4:4" x14ac:dyDescent="0.3">
      <c r="D4029" s="7"/>
    </row>
    <row r="4030" spans="4:4" x14ac:dyDescent="0.3">
      <c r="D4030" s="7"/>
    </row>
    <row r="4031" spans="4:4" x14ac:dyDescent="0.3">
      <c r="D4031" s="7"/>
    </row>
    <row r="4032" spans="4:4" x14ac:dyDescent="0.3">
      <c r="D4032" s="7"/>
    </row>
    <row r="4033" spans="4:4" x14ac:dyDescent="0.3">
      <c r="D4033" s="7"/>
    </row>
    <row r="4034" spans="4:4" x14ac:dyDescent="0.3">
      <c r="D4034" s="7"/>
    </row>
    <row r="4035" spans="4:4" x14ac:dyDescent="0.3">
      <c r="D4035" s="7"/>
    </row>
    <row r="4036" spans="4:4" x14ac:dyDescent="0.3">
      <c r="D4036" s="7"/>
    </row>
    <row r="4037" spans="4:4" x14ac:dyDescent="0.3">
      <c r="D4037" s="7"/>
    </row>
    <row r="4038" spans="4:4" x14ac:dyDescent="0.3">
      <c r="D4038" s="7"/>
    </row>
    <row r="4039" spans="4:4" x14ac:dyDescent="0.3">
      <c r="D4039" s="7"/>
    </row>
    <row r="4040" spans="4:4" x14ac:dyDescent="0.3">
      <c r="D4040" s="7"/>
    </row>
    <row r="4041" spans="4:4" x14ac:dyDescent="0.3">
      <c r="D4041" s="7"/>
    </row>
    <row r="4042" spans="4:4" x14ac:dyDescent="0.3">
      <c r="D4042" s="7"/>
    </row>
    <row r="4043" spans="4:4" x14ac:dyDescent="0.3">
      <c r="D4043" s="7"/>
    </row>
    <row r="4044" spans="4:4" x14ac:dyDescent="0.3">
      <c r="D4044" s="7"/>
    </row>
    <row r="4045" spans="4:4" x14ac:dyDescent="0.3">
      <c r="D4045" s="7"/>
    </row>
    <row r="4046" spans="4:4" x14ac:dyDescent="0.3">
      <c r="D4046" s="7"/>
    </row>
    <row r="4047" spans="4:4" x14ac:dyDescent="0.3">
      <c r="D4047" s="7"/>
    </row>
    <row r="4048" spans="4:4" x14ac:dyDescent="0.3">
      <c r="D4048" s="7"/>
    </row>
    <row r="4049" spans="4:4" x14ac:dyDescent="0.3">
      <c r="D4049" s="7"/>
    </row>
    <row r="4050" spans="4:4" x14ac:dyDescent="0.3">
      <c r="D4050" s="7"/>
    </row>
    <row r="4051" spans="4:4" x14ac:dyDescent="0.3">
      <c r="D4051" s="7"/>
    </row>
    <row r="4052" spans="4:4" x14ac:dyDescent="0.3">
      <c r="D4052" s="7"/>
    </row>
    <row r="4053" spans="4:4" x14ac:dyDescent="0.3">
      <c r="D4053" s="7"/>
    </row>
    <row r="4054" spans="4:4" x14ac:dyDescent="0.3">
      <c r="D4054" s="7"/>
    </row>
    <row r="4055" spans="4:4" x14ac:dyDescent="0.3">
      <c r="D4055" s="7"/>
    </row>
    <row r="4056" spans="4:4" x14ac:dyDescent="0.3">
      <c r="D4056" s="7"/>
    </row>
    <row r="4057" spans="4:4" x14ac:dyDescent="0.3">
      <c r="D4057" s="7"/>
    </row>
    <row r="4058" spans="4:4" x14ac:dyDescent="0.3">
      <c r="D4058" s="7"/>
    </row>
    <row r="4059" spans="4:4" x14ac:dyDescent="0.3">
      <c r="D4059" s="7"/>
    </row>
    <row r="4060" spans="4:4" x14ac:dyDescent="0.3">
      <c r="D4060" s="7"/>
    </row>
    <row r="4061" spans="4:4" x14ac:dyDescent="0.3">
      <c r="D4061" s="7"/>
    </row>
    <row r="4062" spans="4:4" x14ac:dyDescent="0.3">
      <c r="D4062" s="7"/>
    </row>
    <row r="4063" spans="4:4" x14ac:dyDescent="0.3">
      <c r="D4063" s="7"/>
    </row>
    <row r="4064" spans="4:4" x14ac:dyDescent="0.3">
      <c r="D4064" s="7"/>
    </row>
    <row r="4065" spans="4:4" x14ac:dyDescent="0.3">
      <c r="D4065" s="7"/>
    </row>
    <row r="4066" spans="4:4" x14ac:dyDescent="0.3">
      <c r="D4066" s="7"/>
    </row>
    <row r="4067" spans="4:4" x14ac:dyDescent="0.3">
      <c r="D4067" s="7"/>
    </row>
    <row r="4068" spans="4:4" x14ac:dyDescent="0.3">
      <c r="D4068" s="7"/>
    </row>
    <row r="4069" spans="4:4" x14ac:dyDescent="0.3">
      <c r="D4069" s="7"/>
    </row>
    <row r="4070" spans="4:4" x14ac:dyDescent="0.3">
      <c r="D4070" s="7"/>
    </row>
    <row r="4071" spans="4:4" x14ac:dyDescent="0.3">
      <c r="D4071" s="7"/>
    </row>
    <row r="4072" spans="4:4" x14ac:dyDescent="0.3">
      <c r="D4072" s="7"/>
    </row>
    <row r="4073" spans="4:4" x14ac:dyDescent="0.3">
      <c r="D4073" s="7"/>
    </row>
    <row r="4074" spans="4:4" x14ac:dyDescent="0.3">
      <c r="D4074" s="7"/>
    </row>
    <row r="4075" spans="4:4" x14ac:dyDescent="0.3">
      <c r="D4075" s="7"/>
    </row>
    <row r="4076" spans="4:4" x14ac:dyDescent="0.3">
      <c r="D4076" s="7"/>
    </row>
    <row r="4077" spans="4:4" x14ac:dyDescent="0.3">
      <c r="D4077" s="7"/>
    </row>
    <row r="4078" spans="4:4" x14ac:dyDescent="0.3">
      <c r="D4078" s="7"/>
    </row>
    <row r="4079" spans="4:4" x14ac:dyDescent="0.3">
      <c r="D4079" s="7"/>
    </row>
    <row r="4080" spans="4:4" x14ac:dyDescent="0.3">
      <c r="D4080" s="7"/>
    </row>
    <row r="4081" spans="4:4" x14ac:dyDescent="0.3">
      <c r="D4081" s="7"/>
    </row>
    <row r="4082" spans="4:4" x14ac:dyDescent="0.3">
      <c r="D4082" s="7"/>
    </row>
    <row r="4083" spans="4:4" x14ac:dyDescent="0.3">
      <c r="D4083" s="7"/>
    </row>
    <row r="4084" spans="4:4" x14ac:dyDescent="0.3">
      <c r="D4084" s="7"/>
    </row>
    <row r="4085" spans="4:4" x14ac:dyDescent="0.3">
      <c r="D4085" s="7"/>
    </row>
    <row r="4086" spans="4:4" x14ac:dyDescent="0.3">
      <c r="D4086" s="7"/>
    </row>
    <row r="4087" spans="4:4" x14ac:dyDescent="0.3">
      <c r="D4087" s="7"/>
    </row>
    <row r="4088" spans="4:4" x14ac:dyDescent="0.3">
      <c r="D4088" s="7"/>
    </row>
    <row r="4089" spans="4:4" x14ac:dyDescent="0.3">
      <c r="D4089" s="7"/>
    </row>
    <row r="4090" spans="4:4" x14ac:dyDescent="0.3">
      <c r="D4090" s="7"/>
    </row>
    <row r="4091" spans="4:4" x14ac:dyDescent="0.3">
      <c r="D4091" s="7"/>
    </row>
    <row r="4092" spans="4:4" x14ac:dyDescent="0.3">
      <c r="D4092" s="7"/>
    </row>
    <row r="4093" spans="4:4" x14ac:dyDescent="0.3">
      <c r="D4093" s="7"/>
    </row>
    <row r="4094" spans="4:4" x14ac:dyDescent="0.3">
      <c r="D4094" s="7"/>
    </row>
    <row r="4095" spans="4:4" x14ac:dyDescent="0.3">
      <c r="D4095" s="7"/>
    </row>
    <row r="4096" spans="4:4" x14ac:dyDescent="0.3">
      <c r="D4096" s="7"/>
    </row>
    <row r="4097" spans="4:4" x14ac:dyDescent="0.3">
      <c r="D4097" s="7"/>
    </row>
    <row r="4098" spans="4:4" x14ac:dyDescent="0.3">
      <c r="D4098" s="7"/>
    </row>
    <row r="4099" spans="4:4" x14ac:dyDescent="0.3">
      <c r="D4099" s="7"/>
    </row>
    <row r="4100" spans="4:4" x14ac:dyDescent="0.3">
      <c r="D4100" s="7"/>
    </row>
    <row r="4101" spans="4:4" x14ac:dyDescent="0.3">
      <c r="D4101" s="7"/>
    </row>
    <row r="4102" spans="4:4" x14ac:dyDescent="0.3">
      <c r="D4102" s="7"/>
    </row>
    <row r="4103" spans="4:4" x14ac:dyDescent="0.3">
      <c r="D4103" s="7"/>
    </row>
    <row r="4104" spans="4:4" x14ac:dyDescent="0.3">
      <c r="D4104" s="7"/>
    </row>
    <row r="4105" spans="4:4" x14ac:dyDescent="0.3">
      <c r="D4105" s="7"/>
    </row>
    <row r="4106" spans="4:4" x14ac:dyDescent="0.3">
      <c r="D4106" s="7"/>
    </row>
    <row r="4107" spans="4:4" x14ac:dyDescent="0.3">
      <c r="D4107" s="7"/>
    </row>
    <row r="4108" spans="4:4" x14ac:dyDescent="0.3">
      <c r="D4108" s="7"/>
    </row>
    <row r="4109" spans="4:4" x14ac:dyDescent="0.3">
      <c r="D4109" s="7"/>
    </row>
    <row r="4110" spans="4:4" x14ac:dyDescent="0.3">
      <c r="D4110" s="7"/>
    </row>
    <row r="4111" spans="4:4" x14ac:dyDescent="0.3">
      <c r="D4111" s="7"/>
    </row>
    <row r="4112" spans="4:4" x14ac:dyDescent="0.3">
      <c r="D4112" s="7"/>
    </row>
    <row r="4113" spans="4:4" x14ac:dyDescent="0.3">
      <c r="D4113" s="7"/>
    </row>
    <row r="4114" spans="4:4" x14ac:dyDescent="0.3">
      <c r="D4114" s="7"/>
    </row>
    <row r="4115" spans="4:4" x14ac:dyDescent="0.3">
      <c r="D4115" s="7"/>
    </row>
    <row r="4116" spans="4:4" x14ac:dyDescent="0.3">
      <c r="D4116" s="7"/>
    </row>
    <row r="4117" spans="4:4" x14ac:dyDescent="0.3">
      <c r="D4117" s="7"/>
    </row>
    <row r="4118" spans="4:4" x14ac:dyDescent="0.3">
      <c r="D4118" s="7"/>
    </row>
    <row r="4119" spans="4:4" x14ac:dyDescent="0.3">
      <c r="D4119" s="7"/>
    </row>
    <row r="4120" spans="4:4" x14ac:dyDescent="0.3">
      <c r="D4120" s="7"/>
    </row>
    <row r="4121" spans="4:4" x14ac:dyDescent="0.3">
      <c r="D4121" s="7"/>
    </row>
    <row r="4122" spans="4:4" x14ac:dyDescent="0.3">
      <c r="D4122" s="7"/>
    </row>
    <row r="4123" spans="4:4" x14ac:dyDescent="0.3">
      <c r="D4123" s="7"/>
    </row>
    <row r="4124" spans="4:4" x14ac:dyDescent="0.3">
      <c r="D4124" s="7"/>
    </row>
    <row r="4125" spans="4:4" x14ac:dyDescent="0.3">
      <c r="D4125" s="7"/>
    </row>
    <row r="4126" spans="4:4" x14ac:dyDescent="0.3">
      <c r="D4126" s="7"/>
    </row>
    <row r="4127" spans="4:4" x14ac:dyDescent="0.3">
      <c r="D4127" s="7"/>
    </row>
    <row r="4128" spans="4:4" x14ac:dyDescent="0.3">
      <c r="D4128" s="7"/>
    </row>
    <row r="4129" spans="4:4" x14ac:dyDescent="0.3">
      <c r="D4129" s="7"/>
    </row>
    <row r="4130" spans="4:4" x14ac:dyDescent="0.3">
      <c r="D4130" s="7"/>
    </row>
    <row r="4131" spans="4:4" x14ac:dyDescent="0.3">
      <c r="D4131" s="7"/>
    </row>
    <row r="4132" spans="4:4" x14ac:dyDescent="0.3">
      <c r="D4132" s="7"/>
    </row>
    <row r="4133" spans="4:4" x14ac:dyDescent="0.3">
      <c r="D4133" s="7"/>
    </row>
    <row r="4134" spans="4:4" x14ac:dyDescent="0.3">
      <c r="D4134" s="7"/>
    </row>
    <row r="4135" spans="4:4" x14ac:dyDescent="0.3">
      <c r="D4135" s="7"/>
    </row>
    <row r="4136" spans="4:4" x14ac:dyDescent="0.3">
      <c r="D4136" s="7"/>
    </row>
    <row r="4137" spans="4:4" x14ac:dyDescent="0.3">
      <c r="D4137" s="7"/>
    </row>
    <row r="4138" spans="4:4" x14ac:dyDescent="0.3">
      <c r="D4138" s="7"/>
    </row>
    <row r="4139" spans="4:4" x14ac:dyDescent="0.3">
      <c r="D4139" s="7"/>
    </row>
    <row r="4140" spans="4:4" x14ac:dyDescent="0.3">
      <c r="D4140" s="7"/>
    </row>
    <row r="4141" spans="4:4" x14ac:dyDescent="0.3">
      <c r="D4141" s="7"/>
    </row>
    <row r="4142" spans="4:4" x14ac:dyDescent="0.3">
      <c r="D4142" s="7"/>
    </row>
    <row r="4143" spans="4:4" x14ac:dyDescent="0.3">
      <c r="D4143" s="7"/>
    </row>
    <row r="4144" spans="4:4" x14ac:dyDescent="0.3">
      <c r="D4144" s="7"/>
    </row>
    <row r="4145" spans="4:4" x14ac:dyDescent="0.3">
      <c r="D4145" s="7"/>
    </row>
    <row r="4146" spans="4:4" x14ac:dyDescent="0.3">
      <c r="D4146" s="7"/>
    </row>
    <row r="4147" spans="4:4" x14ac:dyDescent="0.3">
      <c r="D4147" s="7"/>
    </row>
    <row r="4148" spans="4:4" x14ac:dyDescent="0.3">
      <c r="D4148" s="7"/>
    </row>
    <row r="4149" spans="4:4" x14ac:dyDescent="0.3">
      <c r="D4149" s="7"/>
    </row>
    <row r="4150" spans="4:4" x14ac:dyDescent="0.3">
      <c r="D4150" s="7"/>
    </row>
    <row r="4151" spans="4:4" x14ac:dyDescent="0.3">
      <c r="D4151" s="7"/>
    </row>
    <row r="4152" spans="4:4" x14ac:dyDescent="0.3">
      <c r="D4152" s="7"/>
    </row>
    <row r="4153" spans="4:4" x14ac:dyDescent="0.3">
      <c r="D4153" s="7"/>
    </row>
    <row r="4154" spans="4:4" x14ac:dyDescent="0.3">
      <c r="D4154" s="7"/>
    </row>
    <row r="4155" spans="4:4" x14ac:dyDescent="0.3">
      <c r="D4155" s="7"/>
    </row>
    <row r="4156" spans="4:4" x14ac:dyDescent="0.3">
      <c r="D4156" s="7"/>
    </row>
    <row r="4157" spans="4:4" x14ac:dyDescent="0.3">
      <c r="D4157" s="7"/>
    </row>
    <row r="4158" spans="4:4" x14ac:dyDescent="0.3">
      <c r="D4158" s="7"/>
    </row>
    <row r="4159" spans="4:4" x14ac:dyDescent="0.3">
      <c r="D4159" s="7"/>
    </row>
    <row r="4160" spans="4:4" x14ac:dyDescent="0.3">
      <c r="D4160" s="7"/>
    </row>
    <row r="4161" spans="4:4" x14ac:dyDescent="0.3">
      <c r="D4161" s="7"/>
    </row>
    <row r="4162" spans="4:4" x14ac:dyDescent="0.3">
      <c r="D4162" s="7"/>
    </row>
    <row r="4163" spans="4:4" x14ac:dyDescent="0.3">
      <c r="D4163" s="7"/>
    </row>
    <row r="4164" spans="4:4" x14ac:dyDescent="0.3">
      <c r="D4164" s="7"/>
    </row>
    <row r="4165" spans="4:4" x14ac:dyDescent="0.3">
      <c r="D4165" s="7"/>
    </row>
    <row r="4166" spans="4:4" x14ac:dyDescent="0.3">
      <c r="D4166" s="7"/>
    </row>
    <row r="4167" spans="4:4" x14ac:dyDescent="0.3">
      <c r="D4167" s="7"/>
    </row>
    <row r="4168" spans="4:4" x14ac:dyDescent="0.3">
      <c r="D4168" s="7"/>
    </row>
    <row r="4169" spans="4:4" x14ac:dyDescent="0.3">
      <c r="D4169" s="7"/>
    </row>
    <row r="4170" spans="4:4" x14ac:dyDescent="0.3">
      <c r="D4170" s="7"/>
    </row>
    <row r="4171" spans="4:4" x14ac:dyDescent="0.3">
      <c r="D4171" s="7"/>
    </row>
    <row r="4172" spans="4:4" x14ac:dyDescent="0.3">
      <c r="D4172" s="7"/>
    </row>
    <row r="4173" spans="4:4" x14ac:dyDescent="0.3">
      <c r="D4173" s="7"/>
    </row>
    <row r="4174" spans="4:4" x14ac:dyDescent="0.3">
      <c r="D4174" s="7"/>
    </row>
    <row r="4175" spans="4:4" x14ac:dyDescent="0.3">
      <c r="D4175" s="7"/>
    </row>
    <row r="4176" spans="4:4" x14ac:dyDescent="0.3">
      <c r="D4176" s="7"/>
    </row>
    <row r="4177" spans="4:4" x14ac:dyDescent="0.3">
      <c r="D4177" s="7"/>
    </row>
    <row r="4178" spans="4:4" x14ac:dyDescent="0.3">
      <c r="D4178" s="7"/>
    </row>
    <row r="4179" spans="4:4" x14ac:dyDescent="0.3">
      <c r="D4179" s="7"/>
    </row>
    <row r="4180" spans="4:4" x14ac:dyDescent="0.3">
      <c r="D4180" s="7"/>
    </row>
    <row r="4181" spans="4:4" x14ac:dyDescent="0.3">
      <c r="D4181" s="7"/>
    </row>
    <row r="4182" spans="4:4" x14ac:dyDescent="0.3">
      <c r="D4182" s="7"/>
    </row>
    <row r="4183" spans="4:4" x14ac:dyDescent="0.3">
      <c r="D4183" s="7"/>
    </row>
    <row r="4184" spans="4:4" x14ac:dyDescent="0.3">
      <c r="D4184" s="7"/>
    </row>
    <row r="4185" spans="4:4" x14ac:dyDescent="0.3">
      <c r="D4185" s="7"/>
    </row>
    <row r="4186" spans="4:4" x14ac:dyDescent="0.3">
      <c r="D4186" s="7"/>
    </row>
    <row r="4187" spans="4:4" x14ac:dyDescent="0.3">
      <c r="D4187" s="7"/>
    </row>
    <row r="4188" spans="4:4" x14ac:dyDescent="0.3">
      <c r="D4188" s="7"/>
    </row>
    <row r="4189" spans="4:4" x14ac:dyDescent="0.3">
      <c r="D4189" s="7"/>
    </row>
    <row r="4190" spans="4:4" x14ac:dyDescent="0.3">
      <c r="D4190" s="7"/>
    </row>
    <row r="4191" spans="4:4" x14ac:dyDescent="0.3">
      <c r="D4191" s="7"/>
    </row>
    <row r="4192" spans="4:4" x14ac:dyDescent="0.3">
      <c r="D4192" s="7"/>
    </row>
    <row r="4193" spans="4:4" x14ac:dyDescent="0.3">
      <c r="D4193" s="7"/>
    </row>
    <row r="4194" spans="4:4" x14ac:dyDescent="0.3">
      <c r="D4194" s="7"/>
    </row>
    <row r="4195" spans="4:4" x14ac:dyDescent="0.3">
      <c r="D4195" s="7"/>
    </row>
    <row r="4196" spans="4:4" x14ac:dyDescent="0.3">
      <c r="D4196" s="7"/>
    </row>
    <row r="4197" spans="4:4" x14ac:dyDescent="0.3">
      <c r="D4197" s="7"/>
    </row>
    <row r="4198" spans="4:4" x14ac:dyDescent="0.3">
      <c r="D4198" s="7"/>
    </row>
    <row r="4199" spans="4:4" x14ac:dyDescent="0.3">
      <c r="D4199" s="7"/>
    </row>
    <row r="4200" spans="4:4" x14ac:dyDescent="0.3">
      <c r="D4200" s="7"/>
    </row>
    <row r="4201" spans="4:4" x14ac:dyDescent="0.3">
      <c r="D4201" s="7"/>
    </row>
    <row r="4202" spans="4:4" x14ac:dyDescent="0.3">
      <c r="D4202" s="7"/>
    </row>
    <row r="4203" spans="4:4" x14ac:dyDescent="0.3">
      <c r="D4203" s="7"/>
    </row>
    <row r="4204" spans="4:4" x14ac:dyDescent="0.3">
      <c r="D4204" s="7"/>
    </row>
    <row r="4205" spans="4:4" x14ac:dyDescent="0.3">
      <c r="D4205" s="7"/>
    </row>
    <row r="4206" spans="4:4" x14ac:dyDescent="0.3">
      <c r="D4206" s="7"/>
    </row>
    <row r="4207" spans="4:4" x14ac:dyDescent="0.3">
      <c r="D4207" s="7"/>
    </row>
    <row r="4208" spans="4:4" x14ac:dyDescent="0.3">
      <c r="D4208" s="7"/>
    </row>
    <row r="4209" spans="4:4" x14ac:dyDescent="0.3">
      <c r="D4209" s="7"/>
    </row>
    <row r="4210" spans="4:4" x14ac:dyDescent="0.3">
      <c r="D4210" s="7"/>
    </row>
    <row r="4211" spans="4:4" x14ac:dyDescent="0.3">
      <c r="D4211" s="7"/>
    </row>
    <row r="4212" spans="4:4" x14ac:dyDescent="0.3">
      <c r="D4212" s="7"/>
    </row>
    <row r="4213" spans="4:4" x14ac:dyDescent="0.3">
      <c r="D4213" s="7"/>
    </row>
    <row r="4214" spans="4:4" x14ac:dyDescent="0.3">
      <c r="D4214" s="7"/>
    </row>
    <row r="4215" spans="4:4" x14ac:dyDescent="0.3">
      <c r="D4215" s="7"/>
    </row>
    <row r="4216" spans="4:4" x14ac:dyDescent="0.3">
      <c r="D4216" s="7"/>
    </row>
    <row r="4217" spans="4:4" x14ac:dyDescent="0.3">
      <c r="D4217" s="7"/>
    </row>
    <row r="4218" spans="4:4" x14ac:dyDescent="0.3">
      <c r="D4218" s="7"/>
    </row>
    <row r="4219" spans="4:4" x14ac:dyDescent="0.3">
      <c r="D4219" s="7"/>
    </row>
    <row r="4220" spans="4:4" x14ac:dyDescent="0.3">
      <c r="D4220" s="7"/>
    </row>
    <row r="4221" spans="4:4" x14ac:dyDescent="0.3">
      <c r="D4221" s="7"/>
    </row>
    <row r="4222" spans="4:4" x14ac:dyDescent="0.3">
      <c r="D4222" s="7"/>
    </row>
    <row r="4223" spans="4:4" x14ac:dyDescent="0.3">
      <c r="D4223" s="7"/>
    </row>
    <row r="4224" spans="4:4" x14ac:dyDescent="0.3">
      <c r="D4224" s="7"/>
    </row>
    <row r="4225" spans="4:4" x14ac:dyDescent="0.3">
      <c r="D4225" s="7"/>
    </row>
    <row r="4226" spans="4:4" x14ac:dyDescent="0.3">
      <c r="D4226" s="7"/>
    </row>
    <row r="4227" spans="4:4" x14ac:dyDescent="0.3">
      <c r="D4227" s="7"/>
    </row>
    <row r="4228" spans="4:4" x14ac:dyDescent="0.3">
      <c r="D4228" s="7"/>
    </row>
    <row r="4229" spans="4:4" x14ac:dyDescent="0.3">
      <c r="D4229" s="7"/>
    </row>
    <row r="4230" spans="4:4" x14ac:dyDescent="0.3">
      <c r="D4230" s="7"/>
    </row>
    <row r="4231" spans="4:4" x14ac:dyDescent="0.3">
      <c r="D4231" s="7"/>
    </row>
    <row r="4232" spans="4:4" x14ac:dyDescent="0.3">
      <c r="D4232" s="7"/>
    </row>
    <row r="4233" spans="4:4" x14ac:dyDescent="0.3">
      <c r="D4233" s="7"/>
    </row>
    <row r="4234" spans="4:4" x14ac:dyDescent="0.3">
      <c r="D4234" s="7"/>
    </row>
    <row r="4235" spans="4:4" x14ac:dyDescent="0.3">
      <c r="D4235" s="7"/>
    </row>
    <row r="4236" spans="4:4" x14ac:dyDescent="0.3">
      <c r="D4236" s="7"/>
    </row>
    <row r="4237" spans="4:4" x14ac:dyDescent="0.3">
      <c r="D4237" s="7"/>
    </row>
    <row r="4238" spans="4:4" x14ac:dyDescent="0.3">
      <c r="D4238" s="7"/>
    </row>
    <row r="4239" spans="4:4" x14ac:dyDescent="0.3">
      <c r="D4239" s="7"/>
    </row>
    <row r="4240" spans="4:4" x14ac:dyDescent="0.3">
      <c r="D4240" s="7"/>
    </row>
    <row r="4241" spans="4:4" x14ac:dyDescent="0.3">
      <c r="D4241" s="7"/>
    </row>
    <row r="4242" spans="4:4" x14ac:dyDescent="0.3">
      <c r="D4242" s="7"/>
    </row>
    <row r="4243" spans="4:4" x14ac:dyDescent="0.3">
      <c r="D4243" s="7"/>
    </row>
    <row r="4244" spans="4:4" x14ac:dyDescent="0.3">
      <c r="D4244" s="7"/>
    </row>
    <row r="4245" spans="4:4" x14ac:dyDescent="0.3">
      <c r="D4245" s="7"/>
    </row>
    <row r="4246" spans="4:4" x14ac:dyDescent="0.3">
      <c r="D4246" s="7"/>
    </row>
    <row r="4247" spans="4:4" x14ac:dyDescent="0.3">
      <c r="D4247" s="7"/>
    </row>
    <row r="4248" spans="4:4" x14ac:dyDescent="0.3">
      <c r="D4248" s="7"/>
    </row>
    <row r="4249" spans="4:4" x14ac:dyDescent="0.3">
      <c r="D4249" s="7"/>
    </row>
    <row r="4250" spans="4:4" x14ac:dyDescent="0.3">
      <c r="D4250" s="7"/>
    </row>
    <row r="4251" spans="4:4" x14ac:dyDescent="0.3">
      <c r="D4251" s="7"/>
    </row>
    <row r="4252" spans="4:4" x14ac:dyDescent="0.3">
      <c r="D4252" s="7"/>
    </row>
    <row r="4253" spans="4:4" x14ac:dyDescent="0.3">
      <c r="D4253" s="7"/>
    </row>
    <row r="4254" spans="4:4" x14ac:dyDescent="0.3">
      <c r="D4254" s="7"/>
    </row>
    <row r="4255" spans="4:4" x14ac:dyDescent="0.3">
      <c r="D4255" s="7"/>
    </row>
    <row r="4256" spans="4:4" x14ac:dyDescent="0.3">
      <c r="D4256" s="7"/>
    </row>
    <row r="4257" spans="4:4" x14ac:dyDescent="0.3">
      <c r="D4257" s="7"/>
    </row>
    <row r="4258" spans="4:4" x14ac:dyDescent="0.3">
      <c r="D4258" s="7"/>
    </row>
    <row r="4259" spans="4:4" x14ac:dyDescent="0.3">
      <c r="D4259" s="7"/>
    </row>
    <row r="4260" spans="4:4" x14ac:dyDescent="0.3">
      <c r="D4260" s="7"/>
    </row>
    <row r="4261" spans="4:4" x14ac:dyDescent="0.3">
      <c r="D4261" s="7"/>
    </row>
    <row r="4262" spans="4:4" x14ac:dyDescent="0.3">
      <c r="D4262" s="7"/>
    </row>
    <row r="4263" spans="4:4" x14ac:dyDescent="0.3">
      <c r="D4263" s="7"/>
    </row>
    <row r="4264" spans="4:4" x14ac:dyDescent="0.3">
      <c r="D4264" s="7"/>
    </row>
    <row r="4265" spans="4:4" x14ac:dyDescent="0.3">
      <c r="D4265" s="7"/>
    </row>
    <row r="4266" spans="4:4" x14ac:dyDescent="0.3">
      <c r="D4266" s="7"/>
    </row>
    <row r="4267" spans="4:4" x14ac:dyDescent="0.3">
      <c r="D4267" s="7"/>
    </row>
    <row r="4268" spans="4:4" x14ac:dyDescent="0.3">
      <c r="D4268" s="7"/>
    </row>
    <row r="4269" spans="4:4" x14ac:dyDescent="0.3">
      <c r="D4269" s="7"/>
    </row>
    <row r="4270" spans="4:4" x14ac:dyDescent="0.3">
      <c r="D4270" s="7"/>
    </row>
    <row r="4271" spans="4:4" x14ac:dyDescent="0.3">
      <c r="D4271" s="7"/>
    </row>
    <row r="4272" spans="4:4" x14ac:dyDescent="0.3">
      <c r="D4272" s="7"/>
    </row>
    <row r="4273" spans="4:4" x14ac:dyDescent="0.3">
      <c r="D4273" s="7"/>
    </row>
    <row r="4274" spans="4:4" x14ac:dyDescent="0.3">
      <c r="D4274" s="7"/>
    </row>
    <row r="4275" spans="4:4" x14ac:dyDescent="0.3">
      <c r="D4275" s="7"/>
    </row>
    <row r="4276" spans="4:4" x14ac:dyDescent="0.3">
      <c r="D4276" s="7"/>
    </row>
    <row r="4277" spans="4:4" x14ac:dyDescent="0.3">
      <c r="D4277" s="7"/>
    </row>
    <row r="4278" spans="4:4" x14ac:dyDescent="0.3">
      <c r="D4278" s="7"/>
    </row>
    <row r="4279" spans="4:4" x14ac:dyDescent="0.3">
      <c r="D4279" s="7"/>
    </row>
    <row r="4280" spans="4:4" x14ac:dyDescent="0.3">
      <c r="D4280" s="7"/>
    </row>
    <row r="4281" spans="4:4" x14ac:dyDescent="0.3">
      <c r="D4281" s="7"/>
    </row>
    <row r="4282" spans="4:4" x14ac:dyDescent="0.3">
      <c r="D4282" s="7"/>
    </row>
    <row r="4283" spans="4:4" x14ac:dyDescent="0.3">
      <c r="D4283" s="7"/>
    </row>
    <row r="4284" spans="4:4" x14ac:dyDescent="0.3">
      <c r="D4284" s="7"/>
    </row>
    <row r="4285" spans="4:4" x14ac:dyDescent="0.3">
      <c r="D4285" s="7"/>
    </row>
    <row r="4286" spans="4:4" x14ac:dyDescent="0.3">
      <c r="D4286" s="7"/>
    </row>
    <row r="4287" spans="4:4" x14ac:dyDescent="0.3">
      <c r="D4287" s="7"/>
    </row>
    <row r="4288" spans="4:4" x14ac:dyDescent="0.3">
      <c r="D4288" s="7"/>
    </row>
    <row r="4289" spans="4:4" x14ac:dyDescent="0.3">
      <c r="D4289" s="7"/>
    </row>
    <row r="4290" spans="4:4" x14ac:dyDescent="0.3">
      <c r="D4290" s="7"/>
    </row>
    <row r="4291" spans="4:4" x14ac:dyDescent="0.3">
      <c r="D4291" s="7"/>
    </row>
    <row r="4292" spans="4:4" x14ac:dyDescent="0.3">
      <c r="D4292" s="7"/>
    </row>
    <row r="4293" spans="4:4" x14ac:dyDescent="0.3">
      <c r="D4293" s="7"/>
    </row>
    <row r="4294" spans="4:4" x14ac:dyDescent="0.3">
      <c r="D4294" s="7"/>
    </row>
    <row r="4295" spans="4:4" x14ac:dyDescent="0.3">
      <c r="D4295" s="7"/>
    </row>
    <row r="4296" spans="4:4" x14ac:dyDescent="0.3">
      <c r="D4296" s="7"/>
    </row>
    <row r="4297" spans="4:4" x14ac:dyDescent="0.3">
      <c r="D4297" s="7"/>
    </row>
    <row r="4298" spans="4:4" x14ac:dyDescent="0.3">
      <c r="D4298" s="7"/>
    </row>
    <row r="4299" spans="4:4" x14ac:dyDescent="0.3">
      <c r="D4299" s="7"/>
    </row>
    <row r="4300" spans="4:4" x14ac:dyDescent="0.3">
      <c r="D4300" s="7"/>
    </row>
    <row r="4301" spans="4:4" x14ac:dyDescent="0.3">
      <c r="D4301" s="7"/>
    </row>
    <row r="4302" spans="4:4" x14ac:dyDescent="0.3">
      <c r="D4302" s="7"/>
    </row>
    <row r="4303" spans="4:4" x14ac:dyDescent="0.3">
      <c r="D4303" s="7"/>
    </row>
    <row r="4304" spans="4:4" x14ac:dyDescent="0.3">
      <c r="D4304" s="7"/>
    </row>
    <row r="4305" spans="4:4" x14ac:dyDescent="0.3">
      <c r="D4305" s="7"/>
    </row>
    <row r="4306" spans="4:4" x14ac:dyDescent="0.3">
      <c r="D4306" s="7"/>
    </row>
    <row r="4307" spans="4:4" x14ac:dyDescent="0.3">
      <c r="D4307" s="7"/>
    </row>
    <row r="4308" spans="4:4" x14ac:dyDescent="0.3">
      <c r="D4308" s="7"/>
    </row>
    <row r="4309" spans="4:4" x14ac:dyDescent="0.3">
      <c r="D4309" s="7"/>
    </row>
    <row r="4310" spans="4:4" x14ac:dyDescent="0.3">
      <c r="D4310" s="7"/>
    </row>
    <row r="4311" spans="4:4" x14ac:dyDescent="0.3">
      <c r="D4311" s="7"/>
    </row>
    <row r="4312" spans="4:4" x14ac:dyDescent="0.3">
      <c r="D4312" s="7"/>
    </row>
    <row r="4313" spans="4:4" x14ac:dyDescent="0.3">
      <c r="D4313" s="7"/>
    </row>
    <row r="4314" spans="4:4" x14ac:dyDescent="0.3">
      <c r="D4314" s="7"/>
    </row>
    <row r="4315" spans="4:4" x14ac:dyDescent="0.3">
      <c r="D4315" s="7"/>
    </row>
    <row r="4316" spans="4:4" x14ac:dyDescent="0.3">
      <c r="D4316" s="7"/>
    </row>
    <row r="4317" spans="4:4" x14ac:dyDescent="0.3">
      <c r="D4317" s="7"/>
    </row>
    <row r="4318" spans="4:4" x14ac:dyDescent="0.3">
      <c r="D4318" s="7"/>
    </row>
    <row r="4319" spans="4:4" x14ac:dyDescent="0.3">
      <c r="D4319" s="7"/>
    </row>
    <row r="4320" spans="4:4" x14ac:dyDescent="0.3">
      <c r="D4320" s="7"/>
    </row>
    <row r="4321" spans="4:4" x14ac:dyDescent="0.3">
      <c r="D4321" s="7"/>
    </row>
    <row r="4322" spans="4:4" x14ac:dyDescent="0.3">
      <c r="D4322" s="7"/>
    </row>
    <row r="4323" spans="4:4" x14ac:dyDescent="0.3">
      <c r="D4323" s="7"/>
    </row>
    <row r="4324" spans="4:4" x14ac:dyDescent="0.3">
      <c r="D4324" s="7"/>
    </row>
    <row r="4325" spans="4:4" x14ac:dyDescent="0.3">
      <c r="D4325" s="7"/>
    </row>
    <row r="4326" spans="4:4" x14ac:dyDescent="0.3">
      <c r="D4326" s="7"/>
    </row>
    <row r="4327" spans="4:4" x14ac:dyDescent="0.3">
      <c r="D4327" s="7"/>
    </row>
    <row r="4328" spans="4:4" x14ac:dyDescent="0.3">
      <c r="D4328" s="7"/>
    </row>
    <row r="4329" spans="4:4" x14ac:dyDescent="0.3">
      <c r="D4329" s="7"/>
    </row>
    <row r="4330" spans="4:4" x14ac:dyDescent="0.3">
      <c r="D4330" s="7"/>
    </row>
    <row r="4331" spans="4:4" x14ac:dyDescent="0.3">
      <c r="D4331" s="7"/>
    </row>
    <row r="4332" spans="4:4" x14ac:dyDescent="0.3">
      <c r="D4332" s="7"/>
    </row>
    <row r="4333" spans="4:4" x14ac:dyDescent="0.3">
      <c r="D4333" s="7"/>
    </row>
    <row r="4334" spans="4:4" x14ac:dyDescent="0.3">
      <c r="D4334" s="7"/>
    </row>
    <row r="4335" spans="4:4" x14ac:dyDescent="0.3">
      <c r="D4335" s="7"/>
    </row>
    <row r="4336" spans="4:4" x14ac:dyDescent="0.3">
      <c r="D4336" s="7"/>
    </row>
    <row r="4337" spans="4:4" x14ac:dyDescent="0.3">
      <c r="D4337" s="7"/>
    </row>
    <row r="4338" spans="4:4" x14ac:dyDescent="0.3">
      <c r="D4338" s="7"/>
    </row>
    <row r="4339" spans="4:4" x14ac:dyDescent="0.3">
      <c r="D4339" s="7"/>
    </row>
    <row r="4340" spans="4:4" x14ac:dyDescent="0.3">
      <c r="D4340" s="7"/>
    </row>
    <row r="4341" spans="4:4" x14ac:dyDescent="0.3">
      <c r="D4341" s="7"/>
    </row>
    <row r="4342" spans="4:4" x14ac:dyDescent="0.3">
      <c r="D4342" s="7"/>
    </row>
    <row r="4343" spans="4:4" x14ac:dyDescent="0.3">
      <c r="D4343" s="7"/>
    </row>
    <row r="4344" spans="4:4" x14ac:dyDescent="0.3">
      <c r="D4344" s="7"/>
    </row>
    <row r="4345" spans="4:4" x14ac:dyDescent="0.3">
      <c r="D4345" s="7"/>
    </row>
    <row r="4346" spans="4:4" x14ac:dyDescent="0.3">
      <c r="D4346" s="7"/>
    </row>
    <row r="4347" spans="4:4" x14ac:dyDescent="0.3">
      <c r="D4347" s="7"/>
    </row>
    <row r="4348" spans="4:4" x14ac:dyDescent="0.3">
      <c r="D4348" s="7"/>
    </row>
    <row r="4349" spans="4:4" x14ac:dyDescent="0.3">
      <c r="D4349" s="7"/>
    </row>
    <row r="4350" spans="4:4" x14ac:dyDescent="0.3">
      <c r="D4350" s="7"/>
    </row>
    <row r="4351" spans="4:4" x14ac:dyDescent="0.3">
      <c r="D4351" s="7"/>
    </row>
    <row r="4352" spans="4:4" x14ac:dyDescent="0.3">
      <c r="D4352" s="7"/>
    </row>
    <row r="4353" spans="4:4" x14ac:dyDescent="0.3">
      <c r="D4353" s="7"/>
    </row>
    <row r="4354" spans="4:4" x14ac:dyDescent="0.3">
      <c r="D4354" s="7"/>
    </row>
    <row r="4355" spans="4:4" x14ac:dyDescent="0.3">
      <c r="D4355" s="7"/>
    </row>
    <row r="4356" spans="4:4" x14ac:dyDescent="0.3">
      <c r="D4356" s="7"/>
    </row>
    <row r="4357" spans="4:4" x14ac:dyDescent="0.3">
      <c r="D4357" s="7"/>
    </row>
    <row r="4358" spans="4:4" x14ac:dyDescent="0.3">
      <c r="D4358" s="7"/>
    </row>
    <row r="4359" spans="4:4" x14ac:dyDescent="0.3">
      <c r="D4359" s="7"/>
    </row>
    <row r="4360" spans="4:4" x14ac:dyDescent="0.3">
      <c r="D4360" s="7"/>
    </row>
    <row r="4361" spans="4:4" x14ac:dyDescent="0.3">
      <c r="D4361" s="7"/>
    </row>
    <row r="4362" spans="4:4" x14ac:dyDescent="0.3">
      <c r="D4362" s="7"/>
    </row>
    <row r="4363" spans="4:4" x14ac:dyDescent="0.3">
      <c r="D4363" s="7"/>
    </row>
    <row r="4364" spans="4:4" x14ac:dyDescent="0.3">
      <c r="D4364" s="7"/>
    </row>
    <row r="4365" spans="4:4" x14ac:dyDescent="0.3">
      <c r="D4365" s="7"/>
    </row>
    <row r="4366" spans="4:4" x14ac:dyDescent="0.3">
      <c r="D4366" s="7"/>
    </row>
    <row r="4367" spans="4:4" x14ac:dyDescent="0.3">
      <c r="D4367" s="7"/>
    </row>
    <row r="4368" spans="4:4" x14ac:dyDescent="0.3">
      <c r="D4368" s="7"/>
    </row>
    <row r="4369" spans="4:4" x14ac:dyDescent="0.3">
      <c r="D4369" s="7"/>
    </row>
    <row r="4370" spans="4:4" x14ac:dyDescent="0.3">
      <c r="D4370" s="7"/>
    </row>
    <row r="4371" spans="4:4" x14ac:dyDescent="0.3">
      <c r="D4371" s="7"/>
    </row>
    <row r="4372" spans="4:4" x14ac:dyDescent="0.3">
      <c r="D4372" s="7"/>
    </row>
    <row r="4373" spans="4:4" x14ac:dyDescent="0.3">
      <c r="D4373" s="7"/>
    </row>
    <row r="4374" spans="4:4" x14ac:dyDescent="0.3">
      <c r="D4374" s="7"/>
    </row>
    <row r="4375" spans="4:4" x14ac:dyDescent="0.3">
      <c r="D4375" s="7"/>
    </row>
    <row r="4376" spans="4:4" x14ac:dyDescent="0.3">
      <c r="D4376" s="7"/>
    </row>
    <row r="4377" spans="4:4" x14ac:dyDescent="0.3">
      <c r="D4377" s="7"/>
    </row>
    <row r="4378" spans="4:4" x14ac:dyDescent="0.3">
      <c r="D4378" s="7"/>
    </row>
    <row r="4379" spans="4:4" x14ac:dyDescent="0.3">
      <c r="D4379" s="7"/>
    </row>
    <row r="4380" spans="4:4" x14ac:dyDescent="0.3">
      <c r="D4380" s="7"/>
    </row>
    <row r="4381" spans="4:4" x14ac:dyDescent="0.3">
      <c r="D4381" s="7"/>
    </row>
    <row r="4382" spans="4:4" x14ac:dyDescent="0.3">
      <c r="D4382" s="7"/>
    </row>
    <row r="4383" spans="4:4" x14ac:dyDescent="0.3">
      <c r="D4383" s="7"/>
    </row>
    <row r="4384" spans="4:4" x14ac:dyDescent="0.3">
      <c r="D4384" s="7"/>
    </row>
    <row r="4385" spans="4:4" x14ac:dyDescent="0.3">
      <c r="D4385" s="7"/>
    </row>
    <row r="4386" spans="4:4" x14ac:dyDescent="0.3">
      <c r="D4386" s="7"/>
    </row>
    <row r="4387" spans="4:4" x14ac:dyDescent="0.3">
      <c r="D4387" s="7"/>
    </row>
    <row r="4388" spans="4:4" x14ac:dyDescent="0.3">
      <c r="D4388" s="7"/>
    </row>
    <row r="4389" spans="4:4" x14ac:dyDescent="0.3">
      <c r="D4389" s="7"/>
    </row>
    <row r="4390" spans="4:4" x14ac:dyDescent="0.3">
      <c r="D4390" s="7"/>
    </row>
    <row r="4391" spans="4:4" x14ac:dyDescent="0.3">
      <c r="D4391" s="7"/>
    </row>
    <row r="4392" spans="4:4" x14ac:dyDescent="0.3">
      <c r="D4392" s="7"/>
    </row>
    <row r="4393" spans="4:4" x14ac:dyDescent="0.3">
      <c r="D4393" s="7"/>
    </row>
    <row r="4394" spans="4:4" x14ac:dyDescent="0.3">
      <c r="D4394" s="7"/>
    </row>
    <row r="4395" spans="4:4" x14ac:dyDescent="0.3">
      <c r="D4395" s="7"/>
    </row>
    <row r="4396" spans="4:4" x14ac:dyDescent="0.3">
      <c r="D4396" s="7"/>
    </row>
    <row r="4397" spans="4:4" x14ac:dyDescent="0.3">
      <c r="D4397" s="7"/>
    </row>
    <row r="4398" spans="4:4" x14ac:dyDescent="0.3">
      <c r="D4398" s="7"/>
    </row>
    <row r="4399" spans="4:4" x14ac:dyDescent="0.3">
      <c r="D4399" s="7"/>
    </row>
    <row r="4400" spans="4:4" x14ac:dyDescent="0.3">
      <c r="D4400" s="7"/>
    </row>
    <row r="4401" spans="4:4" x14ac:dyDescent="0.3">
      <c r="D4401" s="7"/>
    </row>
    <row r="4402" spans="4:4" x14ac:dyDescent="0.3">
      <c r="D4402" s="7"/>
    </row>
    <row r="4403" spans="4:4" x14ac:dyDescent="0.3">
      <c r="D4403" s="7"/>
    </row>
    <row r="4404" spans="4:4" x14ac:dyDescent="0.3">
      <c r="D4404" s="7"/>
    </row>
    <row r="4405" spans="4:4" x14ac:dyDescent="0.3">
      <c r="D4405" s="7"/>
    </row>
    <row r="4406" spans="4:4" x14ac:dyDescent="0.3">
      <c r="D4406" s="7"/>
    </row>
    <row r="4407" spans="4:4" x14ac:dyDescent="0.3">
      <c r="D4407" s="7"/>
    </row>
    <row r="4408" spans="4:4" x14ac:dyDescent="0.3">
      <c r="D4408" s="7"/>
    </row>
    <row r="4409" spans="4:4" x14ac:dyDescent="0.3">
      <c r="D4409" s="7"/>
    </row>
    <row r="4410" spans="4:4" x14ac:dyDescent="0.3">
      <c r="D4410" s="7"/>
    </row>
    <row r="4411" spans="4:4" x14ac:dyDescent="0.3">
      <c r="D4411" s="7"/>
    </row>
    <row r="4412" spans="4:4" x14ac:dyDescent="0.3">
      <c r="D4412" s="7"/>
    </row>
    <row r="4413" spans="4:4" x14ac:dyDescent="0.3">
      <c r="D4413" s="7"/>
    </row>
    <row r="4414" spans="4:4" x14ac:dyDescent="0.3">
      <c r="D4414" s="7"/>
    </row>
    <row r="4415" spans="4:4" x14ac:dyDescent="0.3">
      <c r="D4415" s="7"/>
    </row>
    <row r="4416" spans="4:4" x14ac:dyDescent="0.3">
      <c r="D4416" s="7"/>
    </row>
    <row r="4417" spans="4:4" x14ac:dyDescent="0.3">
      <c r="D4417" s="7"/>
    </row>
    <row r="4418" spans="4:4" x14ac:dyDescent="0.3">
      <c r="D4418" s="7"/>
    </row>
    <row r="4419" spans="4:4" x14ac:dyDescent="0.3">
      <c r="D4419" s="7"/>
    </row>
    <row r="4420" spans="4:4" x14ac:dyDescent="0.3">
      <c r="D4420" s="7"/>
    </row>
    <row r="4421" spans="4:4" x14ac:dyDescent="0.3">
      <c r="D4421" s="7"/>
    </row>
    <row r="4422" spans="4:4" x14ac:dyDescent="0.3">
      <c r="D4422" s="7"/>
    </row>
    <row r="4423" spans="4:4" x14ac:dyDescent="0.3">
      <c r="D4423" s="7"/>
    </row>
    <row r="4424" spans="4:4" x14ac:dyDescent="0.3">
      <c r="D4424" s="7"/>
    </row>
    <row r="4425" spans="4:4" x14ac:dyDescent="0.3">
      <c r="D4425" s="7"/>
    </row>
    <row r="4426" spans="4:4" x14ac:dyDescent="0.3">
      <c r="D4426" s="7"/>
    </row>
    <row r="4427" spans="4:4" x14ac:dyDescent="0.3">
      <c r="D4427" s="7"/>
    </row>
    <row r="4428" spans="4:4" x14ac:dyDescent="0.3">
      <c r="D4428" s="7"/>
    </row>
    <row r="4429" spans="4:4" x14ac:dyDescent="0.3">
      <c r="D4429" s="7"/>
    </row>
    <row r="4430" spans="4:4" x14ac:dyDescent="0.3">
      <c r="D4430" s="7"/>
    </row>
    <row r="4431" spans="4:4" x14ac:dyDescent="0.3">
      <c r="D4431" s="7"/>
    </row>
    <row r="4432" spans="4:4" x14ac:dyDescent="0.3">
      <c r="D4432" s="7"/>
    </row>
    <row r="4433" spans="4:4" x14ac:dyDescent="0.3">
      <c r="D4433" s="7"/>
    </row>
    <row r="4434" spans="4:4" x14ac:dyDescent="0.3">
      <c r="D4434" s="7"/>
    </row>
    <row r="4435" spans="4:4" x14ac:dyDescent="0.3">
      <c r="D4435" s="7"/>
    </row>
    <row r="4436" spans="4:4" x14ac:dyDescent="0.3">
      <c r="D4436" s="7"/>
    </row>
    <row r="4437" spans="4:4" x14ac:dyDescent="0.3">
      <c r="D4437" s="7"/>
    </row>
    <row r="4438" spans="4:4" x14ac:dyDescent="0.3">
      <c r="D4438" s="7"/>
    </row>
    <row r="4439" spans="4:4" x14ac:dyDescent="0.3">
      <c r="D4439" s="7"/>
    </row>
    <row r="4440" spans="4:4" x14ac:dyDescent="0.3">
      <c r="D4440" s="7"/>
    </row>
    <row r="4441" spans="4:4" x14ac:dyDescent="0.3">
      <c r="D4441" s="7"/>
    </row>
    <row r="4442" spans="4:4" x14ac:dyDescent="0.3">
      <c r="D4442" s="7"/>
    </row>
    <row r="4443" spans="4:4" x14ac:dyDescent="0.3">
      <c r="D4443" s="7"/>
    </row>
    <row r="4444" spans="4:4" x14ac:dyDescent="0.3">
      <c r="D4444" s="7"/>
    </row>
    <row r="4445" spans="4:4" x14ac:dyDescent="0.3">
      <c r="D4445" s="7"/>
    </row>
    <row r="4446" spans="4:4" x14ac:dyDescent="0.3">
      <c r="D4446" s="7"/>
    </row>
    <row r="4447" spans="4:4" x14ac:dyDescent="0.3">
      <c r="D4447" s="7"/>
    </row>
    <row r="4448" spans="4:4" x14ac:dyDescent="0.3">
      <c r="D4448" s="7"/>
    </row>
    <row r="4449" spans="4:4" x14ac:dyDescent="0.3">
      <c r="D4449" s="7"/>
    </row>
    <row r="4450" spans="4:4" x14ac:dyDescent="0.3">
      <c r="D4450" s="7"/>
    </row>
    <row r="4451" spans="4:4" x14ac:dyDescent="0.3">
      <c r="D4451" s="7"/>
    </row>
    <row r="4452" spans="4:4" x14ac:dyDescent="0.3">
      <c r="D4452" s="7"/>
    </row>
    <row r="4453" spans="4:4" x14ac:dyDescent="0.3">
      <c r="D4453" s="7"/>
    </row>
    <row r="4454" spans="4:4" x14ac:dyDescent="0.3">
      <c r="D4454" s="7"/>
    </row>
    <row r="4455" spans="4:4" x14ac:dyDescent="0.3">
      <c r="D4455" s="7"/>
    </row>
    <row r="4456" spans="4:4" x14ac:dyDescent="0.3">
      <c r="D4456" s="7"/>
    </row>
    <row r="4457" spans="4:4" x14ac:dyDescent="0.3">
      <c r="D4457" s="7"/>
    </row>
    <row r="4458" spans="4:4" x14ac:dyDescent="0.3">
      <c r="D4458" s="7"/>
    </row>
    <row r="4459" spans="4:4" x14ac:dyDescent="0.3">
      <c r="D4459" s="7"/>
    </row>
    <row r="4460" spans="4:4" x14ac:dyDescent="0.3">
      <c r="D4460" s="7"/>
    </row>
    <row r="4461" spans="4:4" x14ac:dyDescent="0.3">
      <c r="D4461" s="7"/>
    </row>
    <row r="4462" spans="4:4" x14ac:dyDescent="0.3">
      <c r="D4462" s="7"/>
    </row>
    <row r="4463" spans="4:4" x14ac:dyDescent="0.3">
      <c r="D4463" s="7"/>
    </row>
    <row r="4464" spans="4:4" x14ac:dyDescent="0.3">
      <c r="D4464" s="7"/>
    </row>
    <row r="4465" spans="4:4" x14ac:dyDescent="0.3">
      <c r="D4465" s="7"/>
    </row>
    <row r="4466" spans="4:4" x14ac:dyDescent="0.3">
      <c r="D4466" s="7"/>
    </row>
    <row r="4467" spans="4:4" x14ac:dyDescent="0.3">
      <c r="D4467" s="7"/>
    </row>
    <row r="4468" spans="4:4" x14ac:dyDescent="0.3">
      <c r="D4468" s="7"/>
    </row>
    <row r="4469" spans="4:4" x14ac:dyDescent="0.3">
      <c r="D4469" s="7"/>
    </row>
    <row r="4470" spans="4:4" x14ac:dyDescent="0.3">
      <c r="D4470" s="7"/>
    </row>
    <row r="4471" spans="4:4" x14ac:dyDescent="0.3">
      <c r="D4471" s="7"/>
    </row>
    <row r="4472" spans="4:4" x14ac:dyDescent="0.3">
      <c r="D4472" s="7"/>
    </row>
    <row r="4473" spans="4:4" x14ac:dyDescent="0.3">
      <c r="D4473" s="7"/>
    </row>
    <row r="4474" spans="4:4" x14ac:dyDescent="0.3">
      <c r="D4474" s="7"/>
    </row>
    <row r="4475" spans="4:4" x14ac:dyDescent="0.3">
      <c r="D4475" s="7"/>
    </row>
    <row r="4476" spans="4:4" x14ac:dyDescent="0.3">
      <c r="D4476" s="7"/>
    </row>
    <row r="4477" spans="4:4" x14ac:dyDescent="0.3">
      <c r="D4477" s="7"/>
    </row>
    <row r="4478" spans="4:4" x14ac:dyDescent="0.3">
      <c r="D4478" s="7"/>
    </row>
    <row r="4479" spans="4:4" x14ac:dyDescent="0.3">
      <c r="D4479" s="7"/>
    </row>
    <row r="4480" spans="4:4" x14ac:dyDescent="0.3">
      <c r="D4480" s="7"/>
    </row>
    <row r="4481" spans="4:4" x14ac:dyDescent="0.3">
      <c r="D4481" s="7"/>
    </row>
    <row r="4482" spans="4:4" x14ac:dyDescent="0.3">
      <c r="D4482" s="7"/>
    </row>
    <row r="4483" spans="4:4" x14ac:dyDescent="0.3">
      <c r="D4483" s="7"/>
    </row>
    <row r="4484" spans="4:4" x14ac:dyDescent="0.3">
      <c r="D4484" s="7"/>
    </row>
    <row r="4485" spans="4:4" x14ac:dyDescent="0.3">
      <c r="D4485" s="7"/>
    </row>
    <row r="4486" spans="4:4" x14ac:dyDescent="0.3">
      <c r="D4486" s="7"/>
    </row>
    <row r="4487" spans="4:4" x14ac:dyDescent="0.3">
      <c r="D4487" s="7"/>
    </row>
    <row r="4488" spans="4:4" x14ac:dyDescent="0.3">
      <c r="D4488" s="7"/>
    </row>
    <row r="4489" spans="4:4" x14ac:dyDescent="0.3">
      <c r="D4489" s="7"/>
    </row>
    <row r="4490" spans="4:4" x14ac:dyDescent="0.3">
      <c r="D4490" s="7"/>
    </row>
    <row r="4491" spans="4:4" x14ac:dyDescent="0.3">
      <c r="D4491" s="7"/>
    </row>
    <row r="4492" spans="4:4" x14ac:dyDescent="0.3">
      <c r="D4492" s="7"/>
    </row>
    <row r="4493" spans="4:4" x14ac:dyDescent="0.3">
      <c r="D4493" s="7"/>
    </row>
    <row r="4494" spans="4:4" x14ac:dyDescent="0.3">
      <c r="D4494" s="7"/>
    </row>
    <row r="4495" spans="4:4" x14ac:dyDescent="0.3">
      <c r="D4495" s="7"/>
    </row>
    <row r="4496" spans="4:4" x14ac:dyDescent="0.3">
      <c r="D4496" s="7"/>
    </row>
    <row r="4497" spans="4:4" x14ac:dyDescent="0.3">
      <c r="D4497" s="7"/>
    </row>
    <row r="4498" spans="4:4" x14ac:dyDescent="0.3">
      <c r="D4498" s="7"/>
    </row>
    <row r="4499" spans="4:4" x14ac:dyDescent="0.3">
      <c r="D4499" s="7"/>
    </row>
    <row r="4500" spans="4:4" x14ac:dyDescent="0.3">
      <c r="D4500" s="7"/>
    </row>
    <row r="4501" spans="4:4" x14ac:dyDescent="0.3">
      <c r="D4501" s="7"/>
    </row>
    <row r="4502" spans="4:4" x14ac:dyDescent="0.3">
      <c r="D4502" s="7"/>
    </row>
    <row r="4503" spans="4:4" x14ac:dyDescent="0.3">
      <c r="D4503" s="7"/>
    </row>
    <row r="4504" spans="4:4" x14ac:dyDescent="0.3">
      <c r="D4504" s="7"/>
    </row>
    <row r="4505" spans="4:4" x14ac:dyDescent="0.3">
      <c r="D4505" s="7"/>
    </row>
    <row r="4506" spans="4:4" x14ac:dyDescent="0.3">
      <c r="D4506" s="7"/>
    </row>
    <row r="4507" spans="4:4" x14ac:dyDescent="0.3">
      <c r="D4507" s="7"/>
    </row>
    <row r="4508" spans="4:4" x14ac:dyDescent="0.3">
      <c r="D4508" s="7"/>
    </row>
    <row r="4509" spans="4:4" x14ac:dyDescent="0.3">
      <c r="D4509" s="7"/>
    </row>
    <row r="4510" spans="4:4" x14ac:dyDescent="0.3">
      <c r="D4510" s="7"/>
    </row>
    <row r="4511" spans="4:4" x14ac:dyDescent="0.3">
      <c r="D4511" s="7"/>
    </row>
    <row r="4512" spans="4:4" x14ac:dyDescent="0.3">
      <c r="D4512" s="7"/>
    </row>
    <row r="4513" spans="4:4" x14ac:dyDescent="0.3">
      <c r="D4513" s="7"/>
    </row>
    <row r="4514" spans="4:4" x14ac:dyDescent="0.3">
      <c r="D4514" s="7"/>
    </row>
    <row r="4515" spans="4:4" x14ac:dyDescent="0.3">
      <c r="D4515" s="7"/>
    </row>
    <row r="4516" spans="4:4" x14ac:dyDescent="0.3">
      <c r="D4516" s="7"/>
    </row>
    <row r="4517" spans="4:4" x14ac:dyDescent="0.3">
      <c r="D4517" s="7"/>
    </row>
    <row r="4518" spans="4:4" x14ac:dyDescent="0.3">
      <c r="D4518" s="7"/>
    </row>
    <row r="4519" spans="4:4" x14ac:dyDescent="0.3">
      <c r="D4519" s="7"/>
    </row>
    <row r="4520" spans="4:4" x14ac:dyDescent="0.3">
      <c r="D4520" s="7"/>
    </row>
    <row r="4521" spans="4:4" x14ac:dyDescent="0.3">
      <c r="D4521" s="7"/>
    </row>
    <row r="4522" spans="4:4" x14ac:dyDescent="0.3">
      <c r="D4522" s="7"/>
    </row>
    <row r="4523" spans="4:4" x14ac:dyDescent="0.3">
      <c r="D4523" s="7"/>
    </row>
    <row r="4524" spans="4:4" x14ac:dyDescent="0.3">
      <c r="D4524" s="7"/>
    </row>
    <row r="4525" spans="4:4" x14ac:dyDescent="0.3">
      <c r="D4525" s="7"/>
    </row>
    <row r="4526" spans="4:4" x14ac:dyDescent="0.3">
      <c r="D4526" s="7"/>
    </row>
    <row r="4527" spans="4:4" x14ac:dyDescent="0.3">
      <c r="D4527" s="7"/>
    </row>
    <row r="4528" spans="4:4" x14ac:dyDescent="0.3">
      <c r="D4528" s="7"/>
    </row>
    <row r="4529" spans="4:4" x14ac:dyDescent="0.3">
      <c r="D4529" s="7"/>
    </row>
    <row r="4530" spans="4:4" x14ac:dyDescent="0.3">
      <c r="D4530" s="7"/>
    </row>
    <row r="4531" spans="4:4" x14ac:dyDescent="0.3">
      <c r="D4531" s="7"/>
    </row>
    <row r="4532" spans="4:4" x14ac:dyDescent="0.3">
      <c r="D4532" s="7"/>
    </row>
    <row r="4533" spans="4:4" x14ac:dyDescent="0.3">
      <c r="D4533" s="7"/>
    </row>
    <row r="4534" spans="4:4" x14ac:dyDescent="0.3">
      <c r="D4534" s="7"/>
    </row>
    <row r="4535" spans="4:4" x14ac:dyDescent="0.3">
      <c r="D4535" s="7"/>
    </row>
    <row r="4536" spans="4:4" x14ac:dyDescent="0.3">
      <c r="D4536" s="7"/>
    </row>
    <row r="4537" spans="4:4" x14ac:dyDescent="0.3">
      <c r="D4537" s="7"/>
    </row>
    <row r="4538" spans="4:4" x14ac:dyDescent="0.3">
      <c r="D4538" s="7"/>
    </row>
    <row r="4539" spans="4:4" x14ac:dyDescent="0.3">
      <c r="D4539" s="7"/>
    </row>
    <row r="4540" spans="4:4" x14ac:dyDescent="0.3">
      <c r="D4540" s="7"/>
    </row>
    <row r="4541" spans="4:4" x14ac:dyDescent="0.3">
      <c r="D4541" s="7"/>
    </row>
    <row r="4542" spans="4:4" x14ac:dyDescent="0.3">
      <c r="D4542" s="7"/>
    </row>
    <row r="4543" spans="4:4" x14ac:dyDescent="0.3">
      <c r="D4543" s="7"/>
    </row>
    <row r="4544" spans="4:4" x14ac:dyDescent="0.3">
      <c r="D4544" s="7"/>
    </row>
    <row r="4545" spans="4:4" x14ac:dyDescent="0.3">
      <c r="D4545" s="7"/>
    </row>
    <row r="4546" spans="4:4" x14ac:dyDescent="0.3">
      <c r="D4546" s="7"/>
    </row>
    <row r="4547" spans="4:4" x14ac:dyDescent="0.3">
      <c r="D4547" s="7"/>
    </row>
    <row r="4548" spans="4:4" x14ac:dyDescent="0.3">
      <c r="D4548" s="7"/>
    </row>
    <row r="4549" spans="4:4" x14ac:dyDescent="0.3">
      <c r="D4549" s="7"/>
    </row>
    <row r="4550" spans="4:4" x14ac:dyDescent="0.3">
      <c r="D4550" s="7"/>
    </row>
    <row r="4551" spans="4:4" x14ac:dyDescent="0.3">
      <c r="D4551" s="7"/>
    </row>
    <row r="4552" spans="4:4" x14ac:dyDescent="0.3">
      <c r="D4552" s="7"/>
    </row>
    <row r="4553" spans="4:4" x14ac:dyDescent="0.3">
      <c r="D4553" s="7"/>
    </row>
    <row r="4554" spans="4:4" x14ac:dyDescent="0.3">
      <c r="D4554" s="7"/>
    </row>
    <row r="4555" spans="4:4" x14ac:dyDescent="0.3">
      <c r="D4555" s="7"/>
    </row>
    <row r="4556" spans="4:4" x14ac:dyDescent="0.3">
      <c r="D4556" s="7"/>
    </row>
    <row r="4557" spans="4:4" x14ac:dyDescent="0.3">
      <c r="D4557" s="7"/>
    </row>
    <row r="4558" spans="4:4" x14ac:dyDescent="0.3">
      <c r="D4558" s="7"/>
    </row>
    <row r="4559" spans="4:4" x14ac:dyDescent="0.3">
      <c r="D4559" s="7"/>
    </row>
    <row r="4560" spans="4:4" x14ac:dyDescent="0.3">
      <c r="D4560" s="7"/>
    </row>
    <row r="4561" spans="4:4" x14ac:dyDescent="0.3">
      <c r="D4561" s="7"/>
    </row>
    <row r="4562" spans="4:4" x14ac:dyDescent="0.3">
      <c r="D4562" s="7"/>
    </row>
    <row r="4563" spans="4:4" x14ac:dyDescent="0.3">
      <c r="D4563" s="7"/>
    </row>
    <row r="4564" spans="4:4" x14ac:dyDescent="0.3">
      <c r="D4564" s="7"/>
    </row>
    <row r="4565" spans="4:4" x14ac:dyDescent="0.3">
      <c r="D4565" s="7"/>
    </row>
    <row r="4566" spans="4:4" x14ac:dyDescent="0.3">
      <c r="D4566" s="7"/>
    </row>
    <row r="4567" spans="4:4" x14ac:dyDescent="0.3">
      <c r="D4567" s="7"/>
    </row>
    <row r="4568" spans="4:4" x14ac:dyDescent="0.3">
      <c r="D4568" s="7"/>
    </row>
    <row r="4569" spans="4:4" x14ac:dyDescent="0.3">
      <c r="D4569" s="7"/>
    </row>
    <row r="4570" spans="4:4" x14ac:dyDescent="0.3">
      <c r="D4570" s="7"/>
    </row>
    <row r="4571" spans="4:4" x14ac:dyDescent="0.3">
      <c r="D4571" s="7"/>
    </row>
    <row r="4572" spans="4:4" x14ac:dyDescent="0.3">
      <c r="D4572" s="7"/>
    </row>
    <row r="4573" spans="4:4" x14ac:dyDescent="0.3">
      <c r="D4573" s="7"/>
    </row>
    <row r="4574" spans="4:4" x14ac:dyDescent="0.3">
      <c r="D4574" s="7"/>
    </row>
    <row r="4575" spans="4:4" x14ac:dyDescent="0.3">
      <c r="D4575" s="7"/>
    </row>
    <row r="4576" spans="4:4" x14ac:dyDescent="0.3">
      <c r="D4576" s="7"/>
    </row>
    <row r="4577" spans="4:4" x14ac:dyDescent="0.3">
      <c r="D4577" s="7"/>
    </row>
    <row r="4578" spans="4:4" x14ac:dyDescent="0.3">
      <c r="D4578" s="7"/>
    </row>
    <row r="4579" spans="4:4" x14ac:dyDescent="0.3">
      <c r="D4579" s="7"/>
    </row>
    <row r="4580" spans="4:4" x14ac:dyDescent="0.3">
      <c r="D4580" s="7"/>
    </row>
    <row r="4581" spans="4:4" x14ac:dyDescent="0.3">
      <c r="D4581" s="7"/>
    </row>
    <row r="4582" spans="4:4" x14ac:dyDescent="0.3">
      <c r="D4582" s="7"/>
    </row>
    <row r="4583" spans="4:4" x14ac:dyDescent="0.3">
      <c r="D4583" s="7"/>
    </row>
    <row r="4584" spans="4:4" x14ac:dyDescent="0.3">
      <c r="D4584" s="7"/>
    </row>
    <row r="4585" spans="4:4" x14ac:dyDescent="0.3">
      <c r="D4585" s="7"/>
    </row>
    <row r="4586" spans="4:4" x14ac:dyDescent="0.3">
      <c r="D4586" s="7"/>
    </row>
    <row r="4587" spans="4:4" x14ac:dyDescent="0.3">
      <c r="D4587" s="7"/>
    </row>
    <row r="4588" spans="4:4" x14ac:dyDescent="0.3">
      <c r="D4588" s="7"/>
    </row>
    <row r="4589" spans="4:4" x14ac:dyDescent="0.3">
      <c r="D4589" s="7"/>
    </row>
    <row r="4590" spans="4:4" x14ac:dyDescent="0.3">
      <c r="D4590" s="7"/>
    </row>
    <row r="4591" spans="4:4" x14ac:dyDescent="0.3">
      <c r="D4591" s="7"/>
    </row>
    <row r="4592" spans="4:4" x14ac:dyDescent="0.3">
      <c r="D4592" s="7"/>
    </row>
    <row r="4593" spans="4:4" x14ac:dyDescent="0.3">
      <c r="D4593" s="7"/>
    </row>
    <row r="4594" spans="4:4" x14ac:dyDescent="0.3">
      <c r="D4594" s="7"/>
    </row>
    <row r="4595" spans="4:4" x14ac:dyDescent="0.3">
      <c r="D4595" s="7"/>
    </row>
    <row r="4596" spans="4:4" x14ac:dyDescent="0.3">
      <c r="D4596" s="7"/>
    </row>
    <row r="4597" spans="4:4" x14ac:dyDescent="0.3">
      <c r="D4597" s="7"/>
    </row>
    <row r="4598" spans="4:4" x14ac:dyDescent="0.3">
      <c r="D4598" s="7"/>
    </row>
    <row r="4599" spans="4:4" x14ac:dyDescent="0.3">
      <c r="D4599" s="7"/>
    </row>
    <row r="4600" spans="4:4" x14ac:dyDescent="0.3">
      <c r="D4600" s="7"/>
    </row>
    <row r="4601" spans="4:4" x14ac:dyDescent="0.3">
      <c r="D4601" s="7"/>
    </row>
    <row r="4602" spans="4:4" x14ac:dyDescent="0.3">
      <c r="D4602" s="7"/>
    </row>
    <row r="4603" spans="4:4" x14ac:dyDescent="0.3">
      <c r="D4603" s="7"/>
    </row>
    <row r="4604" spans="4:4" x14ac:dyDescent="0.3">
      <c r="D4604" s="7"/>
    </row>
    <row r="4605" spans="4:4" x14ac:dyDescent="0.3">
      <c r="D4605" s="7"/>
    </row>
    <row r="4606" spans="4:4" x14ac:dyDescent="0.3">
      <c r="D4606" s="7"/>
    </row>
    <row r="4607" spans="4:4" x14ac:dyDescent="0.3">
      <c r="D4607" s="7"/>
    </row>
    <row r="4608" spans="4:4" x14ac:dyDescent="0.3">
      <c r="D4608" s="7"/>
    </row>
    <row r="4609" spans="4:4" x14ac:dyDescent="0.3">
      <c r="D4609" s="7"/>
    </row>
    <row r="4610" spans="4:4" x14ac:dyDescent="0.3">
      <c r="D4610" s="7"/>
    </row>
    <row r="4611" spans="4:4" x14ac:dyDescent="0.3">
      <c r="D4611" s="7"/>
    </row>
    <row r="4612" spans="4:4" x14ac:dyDescent="0.3">
      <c r="D4612" s="7"/>
    </row>
    <row r="4613" spans="4:4" x14ac:dyDescent="0.3">
      <c r="D4613" s="7"/>
    </row>
    <row r="4614" spans="4:4" x14ac:dyDescent="0.3">
      <c r="D4614" s="7"/>
    </row>
    <row r="4615" spans="4:4" x14ac:dyDescent="0.3">
      <c r="D4615" s="7"/>
    </row>
    <row r="4616" spans="4:4" x14ac:dyDescent="0.3">
      <c r="D4616" s="7"/>
    </row>
    <row r="4617" spans="4:4" x14ac:dyDescent="0.3">
      <c r="D4617" s="7"/>
    </row>
    <row r="4618" spans="4:4" x14ac:dyDescent="0.3">
      <c r="D4618" s="7"/>
    </row>
    <row r="4619" spans="4:4" x14ac:dyDescent="0.3">
      <c r="D4619" s="7"/>
    </row>
    <row r="4620" spans="4:4" x14ac:dyDescent="0.3">
      <c r="D4620" s="7"/>
    </row>
    <row r="4621" spans="4:4" x14ac:dyDescent="0.3">
      <c r="D4621" s="7"/>
    </row>
    <row r="4622" spans="4:4" x14ac:dyDescent="0.3">
      <c r="D4622" s="7"/>
    </row>
    <row r="4623" spans="4:4" x14ac:dyDescent="0.3">
      <c r="D4623" s="7"/>
    </row>
    <row r="4624" spans="4:4" x14ac:dyDescent="0.3">
      <c r="D4624" s="7"/>
    </row>
    <row r="4625" spans="4:4" x14ac:dyDescent="0.3">
      <c r="D4625" s="7"/>
    </row>
    <row r="4626" spans="4:4" x14ac:dyDescent="0.3">
      <c r="D4626" s="7"/>
    </row>
    <row r="4627" spans="4:4" x14ac:dyDescent="0.3">
      <c r="D4627" s="7"/>
    </row>
    <row r="4628" spans="4:4" x14ac:dyDescent="0.3">
      <c r="D4628" s="7"/>
    </row>
    <row r="4629" spans="4:4" x14ac:dyDescent="0.3">
      <c r="D4629" s="7"/>
    </row>
    <row r="4630" spans="4:4" x14ac:dyDescent="0.3">
      <c r="D4630" s="7"/>
    </row>
    <row r="4631" spans="4:4" x14ac:dyDescent="0.3">
      <c r="D4631" s="7"/>
    </row>
    <row r="4632" spans="4:4" x14ac:dyDescent="0.3">
      <c r="D4632" s="7"/>
    </row>
    <row r="4633" spans="4:4" x14ac:dyDescent="0.3">
      <c r="D4633" s="7"/>
    </row>
    <row r="4634" spans="4:4" x14ac:dyDescent="0.3">
      <c r="D4634" s="7"/>
    </row>
    <row r="4635" spans="4:4" x14ac:dyDescent="0.3">
      <c r="D4635" s="7"/>
    </row>
    <row r="4636" spans="4:4" x14ac:dyDescent="0.3">
      <c r="D4636" s="7"/>
    </row>
    <row r="4637" spans="4:4" x14ac:dyDescent="0.3">
      <c r="D4637" s="7"/>
    </row>
    <row r="4638" spans="4:4" x14ac:dyDescent="0.3">
      <c r="D4638" s="7"/>
    </row>
    <row r="4639" spans="4:4" x14ac:dyDescent="0.3">
      <c r="D4639" s="7"/>
    </row>
    <row r="4640" spans="4:4" x14ac:dyDescent="0.3">
      <c r="D4640" s="7"/>
    </row>
    <row r="4641" spans="4:4" x14ac:dyDescent="0.3">
      <c r="D4641" s="7"/>
    </row>
    <row r="4642" spans="4:4" x14ac:dyDescent="0.3">
      <c r="D4642" s="7"/>
    </row>
    <row r="4643" spans="4:4" x14ac:dyDescent="0.3">
      <c r="D4643" s="7"/>
    </row>
    <row r="4644" spans="4:4" x14ac:dyDescent="0.3">
      <c r="D4644" s="7"/>
    </row>
    <row r="4645" spans="4:4" x14ac:dyDescent="0.3">
      <c r="D4645" s="7"/>
    </row>
    <row r="4646" spans="4:4" x14ac:dyDescent="0.3">
      <c r="D4646" s="7"/>
    </row>
    <row r="4647" spans="4:4" x14ac:dyDescent="0.3">
      <c r="D4647" s="7"/>
    </row>
    <row r="4648" spans="4:4" x14ac:dyDescent="0.3">
      <c r="D4648" s="7"/>
    </row>
    <row r="4649" spans="4:4" x14ac:dyDescent="0.3">
      <c r="D4649" s="7"/>
    </row>
    <row r="4650" spans="4:4" x14ac:dyDescent="0.3">
      <c r="D4650" s="7"/>
    </row>
    <row r="4651" spans="4:4" x14ac:dyDescent="0.3">
      <c r="D4651" s="7"/>
    </row>
    <row r="4652" spans="4:4" x14ac:dyDescent="0.3">
      <c r="D4652" s="7"/>
    </row>
    <row r="4653" spans="4:4" x14ac:dyDescent="0.3">
      <c r="D4653" s="7"/>
    </row>
    <row r="4654" spans="4:4" x14ac:dyDescent="0.3">
      <c r="D4654" s="7"/>
    </row>
    <row r="4655" spans="4:4" x14ac:dyDescent="0.3">
      <c r="D4655" s="7"/>
    </row>
    <row r="4656" spans="4:4" x14ac:dyDescent="0.3">
      <c r="D4656" s="7"/>
    </row>
    <row r="4657" spans="4:4" x14ac:dyDescent="0.3">
      <c r="D4657" s="7"/>
    </row>
    <row r="4658" spans="4:4" x14ac:dyDescent="0.3">
      <c r="D4658" s="7"/>
    </row>
    <row r="4659" spans="4:4" x14ac:dyDescent="0.3">
      <c r="D4659" s="7"/>
    </row>
    <row r="4660" spans="4:4" x14ac:dyDescent="0.3">
      <c r="D4660" s="7"/>
    </row>
    <row r="4661" spans="4:4" x14ac:dyDescent="0.3">
      <c r="D4661" s="7"/>
    </row>
    <row r="4662" spans="4:4" x14ac:dyDescent="0.3">
      <c r="D4662" s="7"/>
    </row>
    <row r="4663" spans="4:4" x14ac:dyDescent="0.3">
      <c r="D4663" s="7"/>
    </row>
    <row r="4664" spans="4:4" x14ac:dyDescent="0.3">
      <c r="D4664" s="7"/>
    </row>
    <row r="4665" spans="4:4" x14ac:dyDescent="0.3">
      <c r="D4665" s="7"/>
    </row>
    <row r="4666" spans="4:4" x14ac:dyDescent="0.3">
      <c r="D4666" s="7"/>
    </row>
    <row r="4667" spans="4:4" x14ac:dyDescent="0.3">
      <c r="D4667" s="7"/>
    </row>
    <row r="4668" spans="4:4" x14ac:dyDescent="0.3">
      <c r="D4668" s="7"/>
    </row>
    <row r="4669" spans="4:4" x14ac:dyDescent="0.3">
      <c r="D4669" s="7"/>
    </row>
    <row r="4670" spans="4:4" x14ac:dyDescent="0.3">
      <c r="D4670" s="7"/>
    </row>
    <row r="4671" spans="4:4" x14ac:dyDescent="0.3">
      <c r="D4671" s="7"/>
    </row>
    <row r="4672" spans="4:4" x14ac:dyDescent="0.3">
      <c r="D4672" s="7"/>
    </row>
    <row r="4673" spans="4:4" x14ac:dyDescent="0.3">
      <c r="D4673" s="7"/>
    </row>
    <row r="4674" spans="4:4" x14ac:dyDescent="0.3">
      <c r="D4674" s="7"/>
    </row>
    <row r="4675" spans="4:4" x14ac:dyDescent="0.3">
      <c r="D4675" s="7"/>
    </row>
    <row r="4676" spans="4:4" x14ac:dyDescent="0.3">
      <c r="D4676" s="7"/>
    </row>
    <row r="4677" spans="4:4" x14ac:dyDescent="0.3">
      <c r="D4677" s="7"/>
    </row>
    <row r="4678" spans="4:4" x14ac:dyDescent="0.3">
      <c r="D4678" s="7"/>
    </row>
    <row r="4679" spans="4:4" x14ac:dyDescent="0.3">
      <c r="D4679" s="7"/>
    </row>
    <row r="4680" spans="4:4" x14ac:dyDescent="0.3">
      <c r="D4680" s="7"/>
    </row>
    <row r="4681" spans="4:4" x14ac:dyDescent="0.3">
      <c r="D4681" s="7"/>
    </row>
    <row r="4682" spans="4:4" x14ac:dyDescent="0.3">
      <c r="D4682" s="7"/>
    </row>
    <row r="4683" spans="4:4" x14ac:dyDescent="0.3">
      <c r="D4683" s="7"/>
    </row>
    <row r="4684" spans="4:4" x14ac:dyDescent="0.3">
      <c r="D4684" s="7"/>
    </row>
    <row r="4685" spans="4:4" x14ac:dyDescent="0.3">
      <c r="D4685" s="7"/>
    </row>
    <row r="4686" spans="4:4" x14ac:dyDescent="0.3">
      <c r="D4686" s="7"/>
    </row>
    <row r="4687" spans="4:4" x14ac:dyDescent="0.3">
      <c r="D4687" s="7"/>
    </row>
    <row r="4688" spans="4:4" x14ac:dyDescent="0.3">
      <c r="D4688" s="7"/>
    </row>
    <row r="4689" spans="4:4" x14ac:dyDescent="0.3">
      <c r="D4689" s="7"/>
    </row>
    <row r="4690" spans="4:4" x14ac:dyDescent="0.3">
      <c r="D4690" s="7"/>
    </row>
    <row r="4691" spans="4:4" x14ac:dyDescent="0.3">
      <c r="D4691" s="7"/>
    </row>
    <row r="4692" spans="4:4" x14ac:dyDescent="0.3">
      <c r="D4692" s="7"/>
    </row>
    <row r="4693" spans="4:4" x14ac:dyDescent="0.3">
      <c r="D4693" s="7"/>
    </row>
    <row r="4694" spans="4:4" x14ac:dyDescent="0.3">
      <c r="D4694" s="7"/>
    </row>
    <row r="4695" spans="4:4" x14ac:dyDescent="0.3">
      <c r="D4695" s="7"/>
    </row>
    <row r="4696" spans="4:4" x14ac:dyDescent="0.3">
      <c r="D4696" s="7"/>
    </row>
    <row r="4697" spans="4:4" x14ac:dyDescent="0.3">
      <c r="D4697" s="7"/>
    </row>
    <row r="4698" spans="4:4" x14ac:dyDescent="0.3">
      <c r="D4698" s="7"/>
    </row>
    <row r="4699" spans="4:4" x14ac:dyDescent="0.3">
      <c r="D4699" s="7"/>
    </row>
    <row r="4700" spans="4:4" x14ac:dyDescent="0.3">
      <c r="D4700" s="7"/>
    </row>
    <row r="4701" spans="4:4" x14ac:dyDescent="0.3">
      <c r="D4701" s="7"/>
    </row>
    <row r="4702" spans="4:4" x14ac:dyDescent="0.3">
      <c r="D4702" s="7"/>
    </row>
    <row r="4703" spans="4:4" x14ac:dyDescent="0.3">
      <c r="D4703" s="7"/>
    </row>
    <row r="4704" spans="4:4" x14ac:dyDescent="0.3">
      <c r="D4704" s="7"/>
    </row>
    <row r="4705" spans="4:4" x14ac:dyDescent="0.3">
      <c r="D4705" s="7"/>
    </row>
    <row r="4706" spans="4:4" x14ac:dyDescent="0.3">
      <c r="D4706" s="7"/>
    </row>
    <row r="4707" spans="4:4" x14ac:dyDescent="0.3">
      <c r="D4707" s="7"/>
    </row>
    <row r="4708" spans="4:4" x14ac:dyDescent="0.3">
      <c r="D4708" s="7"/>
    </row>
    <row r="4709" spans="4:4" x14ac:dyDescent="0.3">
      <c r="D4709" s="7"/>
    </row>
    <row r="4710" spans="4:4" x14ac:dyDescent="0.3">
      <c r="D4710" s="7"/>
    </row>
    <row r="4711" spans="4:4" x14ac:dyDescent="0.3">
      <c r="D4711" s="7"/>
    </row>
    <row r="4712" spans="4:4" x14ac:dyDescent="0.3">
      <c r="D4712" s="7"/>
    </row>
    <row r="4713" spans="4:4" x14ac:dyDescent="0.3">
      <c r="D4713" s="7"/>
    </row>
    <row r="4714" spans="4:4" x14ac:dyDescent="0.3">
      <c r="D4714" s="7"/>
    </row>
    <row r="4715" spans="4:4" x14ac:dyDescent="0.3">
      <c r="D4715" s="7"/>
    </row>
    <row r="4716" spans="4:4" x14ac:dyDescent="0.3">
      <c r="D4716" s="7"/>
    </row>
    <row r="4717" spans="4:4" x14ac:dyDescent="0.3">
      <c r="D4717" s="7"/>
    </row>
    <row r="4718" spans="4:4" x14ac:dyDescent="0.3">
      <c r="D4718" s="7"/>
    </row>
    <row r="4719" spans="4:4" x14ac:dyDescent="0.3">
      <c r="D4719" s="7"/>
    </row>
    <row r="4720" spans="4:4" x14ac:dyDescent="0.3">
      <c r="D4720" s="7"/>
    </row>
    <row r="4721" spans="4:4" x14ac:dyDescent="0.3">
      <c r="D4721" s="7"/>
    </row>
    <row r="4722" spans="4:4" x14ac:dyDescent="0.3">
      <c r="D4722" s="7"/>
    </row>
    <row r="4723" spans="4:4" x14ac:dyDescent="0.3">
      <c r="D4723" s="7"/>
    </row>
    <row r="4724" spans="4:4" x14ac:dyDescent="0.3">
      <c r="D4724" s="7"/>
    </row>
    <row r="4725" spans="4:4" x14ac:dyDescent="0.3">
      <c r="D4725" s="7"/>
    </row>
    <row r="4726" spans="4:4" x14ac:dyDescent="0.3">
      <c r="D4726" s="7"/>
    </row>
    <row r="4727" spans="4:4" x14ac:dyDescent="0.3">
      <c r="D4727" s="7"/>
    </row>
    <row r="4728" spans="4:4" x14ac:dyDescent="0.3">
      <c r="D4728" s="7"/>
    </row>
    <row r="4729" spans="4:4" x14ac:dyDescent="0.3">
      <c r="D4729" s="7"/>
    </row>
    <row r="4730" spans="4:4" x14ac:dyDescent="0.3">
      <c r="D4730" s="7"/>
    </row>
    <row r="4731" spans="4:4" x14ac:dyDescent="0.3">
      <c r="D4731" s="7"/>
    </row>
    <row r="4732" spans="4:4" x14ac:dyDescent="0.3">
      <c r="D4732" s="7"/>
    </row>
    <row r="4733" spans="4:4" x14ac:dyDescent="0.3">
      <c r="D4733" s="7"/>
    </row>
    <row r="4734" spans="4:4" x14ac:dyDescent="0.3">
      <c r="D4734" s="7"/>
    </row>
    <row r="4735" spans="4:4" x14ac:dyDescent="0.3">
      <c r="D4735" s="7"/>
    </row>
    <row r="4736" spans="4:4" x14ac:dyDescent="0.3">
      <c r="D4736" s="7"/>
    </row>
    <row r="4737" spans="4:4" x14ac:dyDescent="0.3">
      <c r="D4737" s="7"/>
    </row>
    <row r="4738" spans="4:4" x14ac:dyDescent="0.3">
      <c r="D4738" s="7"/>
    </row>
    <row r="4739" spans="4:4" x14ac:dyDescent="0.3">
      <c r="D4739" s="7"/>
    </row>
    <row r="4740" spans="4:4" x14ac:dyDescent="0.3">
      <c r="D4740" s="7"/>
    </row>
    <row r="4741" spans="4:4" x14ac:dyDescent="0.3">
      <c r="D4741" s="7"/>
    </row>
    <row r="4742" spans="4:4" x14ac:dyDescent="0.3">
      <c r="D4742" s="7"/>
    </row>
    <row r="4743" spans="4:4" x14ac:dyDescent="0.3">
      <c r="D4743" s="7"/>
    </row>
    <row r="4744" spans="4:4" x14ac:dyDescent="0.3">
      <c r="D4744" s="7"/>
    </row>
    <row r="4745" spans="4:4" x14ac:dyDescent="0.3">
      <c r="D4745" s="7"/>
    </row>
    <row r="4746" spans="4:4" x14ac:dyDescent="0.3">
      <c r="D4746" s="7"/>
    </row>
    <row r="4747" spans="4:4" x14ac:dyDescent="0.3">
      <c r="D4747" s="7"/>
    </row>
    <row r="4748" spans="4:4" x14ac:dyDescent="0.3">
      <c r="D4748" s="7"/>
    </row>
    <row r="4749" spans="4:4" x14ac:dyDescent="0.3">
      <c r="D4749" s="7"/>
    </row>
    <row r="4750" spans="4:4" x14ac:dyDescent="0.3">
      <c r="D4750" s="7"/>
    </row>
    <row r="4751" spans="4:4" x14ac:dyDescent="0.3">
      <c r="D4751" s="7"/>
    </row>
    <row r="4752" spans="4:4" x14ac:dyDescent="0.3">
      <c r="D4752" s="7"/>
    </row>
    <row r="4753" spans="4:4" x14ac:dyDescent="0.3">
      <c r="D4753" s="7"/>
    </row>
    <row r="4754" spans="4:4" x14ac:dyDescent="0.3">
      <c r="D4754" s="7"/>
    </row>
    <row r="4755" spans="4:4" x14ac:dyDescent="0.3">
      <c r="D4755" s="7"/>
    </row>
    <row r="4756" spans="4:4" x14ac:dyDescent="0.3">
      <c r="D4756" s="7"/>
    </row>
    <row r="4757" spans="4:4" x14ac:dyDescent="0.3">
      <c r="D4757" s="7"/>
    </row>
    <row r="4758" spans="4:4" x14ac:dyDescent="0.3">
      <c r="D4758" s="7"/>
    </row>
    <row r="4759" spans="4:4" x14ac:dyDescent="0.3">
      <c r="D4759" s="7"/>
    </row>
    <row r="4760" spans="4:4" x14ac:dyDescent="0.3">
      <c r="D4760" s="7"/>
    </row>
    <row r="4761" spans="4:4" x14ac:dyDescent="0.3">
      <c r="D4761" s="7"/>
    </row>
    <row r="4762" spans="4:4" x14ac:dyDescent="0.3">
      <c r="D4762" s="7"/>
    </row>
    <row r="4763" spans="4:4" x14ac:dyDescent="0.3">
      <c r="D4763" s="7"/>
    </row>
    <row r="4764" spans="4:4" x14ac:dyDescent="0.3">
      <c r="D4764" s="7"/>
    </row>
    <row r="4765" spans="4:4" x14ac:dyDescent="0.3">
      <c r="D4765" s="7"/>
    </row>
    <row r="4766" spans="4:4" x14ac:dyDescent="0.3">
      <c r="D4766" s="7"/>
    </row>
    <row r="4767" spans="4:4" x14ac:dyDescent="0.3">
      <c r="D4767" s="7"/>
    </row>
    <row r="4768" spans="4:4" x14ac:dyDescent="0.3">
      <c r="D4768" s="7"/>
    </row>
    <row r="4769" spans="4:4" x14ac:dyDescent="0.3">
      <c r="D4769" s="7"/>
    </row>
    <row r="4770" spans="4:4" x14ac:dyDescent="0.3">
      <c r="D4770" s="7"/>
    </row>
    <row r="4771" spans="4:4" x14ac:dyDescent="0.3">
      <c r="D4771" s="7"/>
    </row>
    <row r="4772" spans="4:4" x14ac:dyDescent="0.3">
      <c r="D4772" s="7"/>
    </row>
    <row r="4773" spans="4:4" x14ac:dyDescent="0.3">
      <c r="D4773" s="7"/>
    </row>
    <row r="4774" spans="4:4" x14ac:dyDescent="0.3">
      <c r="D4774" s="7"/>
    </row>
    <row r="4775" spans="4:4" x14ac:dyDescent="0.3">
      <c r="D4775" s="7"/>
    </row>
    <row r="4776" spans="4:4" x14ac:dyDescent="0.3">
      <c r="D4776" s="7"/>
    </row>
    <row r="4777" spans="4:4" x14ac:dyDescent="0.3">
      <c r="D4777" s="7"/>
    </row>
    <row r="4778" spans="4:4" x14ac:dyDescent="0.3">
      <c r="D4778" s="7"/>
    </row>
    <row r="4779" spans="4:4" x14ac:dyDescent="0.3">
      <c r="D4779" s="7"/>
    </row>
    <row r="4780" spans="4:4" x14ac:dyDescent="0.3">
      <c r="D4780" s="7"/>
    </row>
    <row r="4781" spans="4:4" x14ac:dyDescent="0.3">
      <c r="D4781" s="7"/>
    </row>
    <row r="4782" spans="4:4" x14ac:dyDescent="0.3">
      <c r="D4782" s="7"/>
    </row>
    <row r="4783" spans="4:4" x14ac:dyDescent="0.3">
      <c r="D4783" s="7"/>
    </row>
    <row r="4784" spans="4:4" x14ac:dyDescent="0.3">
      <c r="D4784" s="7"/>
    </row>
    <row r="4785" spans="4:4" x14ac:dyDescent="0.3">
      <c r="D4785" s="7"/>
    </row>
    <row r="4786" spans="4:4" x14ac:dyDescent="0.3">
      <c r="D4786" s="7"/>
    </row>
    <row r="4787" spans="4:4" x14ac:dyDescent="0.3">
      <c r="D4787" s="7"/>
    </row>
    <row r="4788" spans="4:4" x14ac:dyDescent="0.3">
      <c r="D4788" s="7"/>
    </row>
    <row r="4789" spans="4:4" x14ac:dyDescent="0.3">
      <c r="D4789" s="7"/>
    </row>
    <row r="4790" spans="4:4" x14ac:dyDescent="0.3">
      <c r="D4790" s="7"/>
    </row>
    <row r="4791" spans="4:4" x14ac:dyDescent="0.3">
      <c r="D4791" s="7"/>
    </row>
    <row r="4792" spans="4:4" x14ac:dyDescent="0.3">
      <c r="D4792" s="7"/>
    </row>
    <row r="4793" spans="4:4" x14ac:dyDescent="0.3">
      <c r="D4793" s="7"/>
    </row>
    <row r="4794" spans="4:4" x14ac:dyDescent="0.3">
      <c r="D4794" s="7"/>
    </row>
    <row r="4795" spans="4:4" x14ac:dyDescent="0.3">
      <c r="D4795" s="7"/>
    </row>
    <row r="4796" spans="4:4" x14ac:dyDescent="0.3">
      <c r="D4796" s="7"/>
    </row>
    <row r="4797" spans="4:4" x14ac:dyDescent="0.3">
      <c r="D4797" s="7"/>
    </row>
    <row r="4798" spans="4:4" x14ac:dyDescent="0.3">
      <c r="D4798" s="7"/>
    </row>
    <row r="4799" spans="4:4" x14ac:dyDescent="0.3">
      <c r="D4799" s="7"/>
    </row>
    <row r="4800" spans="4:4" x14ac:dyDescent="0.3">
      <c r="D4800" s="7"/>
    </row>
    <row r="4801" spans="4:4" x14ac:dyDescent="0.3">
      <c r="D4801" s="7"/>
    </row>
    <row r="4802" spans="4:4" x14ac:dyDescent="0.3">
      <c r="D4802" s="7"/>
    </row>
    <row r="4803" spans="4:4" x14ac:dyDescent="0.3">
      <c r="D4803" s="7"/>
    </row>
    <row r="4804" spans="4:4" x14ac:dyDescent="0.3">
      <c r="D4804" s="7"/>
    </row>
    <row r="4805" spans="4:4" x14ac:dyDescent="0.3">
      <c r="D4805" s="7"/>
    </row>
    <row r="4806" spans="4:4" x14ac:dyDescent="0.3">
      <c r="D4806" s="7"/>
    </row>
    <row r="4807" spans="4:4" x14ac:dyDescent="0.3">
      <c r="D4807" s="7"/>
    </row>
    <row r="4808" spans="4:4" x14ac:dyDescent="0.3">
      <c r="D4808" s="7"/>
    </row>
    <row r="4809" spans="4:4" x14ac:dyDescent="0.3">
      <c r="D4809" s="7"/>
    </row>
    <row r="4810" spans="4:4" x14ac:dyDescent="0.3">
      <c r="D4810" s="7"/>
    </row>
    <row r="4811" spans="4:4" x14ac:dyDescent="0.3">
      <c r="D4811" s="7"/>
    </row>
    <row r="4812" spans="4:4" x14ac:dyDescent="0.3">
      <c r="D4812" s="7"/>
    </row>
    <row r="4813" spans="4:4" x14ac:dyDescent="0.3">
      <c r="D4813" s="7"/>
    </row>
    <row r="4814" spans="4:4" x14ac:dyDescent="0.3">
      <c r="D4814" s="7"/>
    </row>
    <row r="4815" spans="4:4" x14ac:dyDescent="0.3">
      <c r="D4815" s="7"/>
    </row>
    <row r="4816" spans="4:4" x14ac:dyDescent="0.3">
      <c r="D4816" s="7"/>
    </row>
    <row r="4817" spans="4:4" x14ac:dyDescent="0.3">
      <c r="D4817" s="7"/>
    </row>
    <row r="4818" spans="4:4" x14ac:dyDescent="0.3">
      <c r="D4818" s="7"/>
    </row>
    <row r="4819" spans="4:4" x14ac:dyDescent="0.3">
      <c r="D4819" s="7"/>
    </row>
    <row r="4820" spans="4:4" x14ac:dyDescent="0.3">
      <c r="D4820" s="7"/>
    </row>
    <row r="4821" spans="4:4" x14ac:dyDescent="0.3">
      <c r="D4821" s="7"/>
    </row>
    <row r="4822" spans="4:4" x14ac:dyDescent="0.3">
      <c r="D4822" s="7"/>
    </row>
    <row r="4823" spans="4:4" x14ac:dyDescent="0.3">
      <c r="D4823" s="7"/>
    </row>
    <row r="4824" spans="4:4" x14ac:dyDescent="0.3">
      <c r="D4824" s="7"/>
    </row>
    <row r="4825" spans="4:4" x14ac:dyDescent="0.3">
      <c r="D4825" s="7"/>
    </row>
    <row r="4826" spans="4:4" x14ac:dyDescent="0.3">
      <c r="D4826" s="7"/>
    </row>
    <row r="4827" spans="4:4" x14ac:dyDescent="0.3">
      <c r="D4827" s="7"/>
    </row>
    <row r="4828" spans="4:4" x14ac:dyDescent="0.3">
      <c r="D4828" s="7"/>
    </row>
    <row r="4829" spans="4:4" x14ac:dyDescent="0.3">
      <c r="D4829" s="7"/>
    </row>
    <row r="4830" spans="4:4" x14ac:dyDescent="0.3">
      <c r="D4830" s="7"/>
    </row>
    <row r="4831" spans="4:4" x14ac:dyDescent="0.3">
      <c r="D4831" s="7"/>
    </row>
    <row r="4832" spans="4:4" x14ac:dyDescent="0.3">
      <c r="D4832" s="7"/>
    </row>
    <row r="4833" spans="4:4" x14ac:dyDescent="0.3">
      <c r="D4833" s="7"/>
    </row>
    <row r="4834" spans="4:4" x14ac:dyDescent="0.3">
      <c r="D4834" s="7"/>
    </row>
    <row r="4835" spans="4:4" x14ac:dyDescent="0.3">
      <c r="D4835" s="7"/>
    </row>
    <row r="4836" spans="4:4" x14ac:dyDescent="0.3">
      <c r="D4836" s="7"/>
    </row>
    <row r="4837" spans="4:4" x14ac:dyDescent="0.3">
      <c r="D4837" s="7"/>
    </row>
    <row r="4838" spans="4:4" x14ac:dyDescent="0.3">
      <c r="D4838" s="7"/>
    </row>
    <row r="4839" spans="4:4" x14ac:dyDescent="0.3">
      <c r="D4839" s="7"/>
    </row>
    <row r="4840" spans="4:4" x14ac:dyDescent="0.3">
      <c r="D4840" s="7"/>
    </row>
    <row r="4841" spans="4:4" x14ac:dyDescent="0.3">
      <c r="D4841" s="7"/>
    </row>
    <row r="4842" spans="4:4" x14ac:dyDescent="0.3">
      <c r="D4842" s="7"/>
    </row>
    <row r="4843" spans="4:4" x14ac:dyDescent="0.3">
      <c r="D4843" s="7"/>
    </row>
    <row r="4844" spans="4:4" x14ac:dyDescent="0.3">
      <c r="D4844" s="7"/>
    </row>
    <row r="4845" spans="4:4" x14ac:dyDescent="0.3">
      <c r="D4845" s="7"/>
    </row>
    <row r="4846" spans="4:4" x14ac:dyDescent="0.3">
      <c r="D4846" s="7"/>
    </row>
    <row r="4847" spans="4:4" x14ac:dyDescent="0.3">
      <c r="D4847" s="7"/>
    </row>
    <row r="4848" spans="4:4" x14ac:dyDescent="0.3">
      <c r="D4848" s="7"/>
    </row>
    <row r="4849" spans="4:4" x14ac:dyDescent="0.3">
      <c r="D4849" s="7"/>
    </row>
    <row r="4850" spans="4:4" x14ac:dyDescent="0.3">
      <c r="D4850" s="7"/>
    </row>
    <row r="4851" spans="4:4" x14ac:dyDescent="0.3">
      <c r="D4851" s="7"/>
    </row>
    <row r="4852" spans="4:4" x14ac:dyDescent="0.3">
      <c r="D4852" s="7"/>
    </row>
    <row r="4853" spans="4:4" x14ac:dyDescent="0.3">
      <c r="D4853" s="7"/>
    </row>
    <row r="4854" spans="4:4" x14ac:dyDescent="0.3">
      <c r="D4854" s="7"/>
    </row>
    <row r="4855" spans="4:4" x14ac:dyDescent="0.3">
      <c r="D4855" s="7"/>
    </row>
    <row r="4856" spans="4:4" x14ac:dyDescent="0.3">
      <c r="D4856" s="7"/>
    </row>
    <row r="4857" spans="4:4" x14ac:dyDescent="0.3">
      <c r="D4857" s="7"/>
    </row>
    <row r="4858" spans="4:4" x14ac:dyDescent="0.3">
      <c r="D4858" s="7"/>
    </row>
    <row r="4859" spans="4:4" x14ac:dyDescent="0.3">
      <c r="D4859" s="7"/>
    </row>
    <row r="4860" spans="4:4" x14ac:dyDescent="0.3">
      <c r="D4860" s="7"/>
    </row>
    <row r="4861" spans="4:4" x14ac:dyDescent="0.3">
      <c r="D4861" s="7"/>
    </row>
    <row r="4862" spans="4:4" x14ac:dyDescent="0.3">
      <c r="D4862" s="7"/>
    </row>
    <row r="4863" spans="4:4" x14ac:dyDescent="0.3">
      <c r="D4863" s="7"/>
    </row>
    <row r="4864" spans="4:4" x14ac:dyDescent="0.3">
      <c r="D4864" s="7"/>
    </row>
    <row r="4865" spans="4:4" x14ac:dyDescent="0.3">
      <c r="D4865" s="7"/>
    </row>
    <row r="4866" spans="4:4" x14ac:dyDescent="0.3">
      <c r="D4866" s="7"/>
    </row>
    <row r="4867" spans="4:4" x14ac:dyDescent="0.3">
      <c r="D4867" s="7"/>
    </row>
    <row r="4868" spans="4:4" x14ac:dyDescent="0.3">
      <c r="D4868" s="7"/>
    </row>
    <row r="4869" spans="4:4" x14ac:dyDescent="0.3">
      <c r="D4869" s="7"/>
    </row>
    <row r="4870" spans="4:4" x14ac:dyDescent="0.3">
      <c r="D4870" s="7"/>
    </row>
    <row r="4871" spans="4:4" x14ac:dyDescent="0.3">
      <c r="D4871" s="7"/>
    </row>
    <row r="4872" spans="4:4" x14ac:dyDescent="0.3">
      <c r="D4872" s="7"/>
    </row>
    <row r="4873" spans="4:4" x14ac:dyDescent="0.3">
      <c r="D4873" s="7"/>
    </row>
    <row r="4874" spans="4:4" x14ac:dyDescent="0.3">
      <c r="D4874" s="7"/>
    </row>
    <row r="4875" spans="4:4" x14ac:dyDescent="0.3">
      <c r="D4875" s="7"/>
    </row>
    <row r="4876" spans="4:4" x14ac:dyDescent="0.3">
      <c r="D4876" s="7"/>
    </row>
    <row r="4877" spans="4:4" x14ac:dyDescent="0.3">
      <c r="D4877" s="7"/>
    </row>
    <row r="4878" spans="4:4" x14ac:dyDescent="0.3">
      <c r="D4878" s="7"/>
    </row>
    <row r="4879" spans="4:4" x14ac:dyDescent="0.3">
      <c r="D4879" s="7"/>
    </row>
    <row r="4880" spans="4:4" x14ac:dyDescent="0.3">
      <c r="D4880" s="7"/>
    </row>
    <row r="4881" spans="4:4" x14ac:dyDescent="0.3">
      <c r="D4881" s="7"/>
    </row>
    <row r="4882" spans="4:4" x14ac:dyDescent="0.3">
      <c r="D4882" s="7"/>
    </row>
    <row r="4883" spans="4:4" x14ac:dyDescent="0.3">
      <c r="D4883" s="7"/>
    </row>
    <row r="4884" spans="4:4" x14ac:dyDescent="0.3">
      <c r="D4884" s="7"/>
    </row>
    <row r="4885" spans="4:4" x14ac:dyDescent="0.3">
      <c r="D4885" s="7"/>
    </row>
    <row r="4886" spans="4:4" x14ac:dyDescent="0.3">
      <c r="D4886" s="7"/>
    </row>
    <row r="4887" spans="4:4" x14ac:dyDescent="0.3">
      <c r="D4887" s="7"/>
    </row>
    <row r="4888" spans="4:4" x14ac:dyDescent="0.3">
      <c r="D4888" s="7"/>
    </row>
    <row r="4889" spans="4:4" x14ac:dyDescent="0.3">
      <c r="D4889" s="7"/>
    </row>
    <row r="4890" spans="4:4" x14ac:dyDescent="0.3">
      <c r="D4890" s="7"/>
    </row>
    <row r="4891" spans="4:4" x14ac:dyDescent="0.3">
      <c r="D4891" s="7"/>
    </row>
    <row r="4892" spans="4:4" x14ac:dyDescent="0.3">
      <c r="D4892" s="7"/>
    </row>
    <row r="4893" spans="4:4" x14ac:dyDescent="0.3">
      <c r="D4893" s="7"/>
    </row>
    <row r="4894" spans="4:4" x14ac:dyDescent="0.3">
      <c r="D4894" s="7"/>
    </row>
    <row r="4895" spans="4:4" x14ac:dyDescent="0.3">
      <c r="D4895" s="7"/>
    </row>
    <row r="4896" spans="4:4" x14ac:dyDescent="0.3">
      <c r="D4896" s="7"/>
    </row>
    <row r="4897" spans="4:4" x14ac:dyDescent="0.3">
      <c r="D4897" s="7"/>
    </row>
    <row r="4898" spans="4:4" x14ac:dyDescent="0.3">
      <c r="D4898" s="7"/>
    </row>
    <row r="4899" spans="4:4" x14ac:dyDescent="0.3">
      <c r="D4899" s="7"/>
    </row>
    <row r="4900" spans="4:4" x14ac:dyDescent="0.3">
      <c r="D4900" s="7"/>
    </row>
    <row r="4901" spans="4:4" x14ac:dyDescent="0.3">
      <c r="D4901" s="7"/>
    </row>
    <row r="4902" spans="4:4" x14ac:dyDescent="0.3">
      <c r="D4902" s="7"/>
    </row>
    <row r="4903" spans="4:4" x14ac:dyDescent="0.3">
      <c r="D4903" s="7"/>
    </row>
    <row r="4904" spans="4:4" x14ac:dyDescent="0.3">
      <c r="D4904" s="7"/>
    </row>
    <row r="4905" spans="4:4" x14ac:dyDescent="0.3">
      <c r="D4905" s="7"/>
    </row>
    <row r="4906" spans="4:4" x14ac:dyDescent="0.3">
      <c r="D4906" s="7"/>
    </row>
    <row r="4907" spans="4:4" x14ac:dyDescent="0.3">
      <c r="D4907" s="7"/>
    </row>
    <row r="4908" spans="4:4" x14ac:dyDescent="0.3">
      <c r="D4908" s="7"/>
    </row>
    <row r="4909" spans="4:4" x14ac:dyDescent="0.3">
      <c r="D4909" s="7"/>
    </row>
    <row r="4910" spans="4:4" x14ac:dyDescent="0.3">
      <c r="D4910" s="7"/>
    </row>
    <row r="4911" spans="4:4" x14ac:dyDescent="0.3">
      <c r="D4911" s="7"/>
    </row>
    <row r="4912" spans="4:4" x14ac:dyDescent="0.3">
      <c r="D4912" s="7"/>
    </row>
    <row r="4913" spans="4:4" x14ac:dyDescent="0.3">
      <c r="D4913" s="7"/>
    </row>
    <row r="4914" spans="4:4" x14ac:dyDescent="0.3">
      <c r="D4914" s="7"/>
    </row>
    <row r="4915" spans="4:4" x14ac:dyDescent="0.3">
      <c r="D4915" s="7"/>
    </row>
    <row r="4916" spans="4:4" x14ac:dyDescent="0.3">
      <c r="D4916" s="7"/>
    </row>
    <row r="4917" spans="4:4" x14ac:dyDescent="0.3">
      <c r="D4917" s="7"/>
    </row>
    <row r="4918" spans="4:4" x14ac:dyDescent="0.3">
      <c r="D4918" s="7"/>
    </row>
    <row r="4919" spans="4:4" x14ac:dyDescent="0.3">
      <c r="D4919" s="7"/>
    </row>
    <row r="4920" spans="4:4" x14ac:dyDescent="0.3">
      <c r="D4920" s="7"/>
    </row>
    <row r="4921" spans="4:4" x14ac:dyDescent="0.3">
      <c r="D4921" s="7"/>
    </row>
    <row r="4922" spans="4:4" x14ac:dyDescent="0.3">
      <c r="D4922" s="7"/>
    </row>
    <row r="4923" spans="4:4" x14ac:dyDescent="0.3">
      <c r="D4923" s="7"/>
    </row>
    <row r="4924" spans="4:4" x14ac:dyDescent="0.3">
      <c r="D4924" s="7"/>
    </row>
    <row r="4925" spans="4:4" x14ac:dyDescent="0.3">
      <c r="D4925" s="7"/>
    </row>
    <row r="4926" spans="4:4" x14ac:dyDescent="0.3">
      <c r="D4926" s="7"/>
    </row>
    <row r="4927" spans="4:4" x14ac:dyDescent="0.3">
      <c r="D4927" s="7"/>
    </row>
    <row r="4928" spans="4:4" x14ac:dyDescent="0.3">
      <c r="D4928" s="7"/>
    </row>
    <row r="4929" spans="4:4" x14ac:dyDescent="0.3">
      <c r="D4929" s="7"/>
    </row>
    <row r="4930" spans="4:4" x14ac:dyDescent="0.3">
      <c r="D4930" s="7"/>
    </row>
    <row r="4931" spans="4:4" x14ac:dyDescent="0.3">
      <c r="D4931" s="7"/>
    </row>
    <row r="4932" spans="4:4" x14ac:dyDescent="0.3">
      <c r="D4932" s="7"/>
    </row>
    <row r="4933" spans="4:4" x14ac:dyDescent="0.3">
      <c r="D4933" s="7"/>
    </row>
    <row r="4934" spans="4:4" x14ac:dyDescent="0.3">
      <c r="D4934" s="7"/>
    </row>
    <row r="4935" spans="4:4" x14ac:dyDescent="0.3">
      <c r="D4935" s="7"/>
    </row>
    <row r="4936" spans="4:4" x14ac:dyDescent="0.3">
      <c r="D4936" s="7"/>
    </row>
    <row r="4937" spans="4:4" x14ac:dyDescent="0.3">
      <c r="D4937" s="7"/>
    </row>
    <row r="4938" spans="4:4" x14ac:dyDescent="0.3">
      <c r="D4938" s="7"/>
    </row>
    <row r="4939" spans="4:4" x14ac:dyDescent="0.3">
      <c r="D4939" s="7"/>
    </row>
    <row r="4940" spans="4:4" x14ac:dyDescent="0.3">
      <c r="D4940" s="7"/>
    </row>
    <row r="4941" spans="4:4" x14ac:dyDescent="0.3">
      <c r="D4941" s="7"/>
    </row>
    <row r="4942" spans="4:4" x14ac:dyDescent="0.3">
      <c r="D4942" s="7"/>
    </row>
    <row r="4943" spans="4:4" x14ac:dyDescent="0.3">
      <c r="D4943" s="7"/>
    </row>
    <row r="4944" spans="4:4" x14ac:dyDescent="0.3">
      <c r="D4944" s="7"/>
    </row>
    <row r="4945" spans="4:4" x14ac:dyDescent="0.3">
      <c r="D4945" s="7"/>
    </row>
    <row r="4946" spans="4:4" x14ac:dyDescent="0.3">
      <c r="D4946" s="7"/>
    </row>
    <row r="4947" spans="4:4" x14ac:dyDescent="0.3">
      <c r="D4947" s="7"/>
    </row>
    <row r="4948" spans="4:4" x14ac:dyDescent="0.3">
      <c r="D4948" s="7"/>
    </row>
    <row r="4949" spans="4:4" x14ac:dyDescent="0.3">
      <c r="D4949" s="7"/>
    </row>
    <row r="4950" spans="4:4" x14ac:dyDescent="0.3">
      <c r="D4950" s="7"/>
    </row>
    <row r="4951" spans="4:4" x14ac:dyDescent="0.3">
      <c r="D4951" s="7"/>
    </row>
    <row r="4952" spans="4:4" x14ac:dyDescent="0.3">
      <c r="D4952" s="7"/>
    </row>
    <row r="4953" spans="4:4" x14ac:dyDescent="0.3">
      <c r="D4953" s="7"/>
    </row>
    <row r="4954" spans="4:4" x14ac:dyDescent="0.3">
      <c r="D4954" s="7"/>
    </row>
    <row r="4955" spans="4:4" x14ac:dyDescent="0.3">
      <c r="D4955" s="7"/>
    </row>
    <row r="4956" spans="4:4" x14ac:dyDescent="0.3">
      <c r="D4956" s="7"/>
    </row>
    <row r="4957" spans="4:4" x14ac:dyDescent="0.3">
      <c r="D4957" s="7"/>
    </row>
    <row r="4958" spans="4:4" x14ac:dyDescent="0.3">
      <c r="D4958" s="7"/>
    </row>
    <row r="4959" spans="4:4" x14ac:dyDescent="0.3">
      <c r="D4959" s="7"/>
    </row>
    <row r="4960" spans="4:4" x14ac:dyDescent="0.3">
      <c r="D4960" s="7"/>
    </row>
    <row r="4961" spans="4:4" x14ac:dyDescent="0.3">
      <c r="D4961" s="7"/>
    </row>
    <row r="4962" spans="4:4" x14ac:dyDescent="0.3">
      <c r="D4962" s="7"/>
    </row>
    <row r="4963" spans="4:4" x14ac:dyDescent="0.3">
      <c r="D4963" s="7"/>
    </row>
    <row r="4964" spans="4:4" x14ac:dyDescent="0.3">
      <c r="D4964" s="7"/>
    </row>
    <row r="4965" spans="4:4" x14ac:dyDescent="0.3">
      <c r="D4965" s="7"/>
    </row>
    <row r="4966" spans="4:4" x14ac:dyDescent="0.3">
      <c r="D4966" s="7"/>
    </row>
    <row r="4967" spans="4:4" x14ac:dyDescent="0.3">
      <c r="D4967" s="7"/>
    </row>
    <row r="4968" spans="4:4" x14ac:dyDescent="0.3">
      <c r="D4968" s="7"/>
    </row>
    <row r="4969" spans="4:4" x14ac:dyDescent="0.3">
      <c r="D4969" s="7"/>
    </row>
    <row r="4970" spans="4:4" x14ac:dyDescent="0.3">
      <c r="D4970" s="7"/>
    </row>
    <row r="4971" spans="4:4" x14ac:dyDescent="0.3">
      <c r="D4971" s="7"/>
    </row>
    <row r="4972" spans="4:4" x14ac:dyDescent="0.3">
      <c r="D4972" s="7"/>
    </row>
    <row r="4973" spans="4:4" x14ac:dyDescent="0.3">
      <c r="D4973" s="7"/>
    </row>
    <row r="4974" spans="4:4" x14ac:dyDescent="0.3">
      <c r="D4974" s="7"/>
    </row>
    <row r="4975" spans="4:4" x14ac:dyDescent="0.3">
      <c r="D4975" s="7"/>
    </row>
    <row r="4976" spans="4:4" x14ac:dyDescent="0.3">
      <c r="D4976" s="7"/>
    </row>
    <row r="4977" spans="4:4" x14ac:dyDescent="0.3">
      <c r="D4977" s="7"/>
    </row>
    <row r="4978" spans="4:4" x14ac:dyDescent="0.3">
      <c r="D4978" s="7"/>
    </row>
    <row r="4979" spans="4:4" x14ac:dyDescent="0.3">
      <c r="D4979" s="7"/>
    </row>
    <row r="4980" spans="4:4" x14ac:dyDescent="0.3">
      <c r="D4980" s="7"/>
    </row>
    <row r="4981" spans="4:4" x14ac:dyDescent="0.3">
      <c r="D4981" s="7"/>
    </row>
    <row r="4982" spans="4:4" x14ac:dyDescent="0.3">
      <c r="D4982" s="7"/>
    </row>
    <row r="4983" spans="4:4" x14ac:dyDescent="0.3">
      <c r="D4983" s="7"/>
    </row>
    <row r="4984" spans="4:4" x14ac:dyDescent="0.3">
      <c r="D4984" s="7"/>
    </row>
    <row r="4985" spans="4:4" x14ac:dyDescent="0.3">
      <c r="D4985" s="7"/>
    </row>
    <row r="4986" spans="4:4" x14ac:dyDescent="0.3">
      <c r="D4986" s="7"/>
    </row>
    <row r="4987" spans="4:4" x14ac:dyDescent="0.3">
      <c r="D4987" s="7"/>
    </row>
    <row r="4988" spans="4:4" x14ac:dyDescent="0.3">
      <c r="D4988" s="7"/>
    </row>
    <row r="4989" spans="4:4" x14ac:dyDescent="0.3">
      <c r="D4989" s="7"/>
    </row>
    <row r="4990" spans="4:4" x14ac:dyDescent="0.3">
      <c r="D4990" s="7"/>
    </row>
    <row r="4991" spans="4:4" x14ac:dyDescent="0.3">
      <c r="D4991" s="7"/>
    </row>
    <row r="4992" spans="4:4" x14ac:dyDescent="0.3">
      <c r="D4992" s="7"/>
    </row>
    <row r="4993" spans="4:4" x14ac:dyDescent="0.3">
      <c r="D4993" s="7"/>
    </row>
    <row r="4994" spans="4:4" x14ac:dyDescent="0.3">
      <c r="D4994" s="7"/>
    </row>
    <row r="4995" spans="4:4" x14ac:dyDescent="0.3">
      <c r="D4995" s="7"/>
    </row>
    <row r="4996" spans="4:4" x14ac:dyDescent="0.3">
      <c r="D4996" s="7"/>
    </row>
    <row r="4997" spans="4:4" x14ac:dyDescent="0.3">
      <c r="D4997" s="7"/>
    </row>
    <row r="4998" spans="4:4" x14ac:dyDescent="0.3">
      <c r="D4998" s="7"/>
    </row>
    <row r="4999" spans="4:4" x14ac:dyDescent="0.3">
      <c r="D4999" s="7"/>
    </row>
    <row r="5000" spans="4:4" x14ac:dyDescent="0.3">
      <c r="D5000" s="7"/>
    </row>
    <row r="5001" spans="4:4" x14ac:dyDescent="0.3">
      <c r="D5001" s="7"/>
    </row>
    <row r="5002" spans="4:4" x14ac:dyDescent="0.3">
      <c r="D5002" s="7"/>
    </row>
    <row r="5003" spans="4:4" x14ac:dyDescent="0.3">
      <c r="D5003" s="7"/>
    </row>
    <row r="5004" spans="4:4" x14ac:dyDescent="0.3">
      <c r="D5004" s="7"/>
    </row>
    <row r="5005" spans="4:4" x14ac:dyDescent="0.3">
      <c r="D5005" s="7"/>
    </row>
    <row r="5006" spans="4:4" x14ac:dyDescent="0.3">
      <c r="D5006" s="7"/>
    </row>
    <row r="5007" spans="4:4" x14ac:dyDescent="0.3">
      <c r="D5007" s="7"/>
    </row>
    <row r="5008" spans="4:4" x14ac:dyDescent="0.3">
      <c r="D5008" s="7"/>
    </row>
    <row r="5009" spans="4:4" x14ac:dyDescent="0.3">
      <c r="D5009" s="7"/>
    </row>
    <row r="5010" spans="4:4" x14ac:dyDescent="0.3">
      <c r="D5010" s="7"/>
    </row>
    <row r="5011" spans="4:4" x14ac:dyDescent="0.3">
      <c r="D5011" s="7"/>
    </row>
    <row r="5012" spans="4:4" x14ac:dyDescent="0.3">
      <c r="D5012" s="7"/>
    </row>
    <row r="5013" spans="4:4" x14ac:dyDescent="0.3">
      <c r="D5013" s="7"/>
    </row>
    <row r="5014" spans="4:4" x14ac:dyDescent="0.3">
      <c r="D5014" s="7"/>
    </row>
    <row r="5015" spans="4:4" x14ac:dyDescent="0.3">
      <c r="D5015" s="7"/>
    </row>
    <row r="5016" spans="4:4" x14ac:dyDescent="0.3">
      <c r="D5016" s="7"/>
    </row>
    <row r="5017" spans="4:4" x14ac:dyDescent="0.3">
      <c r="D5017" s="7"/>
    </row>
    <row r="5018" spans="4:4" x14ac:dyDescent="0.3">
      <c r="D5018" s="7"/>
    </row>
    <row r="5019" spans="4:4" x14ac:dyDescent="0.3">
      <c r="D5019" s="7"/>
    </row>
    <row r="5020" spans="4:4" x14ac:dyDescent="0.3">
      <c r="D5020" s="7"/>
    </row>
    <row r="5021" spans="4:4" x14ac:dyDescent="0.3">
      <c r="D5021" s="7"/>
    </row>
    <row r="5022" spans="4:4" x14ac:dyDescent="0.3">
      <c r="D5022" s="7"/>
    </row>
    <row r="5023" spans="4:4" x14ac:dyDescent="0.3">
      <c r="D5023" s="7"/>
    </row>
    <row r="5024" spans="4:4" x14ac:dyDescent="0.3">
      <c r="D5024" s="7"/>
    </row>
    <row r="5025" spans="4:4" x14ac:dyDescent="0.3">
      <c r="D5025" s="7"/>
    </row>
    <row r="5026" spans="4:4" x14ac:dyDescent="0.3">
      <c r="D5026" s="7"/>
    </row>
    <row r="5027" spans="4:4" x14ac:dyDescent="0.3">
      <c r="D5027" s="7"/>
    </row>
    <row r="5028" spans="4:4" x14ac:dyDescent="0.3">
      <c r="D5028" s="7"/>
    </row>
    <row r="5029" spans="4:4" x14ac:dyDescent="0.3">
      <c r="D5029" s="7"/>
    </row>
    <row r="5030" spans="4:4" x14ac:dyDescent="0.3">
      <c r="D5030" s="7"/>
    </row>
    <row r="5031" spans="4:4" x14ac:dyDescent="0.3">
      <c r="D5031" s="7"/>
    </row>
    <row r="5032" spans="4:4" x14ac:dyDescent="0.3">
      <c r="D5032" s="7"/>
    </row>
    <row r="5033" spans="4:4" x14ac:dyDescent="0.3">
      <c r="D5033" s="7"/>
    </row>
    <row r="5034" spans="4:4" x14ac:dyDescent="0.3">
      <c r="D5034" s="7"/>
    </row>
    <row r="5035" spans="4:4" x14ac:dyDescent="0.3">
      <c r="D5035" s="7"/>
    </row>
    <row r="5036" spans="4:4" x14ac:dyDescent="0.3">
      <c r="D5036" s="7"/>
    </row>
    <row r="5037" spans="4:4" x14ac:dyDescent="0.3">
      <c r="D5037" s="7"/>
    </row>
    <row r="5038" spans="4:4" x14ac:dyDescent="0.3">
      <c r="D5038" s="7"/>
    </row>
    <row r="5039" spans="4:4" x14ac:dyDescent="0.3">
      <c r="D5039" s="7"/>
    </row>
    <row r="5040" spans="4:4" x14ac:dyDescent="0.3">
      <c r="D5040" s="7"/>
    </row>
    <row r="5041" spans="4:4" x14ac:dyDescent="0.3">
      <c r="D5041" s="7"/>
    </row>
    <row r="5042" spans="4:4" x14ac:dyDescent="0.3">
      <c r="D5042" s="7"/>
    </row>
    <row r="5043" spans="4:4" x14ac:dyDescent="0.3">
      <c r="D5043" s="7"/>
    </row>
    <row r="5044" spans="4:4" x14ac:dyDescent="0.3">
      <c r="D5044" s="7"/>
    </row>
    <row r="5045" spans="4:4" x14ac:dyDescent="0.3">
      <c r="D5045" s="7"/>
    </row>
    <row r="5046" spans="4:4" x14ac:dyDescent="0.3">
      <c r="D5046" s="7"/>
    </row>
    <row r="5047" spans="4:4" x14ac:dyDescent="0.3">
      <c r="D5047" s="7"/>
    </row>
    <row r="5048" spans="4:4" x14ac:dyDescent="0.3">
      <c r="D5048" s="7"/>
    </row>
    <row r="5049" spans="4:4" x14ac:dyDescent="0.3">
      <c r="D5049" s="7"/>
    </row>
    <row r="5050" spans="4:4" x14ac:dyDescent="0.3">
      <c r="D5050" s="7"/>
    </row>
    <row r="5051" spans="4:4" x14ac:dyDescent="0.3">
      <c r="D5051" s="7"/>
    </row>
    <row r="5052" spans="4:4" x14ac:dyDescent="0.3">
      <c r="D5052" s="7"/>
    </row>
    <row r="5053" spans="4:4" x14ac:dyDescent="0.3">
      <c r="D5053" s="7"/>
    </row>
    <row r="5054" spans="4:4" x14ac:dyDescent="0.3">
      <c r="D5054" s="7"/>
    </row>
    <row r="5055" spans="4:4" x14ac:dyDescent="0.3">
      <c r="D5055" s="7"/>
    </row>
    <row r="5056" spans="4:4" x14ac:dyDescent="0.3">
      <c r="D5056" s="7"/>
    </row>
    <row r="5057" spans="4:4" x14ac:dyDescent="0.3">
      <c r="D5057" s="7"/>
    </row>
    <row r="5058" spans="4:4" x14ac:dyDescent="0.3">
      <c r="D5058" s="7"/>
    </row>
    <row r="5059" spans="4:4" x14ac:dyDescent="0.3">
      <c r="D5059" s="7"/>
    </row>
    <row r="5060" spans="4:4" x14ac:dyDescent="0.3">
      <c r="D5060" s="7"/>
    </row>
    <row r="5061" spans="4:4" x14ac:dyDescent="0.3">
      <c r="D5061" s="7"/>
    </row>
    <row r="5062" spans="4:4" x14ac:dyDescent="0.3">
      <c r="D5062" s="7"/>
    </row>
    <row r="5063" spans="4:4" x14ac:dyDescent="0.3">
      <c r="D5063" s="7"/>
    </row>
    <row r="5064" spans="4:4" x14ac:dyDescent="0.3">
      <c r="D5064" s="7"/>
    </row>
    <row r="5065" spans="4:4" x14ac:dyDescent="0.3">
      <c r="D5065" s="7"/>
    </row>
    <row r="5066" spans="4:4" x14ac:dyDescent="0.3">
      <c r="D5066" s="7"/>
    </row>
    <row r="5067" spans="4:4" x14ac:dyDescent="0.3">
      <c r="D5067" s="7"/>
    </row>
    <row r="5068" spans="4:4" x14ac:dyDescent="0.3">
      <c r="D5068" s="7"/>
    </row>
    <row r="5069" spans="4:4" x14ac:dyDescent="0.3">
      <c r="D5069" s="7"/>
    </row>
    <row r="5070" spans="4:4" x14ac:dyDescent="0.3">
      <c r="D5070" s="7"/>
    </row>
    <row r="5071" spans="4:4" x14ac:dyDescent="0.3">
      <c r="D5071" s="7"/>
    </row>
    <row r="5072" spans="4:4" x14ac:dyDescent="0.3">
      <c r="D5072" s="7"/>
    </row>
    <row r="5073" spans="4:4" x14ac:dyDescent="0.3">
      <c r="D5073" s="7"/>
    </row>
    <row r="5074" spans="4:4" x14ac:dyDescent="0.3">
      <c r="D5074" s="7"/>
    </row>
    <row r="5075" spans="4:4" x14ac:dyDescent="0.3">
      <c r="D5075" s="7"/>
    </row>
    <row r="5076" spans="4:4" x14ac:dyDescent="0.3">
      <c r="D5076" s="7"/>
    </row>
    <row r="5077" spans="4:4" x14ac:dyDescent="0.3">
      <c r="D5077" s="7"/>
    </row>
    <row r="5078" spans="4:4" x14ac:dyDescent="0.3">
      <c r="D5078" s="7"/>
    </row>
    <row r="5079" spans="4:4" x14ac:dyDescent="0.3">
      <c r="D5079" s="7"/>
    </row>
    <row r="5080" spans="4:4" x14ac:dyDescent="0.3">
      <c r="D5080" s="7"/>
    </row>
    <row r="5081" spans="4:4" x14ac:dyDescent="0.3">
      <c r="D5081" s="7"/>
    </row>
    <row r="5082" spans="4:4" x14ac:dyDescent="0.3">
      <c r="D5082" s="7"/>
    </row>
    <row r="5083" spans="4:4" x14ac:dyDescent="0.3">
      <c r="D5083" s="7"/>
    </row>
    <row r="5084" spans="4:4" x14ac:dyDescent="0.3">
      <c r="D5084" s="7"/>
    </row>
    <row r="5085" spans="4:4" x14ac:dyDescent="0.3">
      <c r="D5085" s="7"/>
    </row>
    <row r="5086" spans="4:4" x14ac:dyDescent="0.3">
      <c r="D5086" s="7"/>
    </row>
    <row r="5087" spans="4:4" x14ac:dyDescent="0.3">
      <c r="D5087" s="7"/>
    </row>
    <row r="5088" spans="4:4" x14ac:dyDescent="0.3">
      <c r="D5088" s="7"/>
    </row>
    <row r="5089" spans="4:4" x14ac:dyDescent="0.3">
      <c r="D5089" s="7"/>
    </row>
    <row r="5090" spans="4:4" x14ac:dyDescent="0.3">
      <c r="D5090" s="7"/>
    </row>
    <row r="5091" spans="4:4" x14ac:dyDescent="0.3">
      <c r="D5091" s="7"/>
    </row>
    <row r="5092" spans="4:4" x14ac:dyDescent="0.3">
      <c r="D5092" s="7"/>
    </row>
    <row r="5093" spans="4:4" x14ac:dyDescent="0.3">
      <c r="D5093" s="7"/>
    </row>
    <row r="5094" spans="4:4" x14ac:dyDescent="0.3">
      <c r="D5094" s="7"/>
    </row>
    <row r="5095" spans="4:4" x14ac:dyDescent="0.3">
      <c r="D5095" s="7"/>
    </row>
    <row r="5096" spans="4:4" x14ac:dyDescent="0.3">
      <c r="D5096" s="7"/>
    </row>
    <row r="5097" spans="4:4" x14ac:dyDescent="0.3">
      <c r="D5097" s="7"/>
    </row>
    <row r="5098" spans="4:4" x14ac:dyDescent="0.3">
      <c r="D5098" s="7"/>
    </row>
    <row r="5099" spans="4:4" x14ac:dyDescent="0.3">
      <c r="D5099" s="7"/>
    </row>
    <row r="5100" spans="4:4" x14ac:dyDescent="0.3">
      <c r="D5100" s="7"/>
    </row>
    <row r="5101" spans="4:4" x14ac:dyDescent="0.3">
      <c r="D5101" s="7"/>
    </row>
    <row r="5102" spans="4:4" x14ac:dyDescent="0.3">
      <c r="D5102" s="7"/>
    </row>
    <row r="5103" spans="4:4" x14ac:dyDescent="0.3">
      <c r="D5103" s="7"/>
    </row>
    <row r="5104" spans="4:4" x14ac:dyDescent="0.3">
      <c r="D5104" s="7"/>
    </row>
    <row r="5105" spans="4:4" x14ac:dyDescent="0.3">
      <c r="D5105" s="7"/>
    </row>
    <row r="5106" spans="4:4" x14ac:dyDescent="0.3">
      <c r="D5106" s="7"/>
    </row>
    <row r="5107" spans="4:4" x14ac:dyDescent="0.3">
      <c r="D5107" s="7"/>
    </row>
    <row r="5108" spans="4:4" x14ac:dyDescent="0.3">
      <c r="D5108" s="7"/>
    </row>
    <row r="5109" spans="4:4" x14ac:dyDescent="0.3">
      <c r="D5109" s="7"/>
    </row>
    <row r="5110" spans="4:4" x14ac:dyDescent="0.3">
      <c r="D5110" s="7"/>
    </row>
    <row r="5111" spans="4:4" x14ac:dyDescent="0.3">
      <c r="D5111" s="7"/>
    </row>
    <row r="5112" spans="4:4" x14ac:dyDescent="0.3">
      <c r="D5112" s="7"/>
    </row>
    <row r="5113" spans="4:4" x14ac:dyDescent="0.3">
      <c r="D5113" s="7"/>
    </row>
    <row r="5114" spans="4:4" x14ac:dyDescent="0.3">
      <c r="D5114" s="7"/>
    </row>
    <row r="5115" spans="4:4" x14ac:dyDescent="0.3">
      <c r="D5115" s="7"/>
    </row>
    <row r="5116" spans="4:4" x14ac:dyDescent="0.3">
      <c r="D5116" s="7"/>
    </row>
    <row r="5117" spans="4:4" x14ac:dyDescent="0.3">
      <c r="D5117" s="7"/>
    </row>
    <row r="5118" spans="4:4" x14ac:dyDescent="0.3">
      <c r="D5118" s="7"/>
    </row>
    <row r="5119" spans="4:4" x14ac:dyDescent="0.3">
      <c r="D5119" s="7"/>
    </row>
    <row r="5120" spans="4:4" x14ac:dyDescent="0.3">
      <c r="D5120" s="7"/>
    </row>
    <row r="5121" spans="4:4" x14ac:dyDescent="0.3">
      <c r="D5121" s="7"/>
    </row>
    <row r="5122" spans="4:4" x14ac:dyDescent="0.3">
      <c r="D5122" s="7"/>
    </row>
    <row r="5123" spans="4:4" x14ac:dyDescent="0.3">
      <c r="D5123" s="7"/>
    </row>
    <row r="5124" spans="4:4" x14ac:dyDescent="0.3">
      <c r="D5124" s="7"/>
    </row>
    <row r="5125" spans="4:4" x14ac:dyDescent="0.3">
      <c r="D5125" s="7"/>
    </row>
    <row r="5126" spans="4:4" x14ac:dyDescent="0.3">
      <c r="D5126" s="7"/>
    </row>
    <row r="5127" spans="4:4" x14ac:dyDescent="0.3">
      <c r="D5127" s="7"/>
    </row>
    <row r="5128" spans="4:4" x14ac:dyDescent="0.3">
      <c r="D5128" s="7"/>
    </row>
    <row r="5129" spans="4:4" x14ac:dyDescent="0.3">
      <c r="D5129" s="7"/>
    </row>
    <row r="5130" spans="4:4" x14ac:dyDescent="0.3">
      <c r="D5130" s="7"/>
    </row>
    <row r="5131" spans="4:4" x14ac:dyDescent="0.3">
      <c r="D5131" s="7"/>
    </row>
    <row r="5132" spans="4:4" x14ac:dyDescent="0.3">
      <c r="D5132" s="7"/>
    </row>
    <row r="5133" spans="4:4" x14ac:dyDescent="0.3">
      <c r="D5133" s="7"/>
    </row>
    <row r="5134" spans="4:4" x14ac:dyDescent="0.3">
      <c r="D5134" s="7"/>
    </row>
    <row r="5135" spans="4:4" x14ac:dyDescent="0.3">
      <c r="D5135" s="7"/>
    </row>
    <row r="5136" spans="4:4" x14ac:dyDescent="0.3">
      <c r="D5136" s="7"/>
    </row>
    <row r="5137" spans="4:4" x14ac:dyDescent="0.3">
      <c r="D5137" s="7"/>
    </row>
    <row r="5138" spans="4:4" x14ac:dyDescent="0.3">
      <c r="D5138" s="7"/>
    </row>
    <row r="5139" spans="4:4" x14ac:dyDescent="0.3">
      <c r="D5139" s="7"/>
    </row>
    <row r="5140" spans="4:4" x14ac:dyDescent="0.3">
      <c r="D5140" s="7"/>
    </row>
    <row r="5141" spans="4:4" x14ac:dyDescent="0.3">
      <c r="D5141" s="7"/>
    </row>
    <row r="5142" spans="4:4" x14ac:dyDescent="0.3">
      <c r="D5142" s="7"/>
    </row>
    <row r="5143" spans="4:4" x14ac:dyDescent="0.3">
      <c r="D5143" s="7"/>
    </row>
    <row r="5144" spans="4:4" x14ac:dyDescent="0.3">
      <c r="D5144" s="7"/>
    </row>
    <row r="5145" spans="4:4" x14ac:dyDescent="0.3">
      <c r="D5145" s="7"/>
    </row>
    <row r="5146" spans="4:4" x14ac:dyDescent="0.3">
      <c r="D5146" s="7"/>
    </row>
    <row r="5147" spans="4:4" x14ac:dyDescent="0.3">
      <c r="D5147" s="7"/>
    </row>
    <row r="5148" spans="4:4" x14ac:dyDescent="0.3">
      <c r="D5148" s="7"/>
    </row>
    <row r="5149" spans="4:4" x14ac:dyDescent="0.3">
      <c r="D5149" s="7"/>
    </row>
    <row r="5150" spans="4:4" x14ac:dyDescent="0.3">
      <c r="D5150" s="7"/>
    </row>
    <row r="5151" spans="4:4" x14ac:dyDescent="0.3">
      <c r="D5151" s="7"/>
    </row>
    <row r="5152" spans="4:4" x14ac:dyDescent="0.3">
      <c r="D5152" s="7"/>
    </row>
    <row r="5153" spans="4:4" x14ac:dyDescent="0.3">
      <c r="D5153" s="7"/>
    </row>
    <row r="5154" spans="4:4" x14ac:dyDescent="0.3">
      <c r="D5154" s="7"/>
    </row>
    <row r="5155" spans="4:4" x14ac:dyDescent="0.3">
      <c r="D5155" s="7"/>
    </row>
    <row r="5156" spans="4:4" x14ac:dyDescent="0.3">
      <c r="D5156" s="7"/>
    </row>
    <row r="5157" spans="4:4" x14ac:dyDescent="0.3">
      <c r="D5157" s="7"/>
    </row>
    <row r="5158" spans="4:4" x14ac:dyDescent="0.3">
      <c r="D5158" s="7"/>
    </row>
    <row r="5159" spans="4:4" x14ac:dyDescent="0.3">
      <c r="D5159" s="7"/>
    </row>
    <row r="5160" spans="4:4" x14ac:dyDescent="0.3">
      <c r="D5160" s="7"/>
    </row>
    <row r="5161" spans="4:4" x14ac:dyDescent="0.3">
      <c r="D5161" s="7"/>
    </row>
    <row r="5162" spans="4:4" x14ac:dyDescent="0.3">
      <c r="D5162" s="7"/>
    </row>
    <row r="5163" spans="4:4" x14ac:dyDescent="0.3">
      <c r="D5163" s="7"/>
    </row>
    <row r="5164" spans="4:4" x14ac:dyDescent="0.3">
      <c r="D5164" s="7"/>
    </row>
    <row r="5165" spans="4:4" x14ac:dyDescent="0.3">
      <c r="D5165" s="7"/>
    </row>
    <row r="5166" spans="4:4" x14ac:dyDescent="0.3">
      <c r="D5166" s="7"/>
    </row>
    <row r="5167" spans="4:4" x14ac:dyDescent="0.3">
      <c r="D5167" s="7"/>
    </row>
    <row r="5168" spans="4:4" x14ac:dyDescent="0.3">
      <c r="D5168" s="7"/>
    </row>
    <row r="5169" spans="4:4" x14ac:dyDescent="0.3">
      <c r="D5169" s="7"/>
    </row>
    <row r="5170" spans="4:4" x14ac:dyDescent="0.3">
      <c r="D5170" s="7"/>
    </row>
    <row r="5171" spans="4:4" x14ac:dyDescent="0.3">
      <c r="D5171" s="7"/>
    </row>
    <row r="5172" spans="4:4" x14ac:dyDescent="0.3">
      <c r="D5172" s="7"/>
    </row>
    <row r="5173" spans="4:4" x14ac:dyDescent="0.3">
      <c r="D5173" s="7"/>
    </row>
    <row r="5174" spans="4:4" x14ac:dyDescent="0.3">
      <c r="D5174" s="7"/>
    </row>
    <row r="5175" spans="4:4" x14ac:dyDescent="0.3">
      <c r="D5175" s="7"/>
    </row>
    <row r="5176" spans="4:4" x14ac:dyDescent="0.3">
      <c r="D5176" s="7"/>
    </row>
    <row r="5177" spans="4:4" x14ac:dyDescent="0.3">
      <c r="D5177" s="7"/>
    </row>
    <row r="5178" spans="4:4" x14ac:dyDescent="0.3">
      <c r="D5178" s="7"/>
    </row>
    <row r="5179" spans="4:4" x14ac:dyDescent="0.3">
      <c r="D5179" s="7"/>
    </row>
    <row r="5180" spans="4:4" x14ac:dyDescent="0.3">
      <c r="D5180" s="7"/>
    </row>
    <row r="5181" spans="4:4" x14ac:dyDescent="0.3">
      <c r="D5181" s="7"/>
    </row>
    <row r="5182" spans="4:4" x14ac:dyDescent="0.3">
      <c r="D5182" s="7"/>
    </row>
    <row r="5183" spans="4:4" x14ac:dyDescent="0.3">
      <c r="D5183" s="7"/>
    </row>
    <row r="5184" spans="4:4" x14ac:dyDescent="0.3">
      <c r="D5184" s="7"/>
    </row>
    <row r="5185" spans="4:4" x14ac:dyDescent="0.3">
      <c r="D5185" s="7"/>
    </row>
    <row r="5186" spans="4:4" x14ac:dyDescent="0.3">
      <c r="D5186" s="7"/>
    </row>
    <row r="5187" spans="4:4" x14ac:dyDescent="0.3">
      <c r="D5187" s="7"/>
    </row>
    <row r="5188" spans="4:4" x14ac:dyDescent="0.3">
      <c r="D5188" s="7"/>
    </row>
    <row r="5189" spans="4:4" x14ac:dyDescent="0.3">
      <c r="D5189" s="7"/>
    </row>
    <row r="5190" spans="4:4" x14ac:dyDescent="0.3">
      <c r="D5190" s="7"/>
    </row>
    <row r="5191" spans="4:4" x14ac:dyDescent="0.3">
      <c r="D5191" s="7"/>
    </row>
    <row r="5192" spans="4:4" x14ac:dyDescent="0.3">
      <c r="D5192" s="7"/>
    </row>
    <row r="5193" spans="4:4" x14ac:dyDescent="0.3">
      <c r="D5193" s="7"/>
    </row>
    <row r="5194" spans="4:4" x14ac:dyDescent="0.3">
      <c r="D5194" s="7"/>
    </row>
    <row r="5195" spans="4:4" x14ac:dyDescent="0.3">
      <c r="D5195" s="7"/>
    </row>
    <row r="5196" spans="4:4" x14ac:dyDescent="0.3">
      <c r="D5196" s="7"/>
    </row>
    <row r="5197" spans="4:4" x14ac:dyDescent="0.3">
      <c r="D5197" s="7"/>
    </row>
    <row r="5198" spans="4:4" x14ac:dyDescent="0.3">
      <c r="D5198" s="7"/>
    </row>
    <row r="5199" spans="4:4" x14ac:dyDescent="0.3">
      <c r="D5199" s="7"/>
    </row>
    <row r="5200" spans="4:4" x14ac:dyDescent="0.3">
      <c r="D5200" s="7"/>
    </row>
    <row r="5201" spans="4:4" x14ac:dyDescent="0.3">
      <c r="D5201" s="7"/>
    </row>
    <row r="5202" spans="4:4" x14ac:dyDescent="0.3">
      <c r="D5202" s="7"/>
    </row>
    <row r="5203" spans="4:4" x14ac:dyDescent="0.3">
      <c r="D5203" s="7"/>
    </row>
    <row r="5204" spans="4:4" x14ac:dyDescent="0.3">
      <c r="D5204" s="7"/>
    </row>
    <row r="5205" spans="4:4" x14ac:dyDescent="0.3">
      <c r="D5205" s="7"/>
    </row>
    <row r="5206" spans="4:4" x14ac:dyDescent="0.3">
      <c r="D5206" s="7"/>
    </row>
    <row r="5207" spans="4:4" x14ac:dyDescent="0.3">
      <c r="D5207" s="7"/>
    </row>
    <row r="5208" spans="4:4" x14ac:dyDescent="0.3">
      <c r="D5208" s="7"/>
    </row>
    <row r="5209" spans="4:4" x14ac:dyDescent="0.3">
      <c r="D5209" s="7"/>
    </row>
    <row r="5210" spans="4:4" x14ac:dyDescent="0.3">
      <c r="D5210" s="7"/>
    </row>
    <row r="5211" spans="4:4" x14ac:dyDescent="0.3">
      <c r="D5211" s="7"/>
    </row>
    <row r="5212" spans="4:4" x14ac:dyDescent="0.3">
      <c r="D5212" s="7"/>
    </row>
    <row r="5213" spans="4:4" x14ac:dyDescent="0.3">
      <c r="D5213" s="7"/>
    </row>
    <row r="5214" spans="4:4" x14ac:dyDescent="0.3">
      <c r="D5214" s="7"/>
    </row>
    <row r="5215" spans="4:4" x14ac:dyDescent="0.3">
      <c r="D5215" s="7"/>
    </row>
    <row r="5216" spans="4:4" x14ac:dyDescent="0.3">
      <c r="D5216" s="7"/>
    </row>
    <row r="5217" spans="4:4" x14ac:dyDescent="0.3">
      <c r="D5217" s="7"/>
    </row>
    <row r="5218" spans="4:4" x14ac:dyDescent="0.3">
      <c r="D5218" s="7"/>
    </row>
    <row r="5219" spans="4:4" x14ac:dyDescent="0.3">
      <c r="D5219" s="7"/>
    </row>
    <row r="5220" spans="4:4" x14ac:dyDescent="0.3">
      <c r="D5220" s="7"/>
    </row>
    <row r="5221" spans="4:4" x14ac:dyDescent="0.3">
      <c r="D5221" s="7"/>
    </row>
    <row r="5222" spans="4:4" x14ac:dyDescent="0.3">
      <c r="D5222" s="7"/>
    </row>
    <row r="5223" spans="4:4" x14ac:dyDescent="0.3">
      <c r="D5223" s="7"/>
    </row>
    <row r="5224" spans="4:4" x14ac:dyDescent="0.3">
      <c r="D5224" s="7"/>
    </row>
    <row r="5225" spans="4:4" x14ac:dyDescent="0.3">
      <c r="D5225" s="7"/>
    </row>
    <row r="5226" spans="4:4" x14ac:dyDescent="0.3">
      <c r="D5226" s="7"/>
    </row>
    <row r="5227" spans="4:4" x14ac:dyDescent="0.3">
      <c r="D5227" s="7"/>
    </row>
    <row r="5228" spans="4:4" x14ac:dyDescent="0.3">
      <c r="D5228" s="7"/>
    </row>
    <row r="5229" spans="4:4" x14ac:dyDescent="0.3">
      <c r="D5229" s="7"/>
    </row>
    <row r="5230" spans="4:4" x14ac:dyDescent="0.3">
      <c r="D5230" s="7"/>
    </row>
    <row r="5231" spans="4:4" x14ac:dyDescent="0.3">
      <c r="D5231" s="7"/>
    </row>
    <row r="5232" spans="4:4" x14ac:dyDescent="0.3">
      <c r="D5232" s="7"/>
    </row>
    <row r="5233" spans="4:4" x14ac:dyDescent="0.3">
      <c r="D5233" s="7"/>
    </row>
    <row r="5234" spans="4:4" x14ac:dyDescent="0.3">
      <c r="D5234" s="7"/>
    </row>
    <row r="5235" spans="4:4" x14ac:dyDescent="0.3">
      <c r="D5235" s="7"/>
    </row>
    <row r="5236" spans="4:4" x14ac:dyDescent="0.3">
      <c r="D5236" s="7"/>
    </row>
    <row r="5237" spans="4:4" x14ac:dyDescent="0.3">
      <c r="D5237" s="7"/>
    </row>
    <row r="5238" spans="4:4" x14ac:dyDescent="0.3">
      <c r="D5238" s="7"/>
    </row>
    <row r="5239" spans="4:4" x14ac:dyDescent="0.3">
      <c r="D5239" s="7"/>
    </row>
    <row r="5240" spans="4:4" x14ac:dyDescent="0.3">
      <c r="D5240" s="7"/>
    </row>
    <row r="5241" spans="4:4" x14ac:dyDescent="0.3">
      <c r="D5241" s="7"/>
    </row>
    <row r="5242" spans="4:4" x14ac:dyDescent="0.3">
      <c r="D5242" s="7"/>
    </row>
    <row r="5243" spans="4:4" x14ac:dyDescent="0.3">
      <c r="D5243" s="7"/>
    </row>
    <row r="5244" spans="4:4" x14ac:dyDescent="0.3">
      <c r="D5244" s="7"/>
    </row>
    <row r="5245" spans="4:4" x14ac:dyDescent="0.3">
      <c r="D5245" s="7"/>
    </row>
    <row r="5246" spans="4:4" x14ac:dyDescent="0.3">
      <c r="D5246" s="7"/>
    </row>
    <row r="5247" spans="4:4" x14ac:dyDescent="0.3">
      <c r="D5247" s="7"/>
    </row>
    <row r="5248" spans="4:4" x14ac:dyDescent="0.3">
      <c r="D5248" s="7"/>
    </row>
    <row r="5249" spans="4:4" x14ac:dyDescent="0.3">
      <c r="D5249" s="7"/>
    </row>
    <row r="5250" spans="4:4" x14ac:dyDescent="0.3">
      <c r="D5250" s="7"/>
    </row>
    <row r="5251" spans="4:4" x14ac:dyDescent="0.3">
      <c r="D5251" s="7"/>
    </row>
    <row r="5252" spans="4:4" x14ac:dyDescent="0.3">
      <c r="D5252" s="7"/>
    </row>
    <row r="5253" spans="4:4" x14ac:dyDescent="0.3">
      <c r="D5253" s="7"/>
    </row>
    <row r="5254" spans="4:4" x14ac:dyDescent="0.3">
      <c r="D5254" s="7"/>
    </row>
    <row r="5255" spans="4:4" x14ac:dyDescent="0.3">
      <c r="D5255" s="7"/>
    </row>
    <row r="5256" spans="4:4" x14ac:dyDescent="0.3">
      <c r="D5256" s="7"/>
    </row>
    <row r="5257" spans="4:4" x14ac:dyDescent="0.3">
      <c r="D5257" s="7"/>
    </row>
    <row r="5258" spans="4:4" x14ac:dyDescent="0.3">
      <c r="D5258" s="7"/>
    </row>
    <row r="5259" spans="4:4" x14ac:dyDescent="0.3">
      <c r="D5259" s="7"/>
    </row>
    <row r="5260" spans="4:4" x14ac:dyDescent="0.3">
      <c r="D5260" s="7"/>
    </row>
    <row r="5261" spans="4:4" x14ac:dyDescent="0.3">
      <c r="D5261" s="7"/>
    </row>
    <row r="5262" spans="4:4" x14ac:dyDescent="0.3">
      <c r="D5262" s="7"/>
    </row>
    <row r="5263" spans="4:4" x14ac:dyDescent="0.3">
      <c r="D5263" s="7"/>
    </row>
    <row r="5264" spans="4:4" x14ac:dyDescent="0.3">
      <c r="D5264" s="7"/>
    </row>
    <row r="5265" spans="4:4" x14ac:dyDescent="0.3">
      <c r="D5265" s="7"/>
    </row>
    <row r="5266" spans="4:4" x14ac:dyDescent="0.3">
      <c r="D5266" s="7"/>
    </row>
    <row r="5267" spans="4:4" x14ac:dyDescent="0.3">
      <c r="D5267" s="7"/>
    </row>
    <row r="5268" spans="4:4" x14ac:dyDescent="0.3">
      <c r="D5268" s="7"/>
    </row>
    <row r="5269" spans="4:4" x14ac:dyDescent="0.3">
      <c r="D5269" s="7"/>
    </row>
    <row r="5270" spans="4:4" x14ac:dyDescent="0.3">
      <c r="D5270" s="7"/>
    </row>
    <row r="5271" spans="4:4" x14ac:dyDescent="0.3">
      <c r="D5271" s="7"/>
    </row>
    <row r="5272" spans="4:4" x14ac:dyDescent="0.3">
      <c r="D5272" s="7"/>
    </row>
    <row r="5273" spans="4:4" x14ac:dyDescent="0.3">
      <c r="D5273" s="7"/>
    </row>
    <row r="5274" spans="4:4" x14ac:dyDescent="0.3">
      <c r="D5274" s="7"/>
    </row>
    <row r="5275" spans="4:4" x14ac:dyDescent="0.3">
      <c r="D5275" s="7"/>
    </row>
    <row r="5276" spans="4:4" x14ac:dyDescent="0.3">
      <c r="D5276" s="7"/>
    </row>
    <row r="5277" spans="4:4" x14ac:dyDescent="0.3">
      <c r="D5277" s="7"/>
    </row>
    <row r="5278" spans="4:4" x14ac:dyDescent="0.3">
      <c r="D5278" s="7"/>
    </row>
    <row r="5279" spans="4:4" x14ac:dyDescent="0.3">
      <c r="D5279" s="7"/>
    </row>
    <row r="5280" spans="4:4" x14ac:dyDescent="0.3">
      <c r="D5280" s="7"/>
    </row>
    <row r="5281" spans="4:4" x14ac:dyDescent="0.3">
      <c r="D5281" s="7"/>
    </row>
    <row r="5282" spans="4:4" x14ac:dyDescent="0.3">
      <c r="D5282" s="7"/>
    </row>
    <row r="5283" spans="4:4" x14ac:dyDescent="0.3">
      <c r="D5283" s="7"/>
    </row>
    <row r="5284" spans="4:4" x14ac:dyDescent="0.3">
      <c r="D5284" s="7"/>
    </row>
    <row r="5285" spans="4:4" x14ac:dyDescent="0.3">
      <c r="D5285" s="7"/>
    </row>
    <row r="5286" spans="4:4" x14ac:dyDescent="0.3">
      <c r="D5286" s="7"/>
    </row>
    <row r="5287" spans="4:4" x14ac:dyDescent="0.3">
      <c r="D5287" s="7"/>
    </row>
    <row r="5288" spans="4:4" x14ac:dyDescent="0.3">
      <c r="D5288" s="7"/>
    </row>
    <row r="5289" spans="4:4" x14ac:dyDescent="0.3">
      <c r="D5289" s="7"/>
    </row>
    <row r="5290" spans="4:4" x14ac:dyDescent="0.3">
      <c r="D5290" s="7"/>
    </row>
    <row r="5291" spans="4:4" x14ac:dyDescent="0.3">
      <c r="D5291" s="7"/>
    </row>
    <row r="5292" spans="4:4" x14ac:dyDescent="0.3">
      <c r="D5292" s="7"/>
    </row>
    <row r="5293" spans="4:4" x14ac:dyDescent="0.3">
      <c r="D5293" s="7"/>
    </row>
    <row r="5294" spans="4:4" x14ac:dyDescent="0.3">
      <c r="D5294" s="7"/>
    </row>
    <row r="5295" spans="4:4" x14ac:dyDescent="0.3">
      <c r="D5295" s="7"/>
    </row>
    <row r="5296" spans="4:4" x14ac:dyDescent="0.3">
      <c r="D5296" s="7"/>
    </row>
    <row r="5297" spans="4:4" x14ac:dyDescent="0.3">
      <c r="D5297" s="7"/>
    </row>
    <row r="5298" spans="4:4" x14ac:dyDescent="0.3">
      <c r="D5298" s="7"/>
    </row>
    <row r="5299" spans="4:4" x14ac:dyDescent="0.3">
      <c r="D5299" s="7"/>
    </row>
    <row r="5300" spans="4:4" x14ac:dyDescent="0.3">
      <c r="D5300" s="7"/>
    </row>
    <row r="5301" spans="4:4" x14ac:dyDescent="0.3">
      <c r="D5301" s="7"/>
    </row>
    <row r="5302" spans="4:4" x14ac:dyDescent="0.3">
      <c r="D5302" s="7"/>
    </row>
    <row r="5303" spans="4:4" x14ac:dyDescent="0.3">
      <c r="D5303" s="7"/>
    </row>
    <row r="5304" spans="4:4" x14ac:dyDescent="0.3">
      <c r="D5304" s="7"/>
    </row>
    <row r="5305" spans="4:4" x14ac:dyDescent="0.3">
      <c r="D5305" s="7"/>
    </row>
    <row r="5306" spans="4:4" x14ac:dyDescent="0.3">
      <c r="D5306" s="7"/>
    </row>
    <row r="5307" spans="4:4" x14ac:dyDescent="0.3">
      <c r="D5307" s="7"/>
    </row>
    <row r="5308" spans="4:4" x14ac:dyDescent="0.3">
      <c r="D5308" s="7"/>
    </row>
    <row r="5309" spans="4:4" x14ac:dyDescent="0.3">
      <c r="D5309" s="7"/>
    </row>
    <row r="5310" spans="4:4" x14ac:dyDescent="0.3">
      <c r="D5310" s="7"/>
    </row>
    <row r="5311" spans="4:4" x14ac:dyDescent="0.3">
      <c r="D5311" s="7"/>
    </row>
    <row r="5312" spans="4:4" x14ac:dyDescent="0.3">
      <c r="D5312" s="7"/>
    </row>
    <row r="5313" spans="4:4" x14ac:dyDescent="0.3">
      <c r="D5313" s="7"/>
    </row>
    <row r="5314" spans="4:4" x14ac:dyDescent="0.3">
      <c r="D5314" s="7"/>
    </row>
    <row r="5315" spans="4:4" x14ac:dyDescent="0.3">
      <c r="D5315" s="7"/>
    </row>
    <row r="5316" spans="4:4" x14ac:dyDescent="0.3">
      <c r="D5316" s="7"/>
    </row>
    <row r="5317" spans="4:4" x14ac:dyDescent="0.3">
      <c r="D5317" s="7"/>
    </row>
    <row r="5318" spans="4:4" x14ac:dyDescent="0.3">
      <c r="D5318" s="7"/>
    </row>
    <row r="5319" spans="4:4" x14ac:dyDescent="0.3">
      <c r="D5319" s="7"/>
    </row>
    <row r="5320" spans="4:4" x14ac:dyDescent="0.3">
      <c r="D5320" s="7"/>
    </row>
    <row r="5321" spans="4:4" x14ac:dyDescent="0.3">
      <c r="D5321" s="7"/>
    </row>
    <row r="5322" spans="4:4" x14ac:dyDescent="0.3">
      <c r="D5322" s="7"/>
    </row>
    <row r="5323" spans="4:4" x14ac:dyDescent="0.3">
      <c r="D5323" s="7"/>
    </row>
    <row r="5324" spans="4:4" x14ac:dyDescent="0.3">
      <c r="D5324" s="7"/>
    </row>
    <row r="5325" spans="4:4" x14ac:dyDescent="0.3">
      <c r="D5325" s="7"/>
    </row>
    <row r="5326" spans="4:4" x14ac:dyDescent="0.3">
      <c r="D5326" s="7"/>
    </row>
    <row r="5327" spans="4:4" x14ac:dyDescent="0.3">
      <c r="D5327" s="7"/>
    </row>
    <row r="5328" spans="4:4" x14ac:dyDescent="0.3">
      <c r="D5328" s="7"/>
    </row>
    <row r="5329" spans="4:4" x14ac:dyDescent="0.3">
      <c r="D5329" s="7"/>
    </row>
    <row r="5330" spans="4:4" x14ac:dyDescent="0.3">
      <c r="D5330" s="7"/>
    </row>
    <row r="5331" spans="4:4" x14ac:dyDescent="0.3">
      <c r="D5331" s="7"/>
    </row>
    <row r="5332" spans="4:4" x14ac:dyDescent="0.3">
      <c r="D5332" s="7"/>
    </row>
    <row r="5333" spans="4:4" x14ac:dyDescent="0.3">
      <c r="D5333" s="7"/>
    </row>
    <row r="5334" spans="4:4" x14ac:dyDescent="0.3">
      <c r="D5334" s="7"/>
    </row>
    <row r="5335" spans="4:4" x14ac:dyDescent="0.3">
      <c r="D5335" s="7"/>
    </row>
    <row r="5336" spans="4:4" x14ac:dyDescent="0.3">
      <c r="D5336" s="7"/>
    </row>
    <row r="5337" spans="4:4" x14ac:dyDescent="0.3">
      <c r="D5337" s="7"/>
    </row>
    <row r="5338" spans="4:4" x14ac:dyDescent="0.3">
      <c r="D5338" s="7"/>
    </row>
    <row r="5339" spans="4:4" x14ac:dyDescent="0.3">
      <c r="D5339" s="7"/>
    </row>
    <row r="5340" spans="4:4" x14ac:dyDescent="0.3">
      <c r="D5340" s="7"/>
    </row>
    <row r="5341" spans="4:4" x14ac:dyDescent="0.3">
      <c r="D5341" s="7"/>
    </row>
    <row r="5342" spans="4:4" x14ac:dyDescent="0.3">
      <c r="D5342" s="7"/>
    </row>
    <row r="5343" spans="4:4" x14ac:dyDescent="0.3">
      <c r="D5343" s="7"/>
    </row>
    <row r="5344" spans="4:4" x14ac:dyDescent="0.3">
      <c r="D5344" s="7"/>
    </row>
    <row r="5345" spans="4:4" x14ac:dyDescent="0.3">
      <c r="D5345" s="7"/>
    </row>
    <row r="5346" spans="4:4" x14ac:dyDescent="0.3">
      <c r="D5346" s="7"/>
    </row>
    <row r="5347" spans="4:4" x14ac:dyDescent="0.3">
      <c r="D5347" s="7"/>
    </row>
    <row r="5348" spans="4:4" x14ac:dyDescent="0.3">
      <c r="D5348" s="7"/>
    </row>
    <row r="5349" spans="4:4" x14ac:dyDescent="0.3">
      <c r="D5349" s="7"/>
    </row>
    <row r="5350" spans="4:4" x14ac:dyDescent="0.3">
      <c r="D5350" s="7"/>
    </row>
    <row r="5351" spans="4:4" x14ac:dyDescent="0.3">
      <c r="D5351" s="7"/>
    </row>
    <row r="5352" spans="4:4" x14ac:dyDescent="0.3">
      <c r="D5352" s="7"/>
    </row>
    <row r="5353" spans="4:4" x14ac:dyDescent="0.3">
      <c r="D5353" s="7"/>
    </row>
    <row r="5354" spans="4:4" x14ac:dyDescent="0.3">
      <c r="D5354" s="7"/>
    </row>
    <row r="5355" spans="4:4" x14ac:dyDescent="0.3">
      <c r="D5355" s="7"/>
    </row>
    <row r="5356" spans="4:4" x14ac:dyDescent="0.3">
      <c r="D5356" s="7"/>
    </row>
    <row r="5357" spans="4:4" x14ac:dyDescent="0.3">
      <c r="D5357" s="7"/>
    </row>
    <row r="5358" spans="4:4" x14ac:dyDescent="0.3">
      <c r="D5358" s="7"/>
    </row>
    <row r="5359" spans="4:4" x14ac:dyDescent="0.3">
      <c r="D5359" s="7"/>
    </row>
    <row r="5360" spans="4:4" x14ac:dyDescent="0.3">
      <c r="D5360" s="7"/>
    </row>
    <row r="5361" spans="4:4" x14ac:dyDescent="0.3">
      <c r="D5361" s="7"/>
    </row>
    <row r="5362" spans="4:4" x14ac:dyDescent="0.3">
      <c r="D5362" s="7"/>
    </row>
    <row r="5363" spans="4:4" x14ac:dyDescent="0.3">
      <c r="D5363" s="7"/>
    </row>
    <row r="5364" spans="4:4" x14ac:dyDescent="0.3">
      <c r="D5364" s="7"/>
    </row>
    <row r="5365" spans="4:4" x14ac:dyDescent="0.3">
      <c r="D5365" s="7"/>
    </row>
    <row r="5366" spans="4:4" x14ac:dyDescent="0.3">
      <c r="D5366" s="7"/>
    </row>
    <row r="5367" spans="4:4" x14ac:dyDescent="0.3">
      <c r="D5367" s="7"/>
    </row>
    <row r="5368" spans="4:4" x14ac:dyDescent="0.3">
      <c r="D5368" s="7"/>
    </row>
    <row r="5369" spans="4:4" x14ac:dyDescent="0.3">
      <c r="D5369" s="7"/>
    </row>
    <row r="5370" spans="4:4" x14ac:dyDescent="0.3">
      <c r="D5370" s="7"/>
    </row>
    <row r="5371" spans="4:4" x14ac:dyDescent="0.3">
      <c r="D5371" s="7"/>
    </row>
    <row r="5372" spans="4:4" x14ac:dyDescent="0.3">
      <c r="D5372" s="7"/>
    </row>
    <row r="5373" spans="4:4" x14ac:dyDescent="0.3">
      <c r="D5373" s="7"/>
    </row>
    <row r="5374" spans="4:4" x14ac:dyDescent="0.3">
      <c r="D5374" s="7"/>
    </row>
    <row r="5375" spans="4:4" x14ac:dyDescent="0.3">
      <c r="D5375" s="7"/>
    </row>
    <row r="5376" spans="4:4" x14ac:dyDescent="0.3">
      <c r="D5376" s="7"/>
    </row>
    <row r="5377" spans="4:4" x14ac:dyDescent="0.3">
      <c r="D5377" s="7"/>
    </row>
    <row r="5378" spans="4:4" x14ac:dyDescent="0.3">
      <c r="D5378" s="7"/>
    </row>
    <row r="5379" spans="4:4" x14ac:dyDescent="0.3">
      <c r="D5379" s="7"/>
    </row>
    <row r="5380" spans="4:4" x14ac:dyDescent="0.3">
      <c r="D5380" s="7"/>
    </row>
    <row r="5381" spans="4:4" x14ac:dyDescent="0.3">
      <c r="D5381" s="7"/>
    </row>
    <row r="5382" spans="4:4" x14ac:dyDescent="0.3">
      <c r="D5382" s="7"/>
    </row>
    <row r="5383" spans="4:4" x14ac:dyDescent="0.3">
      <c r="D5383" s="7"/>
    </row>
    <row r="5384" spans="4:4" x14ac:dyDescent="0.3">
      <c r="D5384" s="7"/>
    </row>
    <row r="5385" spans="4:4" x14ac:dyDescent="0.3">
      <c r="D5385" s="7"/>
    </row>
    <row r="5386" spans="4:4" x14ac:dyDescent="0.3">
      <c r="D5386" s="7"/>
    </row>
    <row r="5387" spans="4:4" x14ac:dyDescent="0.3">
      <c r="D5387" s="7"/>
    </row>
    <row r="5388" spans="4:4" x14ac:dyDescent="0.3">
      <c r="D5388" s="7"/>
    </row>
    <row r="5389" spans="4:4" x14ac:dyDescent="0.3">
      <c r="D5389" s="7"/>
    </row>
    <row r="5390" spans="4:4" x14ac:dyDescent="0.3">
      <c r="D5390" s="7"/>
    </row>
    <row r="5391" spans="4:4" x14ac:dyDescent="0.3">
      <c r="D5391" s="7"/>
    </row>
    <row r="5392" spans="4:4" x14ac:dyDescent="0.3">
      <c r="D5392" s="7"/>
    </row>
    <row r="5393" spans="4:4" x14ac:dyDescent="0.3">
      <c r="D5393" s="7"/>
    </row>
    <row r="5394" spans="4:4" x14ac:dyDescent="0.3">
      <c r="D5394" s="7"/>
    </row>
    <row r="5395" spans="4:4" x14ac:dyDescent="0.3">
      <c r="D5395" s="7"/>
    </row>
    <row r="5396" spans="4:4" x14ac:dyDescent="0.3">
      <c r="D5396" s="7"/>
    </row>
    <row r="5397" spans="4:4" x14ac:dyDescent="0.3">
      <c r="D5397" s="7"/>
    </row>
    <row r="5398" spans="4:4" x14ac:dyDescent="0.3">
      <c r="D5398" s="7"/>
    </row>
    <row r="5399" spans="4:4" x14ac:dyDescent="0.3">
      <c r="D5399" s="7"/>
    </row>
    <row r="5400" spans="4:4" x14ac:dyDescent="0.3">
      <c r="D5400" s="7"/>
    </row>
    <row r="5401" spans="4:4" x14ac:dyDescent="0.3">
      <c r="D5401" s="7"/>
    </row>
    <row r="5402" spans="4:4" x14ac:dyDescent="0.3">
      <c r="D5402" s="7"/>
    </row>
    <row r="5403" spans="4:4" x14ac:dyDescent="0.3">
      <c r="D5403" s="7"/>
    </row>
    <row r="5404" spans="4:4" x14ac:dyDescent="0.3">
      <c r="D5404" s="7"/>
    </row>
    <row r="5405" spans="4:4" x14ac:dyDescent="0.3">
      <c r="D5405" s="7"/>
    </row>
    <row r="5406" spans="4:4" x14ac:dyDescent="0.3">
      <c r="D5406" s="7"/>
    </row>
    <row r="5407" spans="4:4" x14ac:dyDescent="0.3">
      <c r="D5407" s="7"/>
    </row>
    <row r="5408" spans="4:4" x14ac:dyDescent="0.3">
      <c r="D5408" s="7"/>
    </row>
    <row r="5409" spans="4:4" x14ac:dyDescent="0.3">
      <c r="D5409" s="7"/>
    </row>
    <row r="5410" spans="4:4" x14ac:dyDescent="0.3">
      <c r="D5410" s="7"/>
    </row>
    <row r="5411" spans="4:4" x14ac:dyDescent="0.3">
      <c r="D5411" s="7"/>
    </row>
    <row r="5412" spans="4:4" x14ac:dyDescent="0.3">
      <c r="D5412" s="7"/>
    </row>
    <row r="5413" spans="4:4" x14ac:dyDescent="0.3">
      <c r="D5413" s="7"/>
    </row>
    <row r="5414" spans="4:4" x14ac:dyDescent="0.3">
      <c r="D5414" s="7"/>
    </row>
    <row r="5415" spans="4:4" x14ac:dyDescent="0.3">
      <c r="D5415" s="7"/>
    </row>
    <row r="5416" spans="4:4" x14ac:dyDescent="0.3">
      <c r="D5416" s="7"/>
    </row>
    <row r="5417" spans="4:4" x14ac:dyDescent="0.3">
      <c r="D5417" s="7"/>
    </row>
    <row r="5418" spans="4:4" x14ac:dyDescent="0.3">
      <c r="D5418" s="7"/>
    </row>
    <row r="5419" spans="4:4" x14ac:dyDescent="0.3">
      <c r="D5419" s="7"/>
    </row>
    <row r="5420" spans="4:4" x14ac:dyDescent="0.3">
      <c r="D5420" s="7"/>
    </row>
    <row r="5421" spans="4:4" x14ac:dyDescent="0.3">
      <c r="D5421" s="7"/>
    </row>
    <row r="5422" spans="4:4" x14ac:dyDescent="0.3">
      <c r="D5422" s="7"/>
    </row>
    <row r="5423" spans="4:4" x14ac:dyDescent="0.3">
      <c r="D5423" s="7"/>
    </row>
    <row r="5424" spans="4:4" x14ac:dyDescent="0.3">
      <c r="D5424" s="7"/>
    </row>
    <row r="5425" spans="4:4" x14ac:dyDescent="0.3">
      <c r="D5425" s="7"/>
    </row>
    <row r="5426" spans="4:4" x14ac:dyDescent="0.3">
      <c r="D5426" s="7"/>
    </row>
    <row r="5427" spans="4:4" x14ac:dyDescent="0.3">
      <c r="D5427" s="7"/>
    </row>
    <row r="5428" spans="4:4" x14ac:dyDescent="0.3">
      <c r="D5428" s="7"/>
    </row>
    <row r="5429" spans="4:4" x14ac:dyDescent="0.3">
      <c r="D5429" s="7"/>
    </row>
    <row r="5430" spans="4:4" x14ac:dyDescent="0.3">
      <c r="D5430" s="7"/>
    </row>
    <row r="5431" spans="4:4" x14ac:dyDescent="0.3">
      <c r="D5431" s="7"/>
    </row>
    <row r="5432" spans="4:4" x14ac:dyDescent="0.3">
      <c r="D5432" s="7"/>
    </row>
    <row r="5433" spans="4:4" x14ac:dyDescent="0.3">
      <c r="D5433" s="7"/>
    </row>
    <row r="5434" spans="4:4" x14ac:dyDescent="0.3">
      <c r="D5434" s="7"/>
    </row>
    <row r="5435" spans="4:4" x14ac:dyDescent="0.3">
      <c r="D5435" s="7"/>
    </row>
    <row r="5436" spans="4:4" x14ac:dyDescent="0.3">
      <c r="D5436" s="7"/>
    </row>
    <row r="5437" spans="4:4" x14ac:dyDescent="0.3">
      <c r="D5437" s="7"/>
    </row>
    <row r="5438" spans="4:4" x14ac:dyDescent="0.3">
      <c r="D5438" s="7"/>
    </row>
    <row r="5439" spans="4:4" x14ac:dyDescent="0.3">
      <c r="D5439" s="7"/>
    </row>
    <row r="5440" spans="4:4" x14ac:dyDescent="0.3">
      <c r="D5440" s="7"/>
    </row>
    <row r="5441" spans="4:4" x14ac:dyDescent="0.3">
      <c r="D5441" s="7"/>
    </row>
    <row r="5442" spans="4:4" x14ac:dyDescent="0.3">
      <c r="D5442" s="7"/>
    </row>
    <row r="5443" spans="4:4" x14ac:dyDescent="0.3">
      <c r="D5443" s="7"/>
    </row>
    <row r="5444" spans="4:4" x14ac:dyDescent="0.3">
      <c r="D5444" s="7"/>
    </row>
    <row r="5445" spans="4:4" x14ac:dyDescent="0.3">
      <c r="D5445" s="7"/>
    </row>
    <row r="5446" spans="4:4" x14ac:dyDescent="0.3">
      <c r="D5446" s="7"/>
    </row>
    <row r="5447" spans="4:4" x14ac:dyDescent="0.3">
      <c r="D5447" s="7"/>
    </row>
    <row r="5448" spans="4:4" x14ac:dyDescent="0.3">
      <c r="D5448" s="7"/>
    </row>
    <row r="5449" spans="4:4" x14ac:dyDescent="0.3">
      <c r="D5449" s="7"/>
    </row>
    <row r="5450" spans="4:4" x14ac:dyDescent="0.3">
      <c r="D5450" s="7"/>
    </row>
    <row r="5451" spans="4:4" x14ac:dyDescent="0.3">
      <c r="D5451" s="7"/>
    </row>
    <row r="5452" spans="4:4" x14ac:dyDescent="0.3">
      <c r="D5452" s="7"/>
    </row>
    <row r="5453" spans="4:4" x14ac:dyDescent="0.3">
      <c r="D5453" s="7"/>
    </row>
    <row r="5454" spans="4:4" x14ac:dyDescent="0.3">
      <c r="D5454" s="7"/>
    </row>
    <row r="5455" spans="4:4" x14ac:dyDescent="0.3">
      <c r="D5455" s="7"/>
    </row>
    <row r="5456" spans="4:4" x14ac:dyDescent="0.3">
      <c r="D5456" s="7"/>
    </row>
    <row r="5457" spans="4:4" x14ac:dyDescent="0.3">
      <c r="D5457" s="7"/>
    </row>
    <row r="5458" spans="4:4" x14ac:dyDescent="0.3">
      <c r="D5458" s="7"/>
    </row>
    <row r="5459" spans="4:4" x14ac:dyDescent="0.3">
      <c r="D5459" s="7"/>
    </row>
    <row r="5460" spans="4:4" x14ac:dyDescent="0.3">
      <c r="D5460" s="7"/>
    </row>
    <row r="5461" spans="4:4" x14ac:dyDescent="0.3">
      <c r="D5461" s="7"/>
    </row>
    <row r="5462" spans="4:4" x14ac:dyDescent="0.3">
      <c r="D5462" s="7"/>
    </row>
    <row r="5463" spans="4:4" x14ac:dyDescent="0.3">
      <c r="D5463" s="7"/>
    </row>
    <row r="5464" spans="4:4" x14ac:dyDescent="0.3">
      <c r="D5464" s="7"/>
    </row>
    <row r="5465" spans="4:4" x14ac:dyDescent="0.3">
      <c r="D5465" s="7"/>
    </row>
    <row r="5466" spans="4:4" x14ac:dyDescent="0.3">
      <c r="D5466" s="7"/>
    </row>
    <row r="5467" spans="4:4" x14ac:dyDescent="0.3">
      <c r="D5467" s="7"/>
    </row>
    <row r="5468" spans="4:4" x14ac:dyDescent="0.3">
      <c r="D5468" s="7"/>
    </row>
    <row r="5469" spans="4:4" x14ac:dyDescent="0.3">
      <c r="D5469" s="7"/>
    </row>
    <row r="5470" spans="4:4" x14ac:dyDescent="0.3">
      <c r="D5470" s="7"/>
    </row>
    <row r="5471" spans="4:4" x14ac:dyDescent="0.3">
      <c r="D5471" s="7"/>
    </row>
    <row r="5472" spans="4:4" x14ac:dyDescent="0.3">
      <c r="D5472" s="7"/>
    </row>
    <row r="5473" spans="4:4" x14ac:dyDescent="0.3">
      <c r="D5473" s="7"/>
    </row>
    <row r="5474" spans="4:4" x14ac:dyDescent="0.3">
      <c r="D5474" s="7"/>
    </row>
    <row r="5475" spans="4:4" x14ac:dyDescent="0.3">
      <c r="D5475" s="7"/>
    </row>
    <row r="5476" spans="4:4" x14ac:dyDescent="0.3">
      <c r="D5476" s="7"/>
    </row>
    <row r="5477" spans="4:4" x14ac:dyDescent="0.3">
      <c r="D5477" s="7"/>
    </row>
    <row r="5478" spans="4:4" x14ac:dyDescent="0.3">
      <c r="D5478" s="7"/>
    </row>
    <row r="5479" spans="4:4" x14ac:dyDescent="0.3">
      <c r="D5479" s="7"/>
    </row>
    <row r="5480" spans="4:4" x14ac:dyDescent="0.3">
      <c r="D5480" s="7"/>
    </row>
    <row r="5481" spans="4:4" x14ac:dyDescent="0.3">
      <c r="D5481" s="7"/>
    </row>
    <row r="5482" spans="4:4" x14ac:dyDescent="0.3">
      <c r="D5482" s="7"/>
    </row>
    <row r="5483" spans="4:4" x14ac:dyDescent="0.3">
      <c r="D5483" s="7"/>
    </row>
    <row r="5484" spans="4:4" x14ac:dyDescent="0.3">
      <c r="D5484" s="7"/>
    </row>
    <row r="5485" spans="4:4" x14ac:dyDescent="0.3">
      <c r="D5485" s="7"/>
    </row>
    <row r="5486" spans="4:4" x14ac:dyDescent="0.3">
      <c r="D5486" s="7"/>
    </row>
    <row r="5487" spans="4:4" x14ac:dyDescent="0.3">
      <c r="D5487" s="7"/>
    </row>
    <row r="5488" spans="4:4" x14ac:dyDescent="0.3">
      <c r="D5488" s="7"/>
    </row>
    <row r="5489" spans="4:4" x14ac:dyDescent="0.3">
      <c r="D5489" s="7"/>
    </row>
    <row r="5490" spans="4:4" x14ac:dyDescent="0.3">
      <c r="D5490" s="7"/>
    </row>
    <row r="5491" spans="4:4" x14ac:dyDescent="0.3">
      <c r="D5491" s="7"/>
    </row>
    <row r="5492" spans="4:4" x14ac:dyDescent="0.3">
      <c r="D5492" s="7"/>
    </row>
    <row r="5493" spans="4:4" x14ac:dyDescent="0.3">
      <c r="D5493" s="7"/>
    </row>
    <row r="5494" spans="4:4" x14ac:dyDescent="0.3">
      <c r="D5494" s="7"/>
    </row>
    <row r="5495" spans="4:4" x14ac:dyDescent="0.3">
      <c r="D5495" s="7"/>
    </row>
    <row r="5496" spans="4:4" x14ac:dyDescent="0.3">
      <c r="D5496" s="7"/>
    </row>
    <row r="5497" spans="4:4" x14ac:dyDescent="0.3">
      <c r="D5497" s="7"/>
    </row>
    <row r="5498" spans="4:4" x14ac:dyDescent="0.3">
      <c r="D5498" s="7"/>
    </row>
    <row r="5499" spans="4:4" x14ac:dyDescent="0.3">
      <c r="D5499" s="7"/>
    </row>
    <row r="5500" spans="4:4" x14ac:dyDescent="0.3">
      <c r="D5500" s="7"/>
    </row>
    <row r="5501" spans="4:4" x14ac:dyDescent="0.3">
      <c r="D5501" s="7"/>
    </row>
    <row r="5502" spans="4:4" x14ac:dyDescent="0.3">
      <c r="D5502" s="7"/>
    </row>
    <row r="5503" spans="4:4" x14ac:dyDescent="0.3">
      <c r="D5503" s="7"/>
    </row>
    <row r="5504" spans="4:4" x14ac:dyDescent="0.3">
      <c r="D5504" s="7"/>
    </row>
    <row r="5505" spans="4:4" x14ac:dyDescent="0.3">
      <c r="D5505" s="7"/>
    </row>
    <row r="5506" spans="4:4" x14ac:dyDescent="0.3">
      <c r="D5506" s="7"/>
    </row>
    <row r="5507" spans="4:4" x14ac:dyDescent="0.3">
      <c r="D5507" s="7"/>
    </row>
    <row r="5508" spans="4:4" x14ac:dyDescent="0.3">
      <c r="D5508" s="7"/>
    </row>
    <row r="5509" spans="4:4" x14ac:dyDescent="0.3">
      <c r="D5509" s="7"/>
    </row>
    <row r="5510" spans="4:4" x14ac:dyDescent="0.3">
      <c r="D5510" s="7"/>
    </row>
    <row r="5511" spans="4:4" x14ac:dyDescent="0.3">
      <c r="D5511" s="7"/>
    </row>
    <row r="5512" spans="4:4" x14ac:dyDescent="0.3">
      <c r="D5512" s="7"/>
    </row>
    <row r="5513" spans="4:4" x14ac:dyDescent="0.3">
      <c r="D5513" s="7"/>
    </row>
    <row r="5514" spans="4:4" x14ac:dyDescent="0.3">
      <c r="D5514" s="7"/>
    </row>
    <row r="5515" spans="4:4" x14ac:dyDescent="0.3">
      <c r="D5515" s="7"/>
    </row>
    <row r="5516" spans="4:4" x14ac:dyDescent="0.3">
      <c r="D5516" s="7"/>
    </row>
    <row r="5517" spans="4:4" x14ac:dyDescent="0.3">
      <c r="D5517" s="7"/>
    </row>
    <row r="5518" spans="4:4" x14ac:dyDescent="0.3">
      <c r="D5518" s="7"/>
    </row>
    <row r="5519" spans="4:4" x14ac:dyDescent="0.3">
      <c r="D5519" s="7"/>
    </row>
    <row r="5520" spans="4:4" x14ac:dyDescent="0.3">
      <c r="D5520" s="7"/>
    </row>
    <row r="5521" spans="4:4" x14ac:dyDescent="0.3">
      <c r="D5521" s="7"/>
    </row>
    <row r="5522" spans="4:4" x14ac:dyDescent="0.3">
      <c r="D5522" s="7"/>
    </row>
    <row r="5523" spans="4:4" x14ac:dyDescent="0.3">
      <c r="D5523" s="7"/>
    </row>
    <row r="5524" spans="4:4" x14ac:dyDescent="0.3">
      <c r="D5524" s="7"/>
    </row>
    <row r="5525" spans="4:4" x14ac:dyDescent="0.3">
      <c r="D5525" s="7"/>
    </row>
    <row r="5526" spans="4:4" x14ac:dyDescent="0.3">
      <c r="D5526" s="7"/>
    </row>
    <row r="5527" spans="4:4" x14ac:dyDescent="0.3">
      <c r="D5527" s="7"/>
    </row>
    <row r="5528" spans="4:4" x14ac:dyDescent="0.3">
      <c r="D5528" s="7"/>
    </row>
    <row r="5529" spans="4:4" x14ac:dyDescent="0.3">
      <c r="D5529" s="7"/>
    </row>
    <row r="5530" spans="4:4" x14ac:dyDescent="0.3">
      <c r="D5530" s="7"/>
    </row>
    <row r="5531" spans="4:4" x14ac:dyDescent="0.3">
      <c r="D5531" s="7"/>
    </row>
    <row r="5532" spans="4:4" x14ac:dyDescent="0.3">
      <c r="D5532" s="7"/>
    </row>
    <row r="5533" spans="4:4" x14ac:dyDescent="0.3">
      <c r="D5533" s="7"/>
    </row>
    <row r="5534" spans="4:4" x14ac:dyDescent="0.3">
      <c r="D5534" s="7"/>
    </row>
    <row r="5535" spans="4:4" x14ac:dyDescent="0.3">
      <c r="D5535" s="7"/>
    </row>
    <row r="5536" spans="4:4" x14ac:dyDescent="0.3">
      <c r="D5536" s="7"/>
    </row>
    <row r="5537" spans="4:4" x14ac:dyDescent="0.3">
      <c r="D5537" s="7"/>
    </row>
    <row r="5538" spans="4:4" x14ac:dyDescent="0.3">
      <c r="D5538" s="7"/>
    </row>
    <row r="5539" spans="4:4" x14ac:dyDescent="0.3">
      <c r="D5539" s="7"/>
    </row>
    <row r="5540" spans="4:4" x14ac:dyDescent="0.3">
      <c r="D5540" s="7"/>
    </row>
    <row r="5541" spans="4:4" x14ac:dyDescent="0.3">
      <c r="D5541" s="7"/>
    </row>
    <row r="5542" spans="4:4" x14ac:dyDescent="0.3">
      <c r="D5542" s="7"/>
    </row>
    <row r="5543" spans="4:4" x14ac:dyDescent="0.3">
      <c r="D5543" s="7"/>
    </row>
    <row r="5544" spans="4:4" x14ac:dyDescent="0.3">
      <c r="D5544" s="7"/>
    </row>
    <row r="5545" spans="4:4" x14ac:dyDescent="0.3">
      <c r="D5545" s="7"/>
    </row>
    <row r="5546" spans="4:4" x14ac:dyDescent="0.3">
      <c r="D5546" s="7"/>
    </row>
    <row r="5547" spans="4:4" x14ac:dyDescent="0.3">
      <c r="D5547" s="7"/>
    </row>
    <row r="5548" spans="4:4" x14ac:dyDescent="0.3">
      <c r="D5548" s="7"/>
    </row>
    <row r="5549" spans="4:4" x14ac:dyDescent="0.3">
      <c r="D5549" s="7"/>
    </row>
    <row r="5550" spans="4:4" x14ac:dyDescent="0.3">
      <c r="D5550" s="7"/>
    </row>
    <row r="5551" spans="4:4" x14ac:dyDescent="0.3">
      <c r="D5551" s="7"/>
    </row>
    <row r="5552" spans="4:4" x14ac:dyDescent="0.3">
      <c r="D5552" s="7"/>
    </row>
    <row r="5553" spans="4:4" x14ac:dyDescent="0.3">
      <c r="D5553" s="7"/>
    </row>
    <row r="5554" spans="4:4" x14ac:dyDescent="0.3">
      <c r="D5554" s="7"/>
    </row>
    <row r="5555" spans="4:4" x14ac:dyDescent="0.3">
      <c r="D5555" s="7"/>
    </row>
    <row r="5556" spans="4:4" x14ac:dyDescent="0.3">
      <c r="D5556" s="7"/>
    </row>
    <row r="5557" spans="4:4" x14ac:dyDescent="0.3">
      <c r="D5557" s="7"/>
    </row>
    <row r="5558" spans="4:4" x14ac:dyDescent="0.3">
      <c r="D5558" s="7"/>
    </row>
    <row r="5559" spans="4:4" x14ac:dyDescent="0.3">
      <c r="D5559" s="7"/>
    </row>
    <row r="5560" spans="4:4" x14ac:dyDescent="0.3">
      <c r="D5560" s="7"/>
    </row>
    <row r="5561" spans="4:4" x14ac:dyDescent="0.3">
      <c r="D5561" s="7"/>
    </row>
    <row r="5562" spans="4:4" x14ac:dyDescent="0.3">
      <c r="D5562" s="7"/>
    </row>
    <row r="5563" spans="4:4" x14ac:dyDescent="0.3">
      <c r="D5563" s="7"/>
    </row>
    <row r="5564" spans="4:4" x14ac:dyDescent="0.3">
      <c r="D5564" s="7"/>
    </row>
    <row r="5565" spans="4:4" x14ac:dyDescent="0.3">
      <c r="D5565" s="7"/>
    </row>
    <row r="5566" spans="4:4" x14ac:dyDescent="0.3">
      <c r="D5566" s="7"/>
    </row>
    <row r="5567" spans="4:4" x14ac:dyDescent="0.3">
      <c r="D5567" s="7"/>
    </row>
    <row r="5568" spans="4:4" x14ac:dyDescent="0.3">
      <c r="D5568" s="7"/>
    </row>
    <row r="5569" spans="4:4" x14ac:dyDescent="0.3">
      <c r="D5569" s="7"/>
    </row>
    <row r="5570" spans="4:4" x14ac:dyDescent="0.3">
      <c r="D5570" s="7"/>
    </row>
    <row r="5571" spans="4:4" x14ac:dyDescent="0.3">
      <c r="D5571" s="7"/>
    </row>
    <row r="5572" spans="4:4" x14ac:dyDescent="0.3">
      <c r="D5572" s="7"/>
    </row>
    <row r="5573" spans="4:4" x14ac:dyDescent="0.3">
      <c r="D5573" s="7"/>
    </row>
    <row r="5574" spans="4:4" x14ac:dyDescent="0.3">
      <c r="D5574" s="7"/>
    </row>
    <row r="5575" spans="4:4" x14ac:dyDescent="0.3">
      <c r="D5575" s="7"/>
    </row>
    <row r="5576" spans="4:4" x14ac:dyDescent="0.3">
      <c r="D5576" s="7"/>
    </row>
    <row r="5577" spans="4:4" x14ac:dyDescent="0.3">
      <c r="D5577" s="7"/>
    </row>
    <row r="5578" spans="4:4" x14ac:dyDescent="0.3">
      <c r="D5578" s="7"/>
    </row>
    <row r="5579" spans="4:4" x14ac:dyDescent="0.3">
      <c r="D5579" s="7"/>
    </row>
    <row r="5580" spans="4:4" x14ac:dyDescent="0.3">
      <c r="D5580" s="7"/>
    </row>
    <row r="5581" spans="4:4" x14ac:dyDescent="0.3">
      <c r="D5581" s="7"/>
    </row>
    <row r="5582" spans="4:4" x14ac:dyDescent="0.3">
      <c r="D5582" s="7"/>
    </row>
    <row r="5583" spans="4:4" x14ac:dyDescent="0.3">
      <c r="D5583" s="7"/>
    </row>
    <row r="5584" spans="4:4" x14ac:dyDescent="0.3">
      <c r="D5584" s="7"/>
    </row>
    <row r="5585" spans="4:4" x14ac:dyDescent="0.3">
      <c r="D5585" s="7"/>
    </row>
    <row r="5586" spans="4:4" x14ac:dyDescent="0.3">
      <c r="D5586" s="7"/>
    </row>
    <row r="5587" spans="4:4" x14ac:dyDescent="0.3">
      <c r="D5587" s="7"/>
    </row>
    <row r="5588" spans="4:4" x14ac:dyDescent="0.3">
      <c r="D5588" s="7"/>
    </row>
    <row r="5589" spans="4:4" x14ac:dyDescent="0.3">
      <c r="D5589" s="7"/>
    </row>
    <row r="5590" spans="4:4" x14ac:dyDescent="0.3">
      <c r="D5590" s="7"/>
    </row>
    <row r="5591" spans="4:4" x14ac:dyDescent="0.3">
      <c r="D5591" s="7"/>
    </row>
    <row r="5592" spans="4:4" x14ac:dyDescent="0.3">
      <c r="D5592" s="7"/>
    </row>
    <row r="5593" spans="4:4" x14ac:dyDescent="0.3">
      <c r="D5593" s="7"/>
    </row>
    <row r="5594" spans="4:4" x14ac:dyDescent="0.3">
      <c r="D5594" s="7"/>
    </row>
    <row r="5595" spans="4:4" x14ac:dyDescent="0.3">
      <c r="D5595" s="7"/>
    </row>
    <row r="5596" spans="4:4" x14ac:dyDescent="0.3">
      <c r="D5596" s="7"/>
    </row>
    <row r="5597" spans="4:4" x14ac:dyDescent="0.3">
      <c r="D5597" s="7"/>
    </row>
    <row r="5598" spans="4:4" x14ac:dyDescent="0.3">
      <c r="D5598" s="7"/>
    </row>
    <row r="5599" spans="4:4" x14ac:dyDescent="0.3">
      <c r="D5599" s="7"/>
    </row>
    <row r="5600" spans="4:4" x14ac:dyDescent="0.3">
      <c r="D5600" s="7"/>
    </row>
    <row r="5601" spans="4:4" x14ac:dyDescent="0.3">
      <c r="D5601" s="7"/>
    </row>
    <row r="5602" spans="4:4" x14ac:dyDescent="0.3">
      <c r="D5602" s="7"/>
    </row>
    <row r="5603" spans="4:4" x14ac:dyDescent="0.3">
      <c r="D5603" s="7"/>
    </row>
    <row r="5604" spans="4:4" x14ac:dyDescent="0.3">
      <c r="D5604" s="7"/>
    </row>
    <row r="5605" spans="4:4" x14ac:dyDescent="0.3">
      <c r="D5605" s="7"/>
    </row>
    <row r="5606" spans="4:4" x14ac:dyDescent="0.3">
      <c r="D5606" s="7"/>
    </row>
    <row r="5607" spans="4:4" x14ac:dyDescent="0.3">
      <c r="D5607" s="7"/>
    </row>
    <row r="5608" spans="4:4" x14ac:dyDescent="0.3">
      <c r="D5608" s="7"/>
    </row>
    <row r="5609" spans="4:4" x14ac:dyDescent="0.3">
      <c r="D5609" s="7"/>
    </row>
    <row r="5610" spans="4:4" x14ac:dyDescent="0.3">
      <c r="D5610" s="7"/>
    </row>
    <row r="5611" spans="4:4" x14ac:dyDescent="0.3">
      <c r="D5611" s="7"/>
    </row>
    <row r="5612" spans="4:4" x14ac:dyDescent="0.3">
      <c r="D5612" s="7"/>
    </row>
    <row r="5613" spans="4:4" x14ac:dyDescent="0.3">
      <c r="D5613" s="7"/>
    </row>
    <row r="5614" spans="4:4" x14ac:dyDescent="0.3">
      <c r="D5614" s="7"/>
    </row>
    <row r="5615" spans="4:4" x14ac:dyDescent="0.3">
      <c r="D5615" s="7"/>
    </row>
    <row r="5616" spans="4:4" x14ac:dyDescent="0.3">
      <c r="D5616" s="7"/>
    </row>
    <row r="5617" spans="4:4" x14ac:dyDescent="0.3">
      <c r="D5617" s="7"/>
    </row>
    <row r="5618" spans="4:4" x14ac:dyDescent="0.3">
      <c r="D5618" s="7"/>
    </row>
    <row r="5619" spans="4:4" x14ac:dyDescent="0.3">
      <c r="D5619" s="7"/>
    </row>
    <row r="5620" spans="4:4" x14ac:dyDescent="0.3">
      <c r="D5620" s="7"/>
    </row>
    <row r="5621" spans="4:4" x14ac:dyDescent="0.3">
      <c r="D5621" s="7"/>
    </row>
    <row r="5622" spans="4:4" x14ac:dyDescent="0.3">
      <c r="D5622" s="7"/>
    </row>
    <row r="5623" spans="4:4" x14ac:dyDescent="0.3">
      <c r="D5623" s="7"/>
    </row>
    <row r="5624" spans="4:4" x14ac:dyDescent="0.3">
      <c r="D5624" s="7"/>
    </row>
    <row r="5625" spans="4:4" x14ac:dyDescent="0.3">
      <c r="D5625" s="7"/>
    </row>
    <row r="5626" spans="4:4" x14ac:dyDescent="0.3">
      <c r="D5626" s="7"/>
    </row>
    <row r="5627" spans="4:4" x14ac:dyDescent="0.3">
      <c r="D5627" s="7"/>
    </row>
    <row r="5628" spans="4:4" x14ac:dyDescent="0.3">
      <c r="D5628" s="7"/>
    </row>
    <row r="5629" spans="4:4" x14ac:dyDescent="0.3">
      <c r="D5629" s="7"/>
    </row>
    <row r="5630" spans="4:4" x14ac:dyDescent="0.3">
      <c r="D5630" s="7"/>
    </row>
    <row r="5631" spans="4:4" x14ac:dyDescent="0.3">
      <c r="D5631" s="7"/>
    </row>
    <row r="5632" spans="4:4" x14ac:dyDescent="0.3">
      <c r="D5632" s="7"/>
    </row>
    <row r="5633" spans="4:4" x14ac:dyDescent="0.3">
      <c r="D5633" s="7"/>
    </row>
    <row r="5634" spans="4:4" x14ac:dyDescent="0.3">
      <c r="D5634" s="7"/>
    </row>
    <row r="5635" spans="4:4" x14ac:dyDescent="0.3">
      <c r="D5635" s="7"/>
    </row>
    <row r="5636" spans="4:4" x14ac:dyDescent="0.3">
      <c r="D5636" s="7"/>
    </row>
    <row r="5637" spans="4:4" x14ac:dyDescent="0.3">
      <c r="D5637" s="7"/>
    </row>
    <row r="5638" spans="4:4" x14ac:dyDescent="0.3">
      <c r="D5638" s="7"/>
    </row>
    <row r="5639" spans="4:4" x14ac:dyDescent="0.3">
      <c r="D5639" s="7"/>
    </row>
    <row r="5640" spans="4:4" x14ac:dyDescent="0.3">
      <c r="D5640" s="7"/>
    </row>
    <row r="5641" spans="4:4" x14ac:dyDescent="0.3">
      <c r="D5641" s="7"/>
    </row>
    <row r="5642" spans="4:4" x14ac:dyDescent="0.3">
      <c r="D5642" s="7"/>
    </row>
    <row r="5643" spans="4:4" x14ac:dyDescent="0.3">
      <c r="D5643" s="7"/>
    </row>
    <row r="5644" spans="4:4" x14ac:dyDescent="0.3">
      <c r="D5644" s="7"/>
    </row>
    <row r="5645" spans="4:4" x14ac:dyDescent="0.3">
      <c r="D5645" s="7"/>
    </row>
    <row r="5646" spans="4:4" x14ac:dyDescent="0.3">
      <c r="D5646" s="7"/>
    </row>
    <row r="5647" spans="4:4" x14ac:dyDescent="0.3">
      <c r="D5647" s="7"/>
    </row>
    <row r="5648" spans="4:4" x14ac:dyDescent="0.3">
      <c r="D5648" s="7"/>
    </row>
    <row r="5649" spans="4:4" x14ac:dyDescent="0.3">
      <c r="D5649" s="7"/>
    </row>
    <row r="5650" spans="4:4" x14ac:dyDescent="0.3">
      <c r="D5650" s="7"/>
    </row>
    <row r="5651" spans="4:4" x14ac:dyDescent="0.3">
      <c r="D5651" s="7"/>
    </row>
    <row r="5652" spans="4:4" x14ac:dyDescent="0.3">
      <c r="D5652" s="7"/>
    </row>
    <row r="5653" spans="4:4" x14ac:dyDescent="0.3">
      <c r="D5653" s="7"/>
    </row>
    <row r="5654" spans="4:4" x14ac:dyDescent="0.3">
      <c r="D5654" s="7"/>
    </row>
    <row r="5655" spans="4:4" x14ac:dyDescent="0.3">
      <c r="D5655" s="7"/>
    </row>
    <row r="5656" spans="4:4" x14ac:dyDescent="0.3">
      <c r="D5656" s="7"/>
    </row>
    <row r="5657" spans="4:4" x14ac:dyDescent="0.3">
      <c r="D5657" s="7"/>
    </row>
    <row r="5658" spans="4:4" x14ac:dyDescent="0.3">
      <c r="D5658" s="7"/>
    </row>
    <row r="5659" spans="4:4" x14ac:dyDescent="0.3">
      <c r="D5659" s="7"/>
    </row>
    <row r="5660" spans="4:4" x14ac:dyDescent="0.3">
      <c r="D5660" s="7"/>
    </row>
    <row r="5661" spans="4:4" x14ac:dyDescent="0.3">
      <c r="D5661" s="7"/>
    </row>
    <row r="5662" spans="4:4" x14ac:dyDescent="0.3">
      <c r="D5662" s="7"/>
    </row>
    <row r="5663" spans="4:4" x14ac:dyDescent="0.3">
      <c r="D5663" s="7"/>
    </row>
    <row r="5664" spans="4:4" x14ac:dyDescent="0.3">
      <c r="D5664" s="7"/>
    </row>
    <row r="5665" spans="4:4" x14ac:dyDescent="0.3">
      <c r="D5665" s="7"/>
    </row>
    <row r="5666" spans="4:4" x14ac:dyDescent="0.3">
      <c r="D5666" s="7"/>
    </row>
    <row r="5667" spans="4:4" x14ac:dyDescent="0.3">
      <c r="D5667" s="7"/>
    </row>
    <row r="5668" spans="4:4" x14ac:dyDescent="0.3">
      <c r="D5668" s="7"/>
    </row>
    <row r="5669" spans="4:4" x14ac:dyDescent="0.3">
      <c r="D5669" s="7"/>
    </row>
    <row r="5670" spans="4:4" x14ac:dyDescent="0.3">
      <c r="D5670" s="7"/>
    </row>
    <row r="5671" spans="4:4" x14ac:dyDescent="0.3">
      <c r="D5671" s="7"/>
    </row>
    <row r="5672" spans="4:4" x14ac:dyDescent="0.3">
      <c r="D5672" s="7"/>
    </row>
    <row r="5673" spans="4:4" x14ac:dyDescent="0.3">
      <c r="D5673" s="7"/>
    </row>
    <row r="5674" spans="4:4" x14ac:dyDescent="0.3">
      <c r="D5674" s="7"/>
    </row>
    <row r="5675" spans="4:4" x14ac:dyDescent="0.3">
      <c r="D5675" s="7"/>
    </row>
    <row r="5676" spans="4:4" x14ac:dyDescent="0.3">
      <c r="D5676" s="7"/>
    </row>
    <row r="5677" spans="4:4" x14ac:dyDescent="0.3">
      <c r="D5677" s="7"/>
    </row>
    <row r="5678" spans="4:4" x14ac:dyDescent="0.3">
      <c r="D5678" s="7"/>
    </row>
    <row r="5679" spans="4:4" x14ac:dyDescent="0.3">
      <c r="D5679" s="7"/>
    </row>
    <row r="5680" spans="4:4" x14ac:dyDescent="0.3">
      <c r="D5680" s="7"/>
    </row>
    <row r="5681" spans="4:4" x14ac:dyDescent="0.3">
      <c r="D5681" s="7"/>
    </row>
    <row r="5682" spans="4:4" x14ac:dyDescent="0.3">
      <c r="D5682" s="7"/>
    </row>
    <row r="5683" spans="4:4" x14ac:dyDescent="0.3">
      <c r="D5683" s="7"/>
    </row>
    <row r="5684" spans="4:4" x14ac:dyDescent="0.3">
      <c r="D5684" s="7"/>
    </row>
    <row r="5685" spans="4:4" x14ac:dyDescent="0.3">
      <c r="D5685" s="7"/>
    </row>
    <row r="5686" spans="4:4" x14ac:dyDescent="0.3">
      <c r="D5686" s="7"/>
    </row>
    <row r="5687" spans="4:4" x14ac:dyDescent="0.3">
      <c r="D5687" s="7"/>
    </row>
    <row r="5688" spans="4:4" x14ac:dyDescent="0.3">
      <c r="D5688" s="7"/>
    </row>
    <row r="5689" spans="4:4" x14ac:dyDescent="0.3">
      <c r="D5689" s="7"/>
    </row>
    <row r="5690" spans="4:4" x14ac:dyDescent="0.3">
      <c r="D5690" s="7"/>
    </row>
    <row r="5691" spans="4:4" x14ac:dyDescent="0.3">
      <c r="D5691" s="7"/>
    </row>
    <row r="5692" spans="4:4" x14ac:dyDescent="0.3">
      <c r="D5692" s="7"/>
    </row>
    <row r="5693" spans="4:4" x14ac:dyDescent="0.3">
      <c r="D5693" s="7"/>
    </row>
    <row r="5694" spans="4:4" x14ac:dyDescent="0.3">
      <c r="D5694" s="7"/>
    </row>
    <row r="5695" spans="4:4" x14ac:dyDescent="0.3">
      <c r="D5695" s="7"/>
    </row>
    <row r="5696" spans="4:4" x14ac:dyDescent="0.3">
      <c r="D5696" s="7"/>
    </row>
    <row r="5697" spans="4:4" x14ac:dyDescent="0.3">
      <c r="D5697" s="7"/>
    </row>
    <row r="5698" spans="4:4" x14ac:dyDescent="0.3">
      <c r="D5698" s="7"/>
    </row>
    <row r="5699" spans="4:4" x14ac:dyDescent="0.3">
      <c r="D5699" s="7"/>
    </row>
    <row r="5700" spans="4:4" x14ac:dyDescent="0.3">
      <c r="D5700" s="7"/>
    </row>
    <row r="5701" spans="4:4" x14ac:dyDescent="0.3">
      <c r="D5701" s="7"/>
    </row>
    <row r="5702" spans="4:4" x14ac:dyDescent="0.3">
      <c r="D5702" s="7"/>
    </row>
    <row r="5703" spans="4:4" x14ac:dyDescent="0.3">
      <c r="D5703" s="7"/>
    </row>
    <row r="5704" spans="4:4" x14ac:dyDescent="0.3">
      <c r="D5704" s="7"/>
    </row>
    <row r="5705" spans="4:4" x14ac:dyDescent="0.3">
      <c r="D5705" s="7"/>
    </row>
    <row r="5706" spans="4:4" x14ac:dyDescent="0.3">
      <c r="D5706" s="7"/>
    </row>
    <row r="5707" spans="4:4" x14ac:dyDescent="0.3">
      <c r="D5707" s="7"/>
    </row>
    <row r="5708" spans="4:4" x14ac:dyDescent="0.3">
      <c r="D5708" s="7"/>
    </row>
    <row r="5709" spans="4:4" x14ac:dyDescent="0.3">
      <c r="D5709" s="7"/>
    </row>
    <row r="5710" spans="4:4" x14ac:dyDescent="0.3">
      <c r="D5710" s="7"/>
    </row>
    <row r="5711" spans="4:4" x14ac:dyDescent="0.3">
      <c r="D5711" s="7"/>
    </row>
    <row r="5712" spans="4:4" x14ac:dyDescent="0.3">
      <c r="D5712" s="7"/>
    </row>
    <row r="5713" spans="4:4" x14ac:dyDescent="0.3">
      <c r="D5713" s="7"/>
    </row>
    <row r="5714" spans="4:4" x14ac:dyDescent="0.3">
      <c r="D5714" s="7"/>
    </row>
    <row r="5715" spans="4:4" x14ac:dyDescent="0.3">
      <c r="D5715" s="7"/>
    </row>
    <row r="5716" spans="4:4" x14ac:dyDescent="0.3">
      <c r="D5716" s="7"/>
    </row>
    <row r="5717" spans="4:4" x14ac:dyDescent="0.3">
      <c r="D5717" s="7"/>
    </row>
    <row r="5718" spans="4:4" x14ac:dyDescent="0.3">
      <c r="D5718" s="7"/>
    </row>
    <row r="5719" spans="4:4" x14ac:dyDescent="0.3">
      <c r="D5719" s="7"/>
    </row>
    <row r="5720" spans="4:4" x14ac:dyDescent="0.3">
      <c r="D5720" s="7"/>
    </row>
    <row r="5721" spans="4:4" x14ac:dyDescent="0.3">
      <c r="D5721" s="7"/>
    </row>
    <row r="5722" spans="4:4" x14ac:dyDescent="0.3">
      <c r="D5722" s="7"/>
    </row>
    <row r="5723" spans="4:4" x14ac:dyDescent="0.3">
      <c r="D5723" s="7"/>
    </row>
    <row r="5724" spans="4:4" x14ac:dyDescent="0.3">
      <c r="D5724" s="7"/>
    </row>
    <row r="5725" spans="4:4" x14ac:dyDescent="0.3">
      <c r="D5725" s="7"/>
    </row>
    <row r="5726" spans="4:4" x14ac:dyDescent="0.3">
      <c r="D5726" s="7"/>
    </row>
    <row r="5727" spans="4:4" x14ac:dyDescent="0.3">
      <c r="D5727" s="7"/>
    </row>
    <row r="5728" spans="4:4" x14ac:dyDescent="0.3">
      <c r="D5728" s="7"/>
    </row>
    <row r="5729" spans="4:4" x14ac:dyDescent="0.3">
      <c r="D5729" s="7"/>
    </row>
    <row r="5730" spans="4:4" x14ac:dyDescent="0.3">
      <c r="D5730" s="7"/>
    </row>
    <row r="5731" spans="4:4" x14ac:dyDescent="0.3">
      <c r="D5731" s="7"/>
    </row>
    <row r="5732" spans="4:4" x14ac:dyDescent="0.3">
      <c r="D5732" s="7"/>
    </row>
    <row r="5733" spans="4:4" x14ac:dyDescent="0.3">
      <c r="D5733" s="7"/>
    </row>
    <row r="5734" spans="4:4" x14ac:dyDescent="0.3">
      <c r="D5734" s="7"/>
    </row>
    <row r="5735" spans="4:4" x14ac:dyDescent="0.3">
      <c r="D5735" s="7"/>
    </row>
    <row r="5736" spans="4:4" x14ac:dyDescent="0.3">
      <c r="D5736" s="7"/>
    </row>
    <row r="5737" spans="4:4" x14ac:dyDescent="0.3">
      <c r="D5737" s="7"/>
    </row>
    <row r="5738" spans="4:4" x14ac:dyDescent="0.3">
      <c r="D5738" s="7"/>
    </row>
    <row r="5739" spans="4:4" x14ac:dyDescent="0.3">
      <c r="D5739" s="7"/>
    </row>
    <row r="5740" spans="4:4" x14ac:dyDescent="0.3">
      <c r="D5740" s="7"/>
    </row>
    <row r="5741" spans="4:4" x14ac:dyDescent="0.3">
      <c r="D5741" s="7"/>
    </row>
    <row r="5742" spans="4:4" x14ac:dyDescent="0.3">
      <c r="D5742" s="7"/>
    </row>
    <row r="5743" spans="4:4" x14ac:dyDescent="0.3">
      <c r="D5743" s="7"/>
    </row>
    <row r="5744" spans="4:4" x14ac:dyDescent="0.3">
      <c r="D5744" s="7"/>
    </row>
    <row r="5745" spans="4:4" x14ac:dyDescent="0.3">
      <c r="D5745" s="7"/>
    </row>
    <row r="5746" spans="4:4" x14ac:dyDescent="0.3">
      <c r="D5746" s="7"/>
    </row>
    <row r="5747" spans="4:4" x14ac:dyDescent="0.3">
      <c r="D5747" s="7"/>
    </row>
    <row r="5748" spans="4:4" x14ac:dyDescent="0.3">
      <c r="D5748" s="7"/>
    </row>
    <row r="5749" spans="4:4" x14ac:dyDescent="0.3">
      <c r="D5749" s="7"/>
    </row>
    <row r="5750" spans="4:4" x14ac:dyDescent="0.3">
      <c r="D5750" s="7"/>
    </row>
    <row r="5751" spans="4:4" x14ac:dyDescent="0.3">
      <c r="D5751" s="7"/>
    </row>
    <row r="5752" spans="4:4" x14ac:dyDescent="0.3">
      <c r="D5752" s="7"/>
    </row>
    <row r="5753" spans="4:4" x14ac:dyDescent="0.3">
      <c r="D5753" s="7"/>
    </row>
    <row r="5754" spans="4:4" x14ac:dyDescent="0.3">
      <c r="D5754" s="7"/>
    </row>
    <row r="5755" spans="4:4" x14ac:dyDescent="0.3">
      <c r="D5755" s="7"/>
    </row>
    <row r="5756" spans="4:4" x14ac:dyDescent="0.3">
      <c r="D5756" s="7"/>
    </row>
    <row r="5757" spans="4:4" x14ac:dyDescent="0.3">
      <c r="D5757" s="7"/>
    </row>
    <row r="5758" spans="4:4" x14ac:dyDescent="0.3">
      <c r="D5758" s="7"/>
    </row>
    <row r="5759" spans="4:4" x14ac:dyDescent="0.3">
      <c r="D5759" s="7"/>
    </row>
    <row r="5760" spans="4:4" x14ac:dyDescent="0.3">
      <c r="D5760" s="7"/>
    </row>
    <row r="5761" spans="4:4" x14ac:dyDescent="0.3">
      <c r="D5761" s="7"/>
    </row>
    <row r="5762" spans="4:4" x14ac:dyDescent="0.3">
      <c r="D5762" s="7"/>
    </row>
    <row r="5763" spans="4:4" x14ac:dyDescent="0.3">
      <c r="D5763" s="7"/>
    </row>
    <row r="5764" spans="4:4" x14ac:dyDescent="0.3">
      <c r="D5764" s="7"/>
    </row>
    <row r="5765" spans="4:4" x14ac:dyDescent="0.3">
      <c r="D5765" s="7"/>
    </row>
    <row r="5766" spans="4:4" x14ac:dyDescent="0.3">
      <c r="D5766" s="7"/>
    </row>
    <row r="5767" spans="4:4" x14ac:dyDescent="0.3">
      <c r="D5767" s="7"/>
    </row>
    <row r="5768" spans="4:4" x14ac:dyDescent="0.3">
      <c r="D5768" s="7"/>
    </row>
    <row r="5769" spans="4:4" x14ac:dyDescent="0.3">
      <c r="D5769" s="7"/>
    </row>
    <row r="5770" spans="4:4" x14ac:dyDescent="0.3">
      <c r="D5770" s="7"/>
    </row>
    <row r="5771" spans="4:4" x14ac:dyDescent="0.3">
      <c r="D5771" s="7"/>
    </row>
    <row r="5772" spans="4:4" x14ac:dyDescent="0.3">
      <c r="D5772" s="7"/>
    </row>
    <row r="5773" spans="4:4" x14ac:dyDescent="0.3">
      <c r="D5773" s="7"/>
    </row>
    <row r="5774" spans="4:4" x14ac:dyDescent="0.3">
      <c r="D5774" s="7"/>
    </row>
    <row r="5775" spans="4:4" x14ac:dyDescent="0.3">
      <c r="D5775" s="7"/>
    </row>
    <row r="5776" spans="4:4" x14ac:dyDescent="0.3">
      <c r="D5776" s="7"/>
    </row>
    <row r="5777" spans="4:4" x14ac:dyDescent="0.3">
      <c r="D5777" s="7"/>
    </row>
    <row r="5778" spans="4:4" x14ac:dyDescent="0.3">
      <c r="D5778" s="7"/>
    </row>
    <row r="5779" spans="4:4" x14ac:dyDescent="0.3">
      <c r="D5779" s="7"/>
    </row>
    <row r="5780" spans="4:4" x14ac:dyDescent="0.3">
      <c r="D5780" s="7"/>
    </row>
    <row r="5781" spans="4:4" x14ac:dyDescent="0.3">
      <c r="D5781" s="7"/>
    </row>
    <row r="5782" spans="4:4" x14ac:dyDescent="0.3">
      <c r="D5782" s="7"/>
    </row>
    <row r="5783" spans="4:4" x14ac:dyDescent="0.3">
      <c r="D5783" s="7"/>
    </row>
    <row r="5784" spans="4:4" x14ac:dyDescent="0.3">
      <c r="D5784" s="7"/>
    </row>
    <row r="5785" spans="4:4" x14ac:dyDescent="0.3">
      <c r="D5785" s="7"/>
    </row>
    <row r="5786" spans="4:4" x14ac:dyDescent="0.3">
      <c r="D5786" s="7"/>
    </row>
    <row r="5787" spans="4:4" x14ac:dyDescent="0.3">
      <c r="D5787" s="7"/>
    </row>
    <row r="5788" spans="4:4" x14ac:dyDescent="0.3">
      <c r="D5788" s="7"/>
    </row>
    <row r="5789" spans="4:4" x14ac:dyDescent="0.3">
      <c r="D5789" s="7"/>
    </row>
    <row r="5790" spans="4:4" x14ac:dyDescent="0.3">
      <c r="D5790" s="7"/>
    </row>
    <row r="5791" spans="4:4" x14ac:dyDescent="0.3">
      <c r="D5791" s="7"/>
    </row>
    <row r="5792" spans="4:4" x14ac:dyDescent="0.3">
      <c r="D5792" s="7"/>
    </row>
    <row r="5793" spans="4:4" x14ac:dyDescent="0.3">
      <c r="D5793" s="7"/>
    </row>
    <row r="5794" spans="4:4" x14ac:dyDescent="0.3">
      <c r="D5794" s="7"/>
    </row>
    <row r="5795" spans="4:4" x14ac:dyDescent="0.3">
      <c r="D5795" s="7"/>
    </row>
    <row r="5796" spans="4:4" x14ac:dyDescent="0.3">
      <c r="D5796" s="7"/>
    </row>
    <row r="5797" spans="4:4" x14ac:dyDescent="0.3">
      <c r="D5797" s="7"/>
    </row>
    <row r="5798" spans="4:4" x14ac:dyDescent="0.3">
      <c r="D5798" s="7"/>
    </row>
    <row r="5799" spans="4:4" x14ac:dyDescent="0.3">
      <c r="D5799" s="7"/>
    </row>
    <row r="5800" spans="4:4" x14ac:dyDescent="0.3">
      <c r="D5800" s="7"/>
    </row>
    <row r="5801" spans="4:4" x14ac:dyDescent="0.3">
      <c r="D5801" s="7"/>
    </row>
    <row r="5802" spans="4:4" x14ac:dyDescent="0.3">
      <c r="D5802" s="7"/>
    </row>
    <row r="5803" spans="4:4" x14ac:dyDescent="0.3">
      <c r="D5803" s="7"/>
    </row>
    <row r="5804" spans="4:4" x14ac:dyDescent="0.3">
      <c r="D5804" s="7"/>
    </row>
    <row r="5805" spans="4:4" x14ac:dyDescent="0.3">
      <c r="D5805" s="7"/>
    </row>
    <row r="5806" spans="4:4" x14ac:dyDescent="0.3">
      <c r="D5806" s="7"/>
    </row>
    <row r="5807" spans="4:4" x14ac:dyDescent="0.3">
      <c r="D5807" s="7"/>
    </row>
    <row r="5808" spans="4:4" x14ac:dyDescent="0.3">
      <c r="D5808" s="7"/>
    </row>
    <row r="5809" spans="4:4" x14ac:dyDescent="0.3">
      <c r="D5809" s="7"/>
    </row>
    <row r="5810" spans="4:4" x14ac:dyDescent="0.3">
      <c r="D5810" s="7"/>
    </row>
    <row r="5811" spans="4:4" x14ac:dyDescent="0.3">
      <c r="D5811" s="7"/>
    </row>
    <row r="5812" spans="4:4" x14ac:dyDescent="0.3">
      <c r="D5812" s="7"/>
    </row>
    <row r="5813" spans="4:4" x14ac:dyDescent="0.3">
      <c r="D5813" s="7"/>
    </row>
    <row r="5814" spans="4:4" x14ac:dyDescent="0.3">
      <c r="D5814" s="7"/>
    </row>
    <row r="5815" spans="4:4" x14ac:dyDescent="0.3">
      <c r="D5815" s="7"/>
    </row>
    <row r="5816" spans="4:4" x14ac:dyDescent="0.3">
      <c r="D5816" s="7"/>
    </row>
    <row r="5817" spans="4:4" x14ac:dyDescent="0.3">
      <c r="D5817" s="7"/>
    </row>
    <row r="5818" spans="4:4" x14ac:dyDescent="0.3">
      <c r="D5818" s="7"/>
    </row>
    <row r="5819" spans="4:4" x14ac:dyDescent="0.3">
      <c r="D5819" s="7"/>
    </row>
    <row r="5820" spans="4:4" x14ac:dyDescent="0.3">
      <c r="D5820" s="7"/>
    </row>
    <row r="5821" spans="4:4" x14ac:dyDescent="0.3">
      <c r="D5821" s="7"/>
    </row>
    <row r="5822" spans="4:4" x14ac:dyDescent="0.3">
      <c r="D5822" s="7"/>
    </row>
    <row r="5823" spans="4:4" x14ac:dyDescent="0.3">
      <c r="D5823" s="7"/>
    </row>
    <row r="5824" spans="4:4" x14ac:dyDescent="0.3">
      <c r="D5824" s="7"/>
    </row>
    <row r="5825" spans="4:4" x14ac:dyDescent="0.3">
      <c r="D5825" s="7"/>
    </row>
    <row r="5826" spans="4:4" x14ac:dyDescent="0.3">
      <c r="D5826" s="7"/>
    </row>
    <row r="5827" spans="4:4" x14ac:dyDescent="0.3">
      <c r="D5827" s="7"/>
    </row>
    <row r="5828" spans="4:4" x14ac:dyDescent="0.3">
      <c r="D5828" s="7"/>
    </row>
    <row r="5829" spans="4:4" x14ac:dyDescent="0.3">
      <c r="D5829" s="7"/>
    </row>
    <row r="5830" spans="4:4" x14ac:dyDescent="0.3">
      <c r="D5830" s="7"/>
    </row>
    <row r="5831" spans="4:4" x14ac:dyDescent="0.3">
      <c r="D5831" s="7"/>
    </row>
    <row r="5832" spans="4:4" x14ac:dyDescent="0.3">
      <c r="D5832" s="7"/>
    </row>
    <row r="5833" spans="4:4" x14ac:dyDescent="0.3">
      <c r="D5833" s="7"/>
    </row>
    <row r="5834" spans="4:4" x14ac:dyDescent="0.3">
      <c r="D5834" s="7"/>
    </row>
    <row r="5835" spans="4:4" x14ac:dyDescent="0.3">
      <c r="D5835" s="7"/>
    </row>
    <row r="5836" spans="4:4" x14ac:dyDescent="0.3">
      <c r="D5836" s="7"/>
    </row>
    <row r="5837" spans="4:4" x14ac:dyDescent="0.3">
      <c r="D5837" s="7"/>
    </row>
    <row r="5838" spans="4:4" x14ac:dyDescent="0.3">
      <c r="D5838" s="7"/>
    </row>
    <row r="5839" spans="4:4" x14ac:dyDescent="0.3">
      <c r="D5839" s="7"/>
    </row>
    <row r="5840" spans="4:4" x14ac:dyDescent="0.3">
      <c r="D5840" s="7"/>
    </row>
    <row r="5841" spans="4:4" x14ac:dyDescent="0.3">
      <c r="D5841" s="7"/>
    </row>
    <row r="5842" spans="4:4" x14ac:dyDescent="0.3">
      <c r="D5842" s="7"/>
    </row>
    <row r="5843" spans="4:4" x14ac:dyDescent="0.3">
      <c r="D5843" s="7"/>
    </row>
    <row r="5844" spans="4:4" x14ac:dyDescent="0.3">
      <c r="D5844" s="7"/>
    </row>
    <row r="5845" spans="4:4" x14ac:dyDescent="0.3">
      <c r="D5845" s="7"/>
    </row>
    <row r="5846" spans="4:4" x14ac:dyDescent="0.3">
      <c r="D5846" s="7"/>
    </row>
    <row r="5847" spans="4:4" x14ac:dyDescent="0.3">
      <c r="D5847" s="7"/>
    </row>
    <row r="5848" spans="4:4" x14ac:dyDescent="0.3">
      <c r="D5848" s="7"/>
    </row>
    <row r="5849" spans="4:4" x14ac:dyDescent="0.3">
      <c r="D5849" s="7"/>
    </row>
    <row r="5850" spans="4:4" x14ac:dyDescent="0.3">
      <c r="D5850" s="7"/>
    </row>
    <row r="5851" spans="4:4" x14ac:dyDescent="0.3">
      <c r="D5851" s="7"/>
    </row>
    <row r="5852" spans="4:4" x14ac:dyDescent="0.3">
      <c r="D5852" s="7"/>
    </row>
    <row r="5853" spans="4:4" x14ac:dyDescent="0.3">
      <c r="D5853" s="7"/>
    </row>
    <row r="5854" spans="4:4" x14ac:dyDescent="0.3">
      <c r="D5854" s="7"/>
    </row>
    <row r="5855" spans="4:4" x14ac:dyDescent="0.3">
      <c r="D5855" s="7"/>
    </row>
    <row r="5856" spans="4:4" x14ac:dyDescent="0.3">
      <c r="D5856" s="7"/>
    </row>
    <row r="5857" spans="4:4" x14ac:dyDescent="0.3">
      <c r="D5857" s="7"/>
    </row>
    <row r="5858" spans="4:4" x14ac:dyDescent="0.3">
      <c r="D5858" s="7"/>
    </row>
    <row r="5859" spans="4:4" x14ac:dyDescent="0.3">
      <c r="D5859" s="7"/>
    </row>
    <row r="5860" spans="4:4" x14ac:dyDescent="0.3">
      <c r="D5860" s="7"/>
    </row>
    <row r="5861" spans="4:4" x14ac:dyDescent="0.3">
      <c r="D5861" s="7"/>
    </row>
    <row r="5862" spans="4:4" x14ac:dyDescent="0.3">
      <c r="D5862" s="7"/>
    </row>
    <row r="5863" spans="4:4" x14ac:dyDescent="0.3">
      <c r="D5863" s="7"/>
    </row>
    <row r="5864" spans="4:4" x14ac:dyDescent="0.3">
      <c r="D5864" s="7"/>
    </row>
    <row r="5865" spans="4:4" x14ac:dyDescent="0.3">
      <c r="D5865" s="7"/>
    </row>
    <row r="5866" spans="4:4" x14ac:dyDescent="0.3">
      <c r="D5866" s="7"/>
    </row>
    <row r="5867" spans="4:4" x14ac:dyDescent="0.3">
      <c r="D5867" s="7"/>
    </row>
    <row r="5868" spans="4:4" x14ac:dyDescent="0.3">
      <c r="D5868" s="7"/>
    </row>
    <row r="5869" spans="4:4" x14ac:dyDescent="0.3">
      <c r="D5869" s="7"/>
    </row>
    <row r="5870" spans="4:4" x14ac:dyDescent="0.3">
      <c r="D5870" s="7"/>
    </row>
    <row r="5871" spans="4:4" x14ac:dyDescent="0.3">
      <c r="D5871" s="7"/>
    </row>
    <row r="5872" spans="4:4" x14ac:dyDescent="0.3">
      <c r="D5872" s="7"/>
    </row>
    <row r="5873" spans="4:4" x14ac:dyDescent="0.3">
      <c r="D5873" s="7"/>
    </row>
    <row r="5874" spans="4:4" x14ac:dyDescent="0.3">
      <c r="D5874" s="7"/>
    </row>
    <row r="5875" spans="4:4" x14ac:dyDescent="0.3">
      <c r="D5875" s="7"/>
    </row>
    <row r="5876" spans="4:4" x14ac:dyDescent="0.3">
      <c r="D5876" s="7"/>
    </row>
    <row r="5877" spans="4:4" x14ac:dyDescent="0.3">
      <c r="D5877" s="7"/>
    </row>
    <row r="5878" spans="4:4" x14ac:dyDescent="0.3">
      <c r="D5878" s="7"/>
    </row>
    <row r="5879" spans="4:4" x14ac:dyDescent="0.3">
      <c r="D5879" s="7"/>
    </row>
    <row r="5880" spans="4:4" x14ac:dyDescent="0.3">
      <c r="D5880" s="7"/>
    </row>
    <row r="5881" spans="4:4" x14ac:dyDescent="0.3">
      <c r="D5881" s="7"/>
    </row>
    <row r="5882" spans="4:4" x14ac:dyDescent="0.3">
      <c r="D5882" s="7"/>
    </row>
    <row r="5883" spans="4:4" x14ac:dyDescent="0.3">
      <c r="D5883" s="7"/>
    </row>
    <row r="5884" spans="4:4" x14ac:dyDescent="0.3">
      <c r="D5884" s="7"/>
    </row>
    <row r="5885" spans="4:4" x14ac:dyDescent="0.3">
      <c r="D5885" s="7"/>
    </row>
    <row r="5886" spans="4:4" x14ac:dyDescent="0.3">
      <c r="D5886" s="7"/>
    </row>
    <row r="5887" spans="4:4" x14ac:dyDescent="0.3">
      <c r="D5887" s="7"/>
    </row>
    <row r="5888" spans="4:4" x14ac:dyDescent="0.3">
      <c r="D5888" s="7"/>
    </row>
    <row r="5889" spans="4:4" x14ac:dyDescent="0.3">
      <c r="D5889" s="7"/>
    </row>
    <row r="5890" spans="4:4" x14ac:dyDescent="0.3">
      <c r="D5890" s="7"/>
    </row>
    <row r="5891" spans="4:4" x14ac:dyDescent="0.3">
      <c r="D5891" s="7"/>
    </row>
    <row r="5892" spans="4:4" x14ac:dyDescent="0.3">
      <c r="D5892" s="7"/>
    </row>
    <row r="5893" spans="4:4" x14ac:dyDescent="0.3">
      <c r="D5893" s="7"/>
    </row>
    <row r="5894" spans="4:4" x14ac:dyDescent="0.3">
      <c r="D5894" s="7"/>
    </row>
    <row r="5895" spans="4:4" x14ac:dyDescent="0.3">
      <c r="D5895" s="7"/>
    </row>
    <row r="5896" spans="4:4" x14ac:dyDescent="0.3">
      <c r="D5896" s="7"/>
    </row>
    <row r="5897" spans="4:4" x14ac:dyDescent="0.3">
      <c r="D5897" s="7"/>
    </row>
    <row r="5898" spans="4:4" x14ac:dyDescent="0.3">
      <c r="D5898" s="7"/>
    </row>
    <row r="5899" spans="4:4" x14ac:dyDescent="0.3">
      <c r="D5899" s="7"/>
    </row>
    <row r="5900" spans="4:4" x14ac:dyDescent="0.3">
      <c r="D5900" s="7"/>
    </row>
    <row r="5901" spans="4:4" x14ac:dyDescent="0.3">
      <c r="D5901" s="7"/>
    </row>
    <row r="5902" spans="4:4" x14ac:dyDescent="0.3">
      <c r="D5902" s="7"/>
    </row>
    <row r="5903" spans="4:4" x14ac:dyDescent="0.3">
      <c r="D5903" s="7"/>
    </row>
    <row r="5904" spans="4:4" x14ac:dyDescent="0.3">
      <c r="D5904" s="7"/>
    </row>
    <row r="5905" spans="4:4" x14ac:dyDescent="0.3">
      <c r="D5905" s="7"/>
    </row>
    <row r="5906" spans="4:4" x14ac:dyDescent="0.3">
      <c r="D5906" s="7"/>
    </row>
    <row r="5907" spans="4:4" x14ac:dyDescent="0.3">
      <c r="D5907" s="7"/>
    </row>
    <row r="5908" spans="4:4" x14ac:dyDescent="0.3">
      <c r="D5908" s="7"/>
    </row>
    <row r="5909" spans="4:4" x14ac:dyDescent="0.3">
      <c r="D5909" s="7"/>
    </row>
    <row r="5910" spans="4:4" x14ac:dyDescent="0.3">
      <c r="D5910" s="7"/>
    </row>
    <row r="5911" spans="4:4" x14ac:dyDescent="0.3">
      <c r="D5911" s="7"/>
    </row>
    <row r="5912" spans="4:4" x14ac:dyDescent="0.3">
      <c r="D5912" s="7"/>
    </row>
    <row r="5913" spans="4:4" x14ac:dyDescent="0.3">
      <c r="D5913" s="7"/>
    </row>
    <row r="5914" spans="4:4" x14ac:dyDescent="0.3">
      <c r="D5914" s="7"/>
    </row>
    <row r="5915" spans="4:4" x14ac:dyDescent="0.3">
      <c r="D5915" s="7"/>
    </row>
    <row r="5916" spans="4:4" x14ac:dyDescent="0.3">
      <c r="D5916" s="7"/>
    </row>
    <row r="5917" spans="4:4" x14ac:dyDescent="0.3">
      <c r="D5917" s="7"/>
    </row>
    <row r="5918" spans="4:4" x14ac:dyDescent="0.3">
      <c r="D5918" s="7"/>
    </row>
    <row r="5919" spans="4:4" x14ac:dyDescent="0.3">
      <c r="D5919" s="7"/>
    </row>
    <row r="5920" spans="4:4" x14ac:dyDescent="0.3">
      <c r="D5920" s="7"/>
    </row>
    <row r="5921" spans="4:4" x14ac:dyDescent="0.3">
      <c r="D5921" s="7"/>
    </row>
    <row r="5922" spans="4:4" x14ac:dyDescent="0.3">
      <c r="D5922" s="7"/>
    </row>
    <row r="5923" spans="4:4" x14ac:dyDescent="0.3">
      <c r="D5923" s="7"/>
    </row>
    <row r="5924" spans="4:4" x14ac:dyDescent="0.3">
      <c r="D5924" s="7"/>
    </row>
    <row r="5925" spans="4:4" x14ac:dyDescent="0.3">
      <c r="D5925" s="7"/>
    </row>
    <row r="5926" spans="4:4" x14ac:dyDescent="0.3">
      <c r="D5926" s="7"/>
    </row>
    <row r="5927" spans="4:4" x14ac:dyDescent="0.3">
      <c r="D5927" s="7"/>
    </row>
    <row r="5928" spans="4:4" x14ac:dyDescent="0.3">
      <c r="D5928" s="7"/>
    </row>
    <row r="5929" spans="4:4" x14ac:dyDescent="0.3">
      <c r="D5929" s="7"/>
    </row>
    <row r="5930" spans="4:4" x14ac:dyDescent="0.3">
      <c r="D5930" s="7"/>
    </row>
    <row r="5931" spans="4:4" x14ac:dyDescent="0.3">
      <c r="D5931" s="7"/>
    </row>
    <row r="5932" spans="4:4" x14ac:dyDescent="0.3">
      <c r="D5932" s="7"/>
    </row>
    <row r="5933" spans="4:4" x14ac:dyDescent="0.3">
      <c r="D5933" s="7"/>
    </row>
    <row r="5934" spans="4:4" x14ac:dyDescent="0.3">
      <c r="D5934" s="7"/>
    </row>
    <row r="5935" spans="4:4" x14ac:dyDescent="0.3">
      <c r="D5935" s="7"/>
    </row>
    <row r="5936" spans="4:4" x14ac:dyDescent="0.3">
      <c r="D5936" s="7"/>
    </row>
    <row r="5937" spans="4:4" x14ac:dyDescent="0.3">
      <c r="D5937" s="7"/>
    </row>
    <row r="5938" spans="4:4" x14ac:dyDescent="0.3">
      <c r="D5938" s="7"/>
    </row>
    <row r="5939" spans="4:4" x14ac:dyDescent="0.3">
      <c r="D5939" s="7"/>
    </row>
    <row r="5940" spans="4:4" x14ac:dyDescent="0.3">
      <c r="D5940" s="7"/>
    </row>
    <row r="5941" spans="4:4" x14ac:dyDescent="0.3">
      <c r="D5941" s="7"/>
    </row>
    <row r="5942" spans="4:4" x14ac:dyDescent="0.3">
      <c r="D5942" s="7"/>
    </row>
    <row r="5943" spans="4:4" x14ac:dyDescent="0.3">
      <c r="D5943" s="7"/>
    </row>
    <row r="5944" spans="4:4" x14ac:dyDescent="0.3">
      <c r="D5944" s="7"/>
    </row>
    <row r="5945" spans="4:4" x14ac:dyDescent="0.3">
      <c r="D5945" s="7"/>
    </row>
    <row r="5946" spans="4:4" x14ac:dyDescent="0.3">
      <c r="D5946" s="7"/>
    </row>
    <row r="5947" spans="4:4" x14ac:dyDescent="0.3">
      <c r="D5947" s="7"/>
    </row>
    <row r="5948" spans="4:4" x14ac:dyDescent="0.3">
      <c r="D5948" s="7"/>
    </row>
    <row r="5949" spans="4:4" x14ac:dyDescent="0.3">
      <c r="D5949" s="7"/>
    </row>
    <row r="5950" spans="4:4" x14ac:dyDescent="0.3">
      <c r="D5950" s="7"/>
    </row>
    <row r="5951" spans="4:4" x14ac:dyDescent="0.3">
      <c r="D5951" s="7"/>
    </row>
    <row r="5952" spans="4:4" x14ac:dyDescent="0.3">
      <c r="D5952" s="7"/>
    </row>
    <row r="5953" spans="4:4" x14ac:dyDescent="0.3">
      <c r="D5953" s="7"/>
    </row>
    <row r="5954" spans="4:4" x14ac:dyDescent="0.3">
      <c r="D5954" s="7"/>
    </row>
    <row r="5955" spans="4:4" x14ac:dyDescent="0.3">
      <c r="D5955" s="7"/>
    </row>
    <row r="5956" spans="4:4" x14ac:dyDescent="0.3">
      <c r="D5956" s="7"/>
    </row>
    <row r="5957" spans="4:4" x14ac:dyDescent="0.3">
      <c r="D5957" s="7"/>
    </row>
    <row r="5958" spans="4:4" x14ac:dyDescent="0.3">
      <c r="D5958" s="7"/>
    </row>
    <row r="5959" spans="4:4" x14ac:dyDescent="0.3">
      <c r="D5959" s="7"/>
    </row>
    <row r="5960" spans="4:4" x14ac:dyDescent="0.3">
      <c r="D5960" s="7"/>
    </row>
    <row r="5961" spans="4:4" x14ac:dyDescent="0.3">
      <c r="D5961" s="7"/>
    </row>
    <row r="5962" spans="4:4" x14ac:dyDescent="0.3">
      <c r="D5962" s="7"/>
    </row>
    <row r="5963" spans="4:4" x14ac:dyDescent="0.3">
      <c r="D5963" s="7"/>
    </row>
    <row r="5964" spans="4:4" x14ac:dyDescent="0.3">
      <c r="D5964" s="7"/>
    </row>
    <row r="5965" spans="4:4" x14ac:dyDescent="0.3">
      <c r="D5965" s="7"/>
    </row>
    <row r="5966" spans="4:4" x14ac:dyDescent="0.3">
      <c r="D5966" s="7"/>
    </row>
    <row r="5967" spans="4:4" x14ac:dyDescent="0.3">
      <c r="D5967" s="7"/>
    </row>
    <row r="5968" spans="4:4" x14ac:dyDescent="0.3">
      <c r="D5968" s="7"/>
    </row>
    <row r="5969" spans="4:4" x14ac:dyDescent="0.3">
      <c r="D5969" s="7"/>
    </row>
    <row r="5970" spans="4:4" x14ac:dyDescent="0.3">
      <c r="D5970" s="7"/>
    </row>
    <row r="5971" spans="4:4" x14ac:dyDescent="0.3">
      <c r="D5971" s="7"/>
    </row>
    <row r="5972" spans="4:4" x14ac:dyDescent="0.3">
      <c r="D5972" s="7"/>
    </row>
    <row r="5973" spans="4:4" x14ac:dyDescent="0.3">
      <c r="D5973" s="7"/>
    </row>
    <row r="5974" spans="4:4" x14ac:dyDescent="0.3">
      <c r="D5974" s="7"/>
    </row>
    <row r="5975" spans="4:4" x14ac:dyDescent="0.3">
      <c r="D5975" s="7"/>
    </row>
    <row r="5976" spans="4:4" x14ac:dyDescent="0.3">
      <c r="D5976" s="7"/>
    </row>
    <row r="5977" spans="4:4" x14ac:dyDescent="0.3">
      <c r="D5977" s="7"/>
    </row>
    <row r="5978" spans="4:4" x14ac:dyDescent="0.3">
      <c r="D5978" s="7"/>
    </row>
    <row r="5979" spans="4:4" x14ac:dyDescent="0.3">
      <c r="D5979" s="7"/>
    </row>
    <row r="5980" spans="4:4" x14ac:dyDescent="0.3">
      <c r="D5980" s="7"/>
    </row>
    <row r="5981" spans="4:4" x14ac:dyDescent="0.3">
      <c r="D5981" s="7"/>
    </row>
    <row r="5982" spans="4:4" x14ac:dyDescent="0.3">
      <c r="D5982" s="7"/>
    </row>
    <row r="5983" spans="4:4" x14ac:dyDescent="0.3">
      <c r="D5983" s="7"/>
    </row>
    <row r="5984" spans="4:4" x14ac:dyDescent="0.3">
      <c r="D5984" s="7"/>
    </row>
    <row r="5985" spans="4:4" x14ac:dyDescent="0.3">
      <c r="D5985" s="7"/>
    </row>
    <row r="5986" spans="4:4" x14ac:dyDescent="0.3">
      <c r="D5986" s="7"/>
    </row>
    <row r="5987" spans="4:4" x14ac:dyDescent="0.3">
      <c r="D5987" s="7"/>
    </row>
    <row r="5988" spans="4:4" x14ac:dyDescent="0.3">
      <c r="D5988" s="7"/>
    </row>
    <row r="5989" spans="4:4" x14ac:dyDescent="0.3">
      <c r="D5989" s="7"/>
    </row>
    <row r="5990" spans="4:4" x14ac:dyDescent="0.3">
      <c r="D5990" s="7"/>
    </row>
    <row r="5991" spans="4:4" x14ac:dyDescent="0.3">
      <c r="D5991" s="7"/>
    </row>
    <row r="5992" spans="4:4" x14ac:dyDescent="0.3">
      <c r="D5992" s="7"/>
    </row>
    <row r="5993" spans="4:4" x14ac:dyDescent="0.3">
      <c r="D5993" s="7"/>
    </row>
    <row r="5994" spans="4:4" x14ac:dyDescent="0.3">
      <c r="D5994" s="7"/>
    </row>
    <row r="5995" spans="4:4" x14ac:dyDescent="0.3">
      <c r="D5995" s="7"/>
    </row>
    <row r="5996" spans="4:4" x14ac:dyDescent="0.3">
      <c r="D5996" s="7"/>
    </row>
    <row r="5997" spans="4:4" x14ac:dyDescent="0.3">
      <c r="D5997" s="7"/>
    </row>
    <row r="5998" spans="4:4" x14ac:dyDescent="0.3">
      <c r="D5998" s="7"/>
    </row>
    <row r="5999" spans="4:4" x14ac:dyDescent="0.3">
      <c r="D5999" s="7"/>
    </row>
    <row r="6000" spans="4:4" x14ac:dyDescent="0.3">
      <c r="D6000" s="7"/>
    </row>
    <row r="6001" spans="4:4" x14ac:dyDescent="0.3">
      <c r="D6001" s="7"/>
    </row>
    <row r="6002" spans="4:4" x14ac:dyDescent="0.3">
      <c r="D6002" s="7"/>
    </row>
    <row r="6003" spans="4:4" x14ac:dyDescent="0.3">
      <c r="D6003" s="7"/>
    </row>
    <row r="6004" spans="4:4" x14ac:dyDescent="0.3">
      <c r="D6004" s="7"/>
    </row>
    <row r="6005" spans="4:4" x14ac:dyDescent="0.3">
      <c r="D6005" s="7"/>
    </row>
    <row r="6006" spans="4:4" x14ac:dyDescent="0.3">
      <c r="D6006" s="7"/>
    </row>
    <row r="6007" spans="4:4" x14ac:dyDescent="0.3">
      <c r="D6007" s="7"/>
    </row>
    <row r="6008" spans="4:4" x14ac:dyDescent="0.3">
      <c r="D6008" s="7"/>
    </row>
    <row r="6009" spans="4:4" x14ac:dyDescent="0.3">
      <c r="D6009" s="7"/>
    </row>
    <row r="6010" spans="4:4" x14ac:dyDescent="0.3">
      <c r="D6010" s="7"/>
    </row>
    <row r="6011" spans="4:4" x14ac:dyDescent="0.3">
      <c r="D6011" s="7"/>
    </row>
    <row r="6012" spans="4:4" x14ac:dyDescent="0.3">
      <c r="D6012" s="7"/>
    </row>
    <row r="6013" spans="4:4" x14ac:dyDescent="0.3">
      <c r="D6013" s="7"/>
    </row>
    <row r="6014" spans="4:4" x14ac:dyDescent="0.3">
      <c r="D6014" s="7"/>
    </row>
    <row r="6015" spans="4:4" x14ac:dyDescent="0.3">
      <c r="D6015" s="7"/>
    </row>
    <row r="6016" spans="4:4" x14ac:dyDescent="0.3">
      <c r="D6016" s="7"/>
    </row>
    <row r="6017" spans="4:4" x14ac:dyDescent="0.3">
      <c r="D6017" s="7"/>
    </row>
    <row r="6018" spans="4:4" x14ac:dyDescent="0.3">
      <c r="D6018" s="7"/>
    </row>
    <row r="6019" spans="4:4" x14ac:dyDescent="0.3">
      <c r="D6019" s="7"/>
    </row>
    <row r="6020" spans="4:4" x14ac:dyDescent="0.3">
      <c r="D6020" s="7"/>
    </row>
    <row r="6021" spans="4:4" x14ac:dyDescent="0.3">
      <c r="D6021" s="7"/>
    </row>
    <row r="6022" spans="4:4" x14ac:dyDescent="0.3">
      <c r="D6022" s="7"/>
    </row>
    <row r="6023" spans="4:4" x14ac:dyDescent="0.3">
      <c r="D6023" s="7"/>
    </row>
    <row r="6024" spans="4:4" x14ac:dyDescent="0.3">
      <c r="D6024" s="7"/>
    </row>
    <row r="6025" spans="4:4" x14ac:dyDescent="0.3">
      <c r="D6025" s="7"/>
    </row>
    <row r="6026" spans="4:4" x14ac:dyDescent="0.3">
      <c r="D6026" s="7"/>
    </row>
    <row r="6027" spans="4:4" x14ac:dyDescent="0.3">
      <c r="D6027" s="7"/>
    </row>
    <row r="6028" spans="4:4" x14ac:dyDescent="0.3">
      <c r="D6028" s="7"/>
    </row>
    <row r="6029" spans="4:4" x14ac:dyDescent="0.3">
      <c r="D6029" s="7"/>
    </row>
    <row r="6030" spans="4:4" x14ac:dyDescent="0.3">
      <c r="D6030" s="7"/>
    </row>
    <row r="6031" spans="4:4" x14ac:dyDescent="0.3">
      <c r="D6031" s="7"/>
    </row>
    <row r="6032" spans="4:4" x14ac:dyDescent="0.3">
      <c r="D6032" s="7"/>
    </row>
    <row r="6033" spans="4:4" x14ac:dyDescent="0.3">
      <c r="D6033" s="7"/>
    </row>
    <row r="6034" spans="4:4" x14ac:dyDescent="0.3">
      <c r="D6034" s="7"/>
    </row>
    <row r="6035" spans="4:4" x14ac:dyDescent="0.3">
      <c r="D6035" s="7"/>
    </row>
    <row r="6036" spans="4:4" x14ac:dyDescent="0.3">
      <c r="D6036" s="7"/>
    </row>
    <row r="6037" spans="4:4" x14ac:dyDescent="0.3">
      <c r="D6037" s="7"/>
    </row>
    <row r="6038" spans="4:4" x14ac:dyDescent="0.3">
      <c r="D6038" s="7"/>
    </row>
    <row r="6039" spans="4:4" x14ac:dyDescent="0.3">
      <c r="D6039" s="7"/>
    </row>
    <row r="6040" spans="4:4" x14ac:dyDescent="0.3">
      <c r="D6040" s="7"/>
    </row>
    <row r="6041" spans="4:4" x14ac:dyDescent="0.3">
      <c r="D6041" s="7"/>
    </row>
    <row r="6042" spans="4:4" x14ac:dyDescent="0.3">
      <c r="D6042" s="7"/>
    </row>
    <row r="6043" spans="4:4" x14ac:dyDescent="0.3">
      <c r="D6043" s="7"/>
    </row>
    <row r="6044" spans="4:4" x14ac:dyDescent="0.3">
      <c r="D6044" s="7"/>
    </row>
    <row r="6045" spans="4:4" x14ac:dyDescent="0.3">
      <c r="D6045" s="7"/>
    </row>
    <row r="6046" spans="4:4" x14ac:dyDescent="0.3">
      <c r="D6046" s="7"/>
    </row>
    <row r="6047" spans="4:4" x14ac:dyDescent="0.3">
      <c r="D6047" s="7"/>
    </row>
    <row r="6048" spans="4:4" x14ac:dyDescent="0.3">
      <c r="D6048" s="7"/>
    </row>
    <row r="6049" spans="4:4" x14ac:dyDescent="0.3">
      <c r="D6049" s="7"/>
    </row>
    <row r="6050" spans="4:4" x14ac:dyDescent="0.3">
      <c r="D6050" s="7"/>
    </row>
    <row r="6051" spans="4:4" x14ac:dyDescent="0.3">
      <c r="D6051" s="7"/>
    </row>
    <row r="6052" spans="4:4" x14ac:dyDescent="0.3">
      <c r="D6052" s="7"/>
    </row>
    <row r="6053" spans="4:4" x14ac:dyDescent="0.3">
      <c r="D6053" s="7"/>
    </row>
    <row r="6054" spans="4:4" x14ac:dyDescent="0.3">
      <c r="D6054" s="7"/>
    </row>
    <row r="6055" spans="4:4" x14ac:dyDescent="0.3">
      <c r="D6055" s="7"/>
    </row>
    <row r="6056" spans="4:4" x14ac:dyDescent="0.3">
      <c r="D6056" s="7"/>
    </row>
    <row r="6057" spans="4:4" x14ac:dyDescent="0.3">
      <c r="D6057" s="7"/>
    </row>
    <row r="6058" spans="4:4" x14ac:dyDescent="0.3">
      <c r="D6058" s="7"/>
    </row>
    <row r="6059" spans="4:4" x14ac:dyDescent="0.3">
      <c r="D6059" s="7"/>
    </row>
    <row r="6060" spans="4:4" x14ac:dyDescent="0.3">
      <c r="D6060" s="7"/>
    </row>
    <row r="6061" spans="4:4" x14ac:dyDescent="0.3">
      <c r="D6061" s="7"/>
    </row>
    <row r="6062" spans="4:4" x14ac:dyDescent="0.3">
      <c r="D6062" s="7"/>
    </row>
    <row r="6063" spans="4:4" x14ac:dyDescent="0.3">
      <c r="D6063" s="7"/>
    </row>
    <row r="6064" spans="4:4" x14ac:dyDescent="0.3">
      <c r="D6064" s="7"/>
    </row>
    <row r="6065" spans="4:4" x14ac:dyDescent="0.3">
      <c r="D6065" s="7"/>
    </row>
    <row r="6066" spans="4:4" x14ac:dyDescent="0.3">
      <c r="D6066" s="7"/>
    </row>
    <row r="6067" spans="4:4" x14ac:dyDescent="0.3">
      <c r="D6067" s="7"/>
    </row>
    <row r="6068" spans="4:4" x14ac:dyDescent="0.3">
      <c r="D6068" s="7"/>
    </row>
    <row r="6069" spans="4:4" x14ac:dyDescent="0.3">
      <c r="D6069" s="7"/>
    </row>
    <row r="6070" spans="4:4" x14ac:dyDescent="0.3">
      <c r="D6070" s="7"/>
    </row>
    <row r="6071" spans="4:4" x14ac:dyDescent="0.3">
      <c r="D6071" s="7"/>
    </row>
    <row r="6072" spans="4:4" x14ac:dyDescent="0.3">
      <c r="D6072" s="7"/>
    </row>
    <row r="6073" spans="4:4" x14ac:dyDescent="0.3">
      <c r="D6073" s="7"/>
    </row>
    <row r="6074" spans="4:4" x14ac:dyDescent="0.3">
      <c r="D6074" s="7"/>
    </row>
    <row r="6075" spans="4:4" x14ac:dyDescent="0.3">
      <c r="D6075" s="7"/>
    </row>
    <row r="6076" spans="4:4" x14ac:dyDescent="0.3">
      <c r="D6076" s="7"/>
    </row>
    <row r="6077" spans="4:4" x14ac:dyDescent="0.3">
      <c r="D6077" s="7"/>
    </row>
    <row r="6078" spans="4:4" x14ac:dyDescent="0.3">
      <c r="D6078" s="7"/>
    </row>
    <row r="6079" spans="4:4" x14ac:dyDescent="0.3">
      <c r="D6079" s="7"/>
    </row>
    <row r="6080" spans="4:4" x14ac:dyDescent="0.3">
      <c r="D6080" s="7"/>
    </row>
    <row r="6081" spans="4:4" x14ac:dyDescent="0.3">
      <c r="D6081" s="7"/>
    </row>
    <row r="6082" spans="4:4" x14ac:dyDescent="0.3">
      <c r="D6082" s="7"/>
    </row>
    <row r="6083" spans="4:4" x14ac:dyDescent="0.3">
      <c r="D6083" s="7"/>
    </row>
    <row r="6084" spans="4:4" x14ac:dyDescent="0.3">
      <c r="D6084" s="7"/>
    </row>
    <row r="6085" spans="4:4" x14ac:dyDescent="0.3">
      <c r="D6085" s="7"/>
    </row>
    <row r="6086" spans="4:4" x14ac:dyDescent="0.3">
      <c r="D6086" s="7"/>
    </row>
    <row r="6087" spans="4:4" x14ac:dyDescent="0.3">
      <c r="D6087" s="7"/>
    </row>
    <row r="6088" spans="4:4" x14ac:dyDescent="0.3">
      <c r="D6088" s="7"/>
    </row>
    <row r="6089" spans="4:4" x14ac:dyDescent="0.3">
      <c r="D6089" s="7"/>
    </row>
    <row r="6090" spans="4:4" x14ac:dyDescent="0.3">
      <c r="D6090" s="7"/>
    </row>
    <row r="6091" spans="4:4" x14ac:dyDescent="0.3">
      <c r="D6091" s="7"/>
    </row>
    <row r="6092" spans="4:4" x14ac:dyDescent="0.3">
      <c r="D6092" s="7"/>
    </row>
    <row r="6093" spans="4:4" x14ac:dyDescent="0.3">
      <c r="D6093" s="7"/>
    </row>
    <row r="6094" spans="4:4" x14ac:dyDescent="0.3">
      <c r="D6094" s="7"/>
    </row>
    <row r="6095" spans="4:4" x14ac:dyDescent="0.3">
      <c r="D6095" s="7"/>
    </row>
    <row r="6096" spans="4:4" x14ac:dyDescent="0.3">
      <c r="D6096" s="7"/>
    </row>
    <row r="6097" spans="4:4" x14ac:dyDescent="0.3">
      <c r="D6097" s="7"/>
    </row>
    <row r="6098" spans="4:4" x14ac:dyDescent="0.3">
      <c r="D6098" s="7"/>
    </row>
    <row r="6099" spans="4:4" x14ac:dyDescent="0.3">
      <c r="D6099" s="7"/>
    </row>
    <row r="6100" spans="4:4" x14ac:dyDescent="0.3">
      <c r="D6100" s="7"/>
    </row>
    <row r="6101" spans="4:4" x14ac:dyDescent="0.3">
      <c r="D6101" s="7"/>
    </row>
    <row r="6102" spans="4:4" x14ac:dyDescent="0.3">
      <c r="D6102" s="7"/>
    </row>
    <row r="6103" spans="4:4" x14ac:dyDescent="0.3">
      <c r="D6103" s="7"/>
    </row>
    <row r="6104" spans="4:4" x14ac:dyDescent="0.3">
      <c r="D6104" s="7"/>
    </row>
    <row r="6105" spans="4:4" x14ac:dyDescent="0.3">
      <c r="D6105" s="7"/>
    </row>
    <row r="6106" spans="4:4" x14ac:dyDescent="0.3">
      <c r="D6106" s="7"/>
    </row>
    <row r="6107" spans="4:4" x14ac:dyDescent="0.3">
      <c r="D6107" s="7"/>
    </row>
    <row r="6108" spans="4:4" x14ac:dyDescent="0.3">
      <c r="D6108" s="7"/>
    </row>
    <row r="6109" spans="4:4" x14ac:dyDescent="0.3">
      <c r="D6109" s="7"/>
    </row>
    <row r="6110" spans="4:4" x14ac:dyDescent="0.3">
      <c r="D6110" s="7"/>
    </row>
    <row r="6111" spans="4:4" x14ac:dyDescent="0.3">
      <c r="D6111" s="7"/>
    </row>
    <row r="6112" spans="4:4" x14ac:dyDescent="0.3">
      <c r="D6112" s="7"/>
    </row>
    <row r="6113" spans="4:4" x14ac:dyDescent="0.3">
      <c r="D6113" s="7"/>
    </row>
    <row r="6114" spans="4:4" x14ac:dyDescent="0.3">
      <c r="D6114" s="7"/>
    </row>
    <row r="6115" spans="4:4" x14ac:dyDescent="0.3">
      <c r="D6115" s="7"/>
    </row>
    <row r="6116" spans="4:4" x14ac:dyDescent="0.3">
      <c r="D6116" s="7"/>
    </row>
    <row r="6117" spans="4:4" x14ac:dyDescent="0.3">
      <c r="D6117" s="7"/>
    </row>
    <row r="6118" spans="4:4" x14ac:dyDescent="0.3">
      <c r="D6118" s="7"/>
    </row>
    <row r="6119" spans="4:4" x14ac:dyDescent="0.3">
      <c r="D6119" s="7"/>
    </row>
    <row r="6120" spans="4:4" x14ac:dyDescent="0.3">
      <c r="D6120" s="7"/>
    </row>
    <row r="6121" spans="4:4" x14ac:dyDescent="0.3">
      <c r="D6121" s="7"/>
    </row>
    <row r="6122" spans="4:4" x14ac:dyDescent="0.3">
      <c r="D6122" s="7"/>
    </row>
    <row r="6123" spans="4:4" x14ac:dyDescent="0.3">
      <c r="D6123" s="7"/>
    </row>
    <row r="6124" spans="4:4" x14ac:dyDescent="0.3">
      <c r="D6124" s="7"/>
    </row>
    <row r="6125" spans="4:4" x14ac:dyDescent="0.3">
      <c r="D6125" s="7"/>
    </row>
    <row r="6126" spans="4:4" x14ac:dyDescent="0.3">
      <c r="D6126" s="7"/>
    </row>
    <row r="6127" spans="4:4" x14ac:dyDescent="0.3">
      <c r="D6127" s="7"/>
    </row>
    <row r="6128" spans="4:4" x14ac:dyDescent="0.3">
      <c r="D6128" s="7"/>
    </row>
    <row r="6129" spans="4:4" x14ac:dyDescent="0.3">
      <c r="D6129" s="7"/>
    </row>
    <row r="6130" spans="4:4" x14ac:dyDescent="0.3">
      <c r="D6130" s="7"/>
    </row>
    <row r="6131" spans="4:4" x14ac:dyDescent="0.3">
      <c r="D6131" s="7"/>
    </row>
    <row r="6132" spans="4:4" x14ac:dyDescent="0.3">
      <c r="D6132" s="7"/>
    </row>
    <row r="6133" spans="4:4" x14ac:dyDescent="0.3">
      <c r="D6133" s="7"/>
    </row>
    <row r="6134" spans="4:4" x14ac:dyDescent="0.3">
      <c r="D6134" s="7"/>
    </row>
    <row r="6135" spans="4:4" x14ac:dyDescent="0.3">
      <c r="D6135" s="7"/>
    </row>
    <row r="6136" spans="4:4" x14ac:dyDescent="0.3">
      <c r="D6136" s="7"/>
    </row>
    <row r="6137" spans="4:4" x14ac:dyDescent="0.3">
      <c r="D6137" s="7"/>
    </row>
    <row r="6138" spans="4:4" x14ac:dyDescent="0.3">
      <c r="D6138" s="7"/>
    </row>
    <row r="6139" spans="4:4" x14ac:dyDescent="0.3">
      <c r="D6139" s="7"/>
    </row>
    <row r="6140" spans="4:4" x14ac:dyDescent="0.3">
      <c r="D6140" s="7"/>
    </row>
    <row r="6141" spans="4:4" x14ac:dyDescent="0.3">
      <c r="D6141" s="7"/>
    </row>
    <row r="6142" spans="4:4" x14ac:dyDescent="0.3">
      <c r="D6142" s="7"/>
    </row>
    <row r="6143" spans="4:4" x14ac:dyDescent="0.3">
      <c r="D6143" s="7"/>
    </row>
    <row r="6144" spans="4:4" x14ac:dyDescent="0.3">
      <c r="D6144" s="7"/>
    </row>
    <row r="6145" spans="4:4" x14ac:dyDescent="0.3">
      <c r="D6145" s="7"/>
    </row>
    <row r="6146" spans="4:4" x14ac:dyDescent="0.3">
      <c r="D6146" s="7"/>
    </row>
    <row r="6147" spans="4:4" x14ac:dyDescent="0.3">
      <c r="D6147" s="7"/>
    </row>
    <row r="6148" spans="4:4" x14ac:dyDescent="0.3">
      <c r="D6148" s="7"/>
    </row>
    <row r="6149" spans="4:4" x14ac:dyDescent="0.3">
      <c r="D6149" s="7"/>
    </row>
    <row r="6150" spans="4:4" x14ac:dyDescent="0.3">
      <c r="D6150" s="7"/>
    </row>
    <row r="6151" spans="4:4" x14ac:dyDescent="0.3">
      <c r="D6151" s="7"/>
    </row>
    <row r="6152" spans="4:4" x14ac:dyDescent="0.3">
      <c r="D6152" s="7"/>
    </row>
    <row r="6153" spans="4:4" x14ac:dyDescent="0.3">
      <c r="D6153" s="7"/>
    </row>
    <row r="6154" spans="4:4" x14ac:dyDescent="0.3">
      <c r="D6154" s="7"/>
    </row>
    <row r="6155" spans="4:4" x14ac:dyDescent="0.3">
      <c r="D6155" s="7"/>
    </row>
    <row r="6156" spans="4:4" x14ac:dyDescent="0.3">
      <c r="D6156" s="7"/>
    </row>
    <row r="6157" spans="4:4" x14ac:dyDescent="0.3">
      <c r="D6157" s="7"/>
    </row>
    <row r="6158" spans="4:4" x14ac:dyDescent="0.3">
      <c r="D6158" s="7"/>
    </row>
    <row r="6159" spans="4:4" x14ac:dyDescent="0.3">
      <c r="D6159" s="7"/>
    </row>
    <row r="6160" spans="4:4" x14ac:dyDescent="0.3">
      <c r="D6160" s="7"/>
    </row>
    <row r="6161" spans="4:4" x14ac:dyDescent="0.3">
      <c r="D6161" s="7"/>
    </row>
    <row r="6162" spans="4:4" x14ac:dyDescent="0.3">
      <c r="D6162" s="7"/>
    </row>
    <row r="6163" spans="4:4" x14ac:dyDescent="0.3">
      <c r="D6163" s="7"/>
    </row>
    <row r="6164" spans="4:4" x14ac:dyDescent="0.3">
      <c r="D6164" s="7"/>
    </row>
    <row r="6165" spans="4:4" x14ac:dyDescent="0.3">
      <c r="D6165" s="7"/>
    </row>
    <row r="6166" spans="4:4" x14ac:dyDescent="0.3">
      <c r="D6166" s="7"/>
    </row>
    <row r="6167" spans="4:4" x14ac:dyDescent="0.3">
      <c r="D6167" s="7"/>
    </row>
    <row r="6168" spans="4:4" x14ac:dyDescent="0.3">
      <c r="D6168" s="7"/>
    </row>
    <row r="6169" spans="4:4" x14ac:dyDescent="0.3">
      <c r="D6169" s="7"/>
    </row>
    <row r="6170" spans="4:4" x14ac:dyDescent="0.3">
      <c r="D6170" s="7"/>
    </row>
    <row r="6171" spans="4:4" x14ac:dyDescent="0.3">
      <c r="D6171" s="7"/>
    </row>
    <row r="6172" spans="4:4" x14ac:dyDescent="0.3">
      <c r="D6172" s="7"/>
    </row>
    <row r="6173" spans="4:4" x14ac:dyDescent="0.3">
      <c r="D6173" s="7"/>
    </row>
    <row r="6174" spans="4:4" x14ac:dyDescent="0.3">
      <c r="D6174" s="7"/>
    </row>
    <row r="6175" spans="4:4" x14ac:dyDescent="0.3">
      <c r="D6175" s="7"/>
    </row>
    <row r="6176" spans="4:4" x14ac:dyDescent="0.3">
      <c r="D6176" s="7"/>
    </row>
    <row r="6177" spans="4:4" x14ac:dyDescent="0.3">
      <c r="D6177" s="7"/>
    </row>
    <row r="6178" spans="4:4" x14ac:dyDescent="0.3">
      <c r="D6178" s="7"/>
    </row>
    <row r="6179" spans="4:4" x14ac:dyDescent="0.3">
      <c r="D6179" s="7"/>
    </row>
    <row r="6180" spans="4:4" x14ac:dyDescent="0.3">
      <c r="D6180" s="7"/>
    </row>
    <row r="6181" spans="4:4" x14ac:dyDescent="0.3">
      <c r="D6181" s="7"/>
    </row>
    <row r="6182" spans="4:4" x14ac:dyDescent="0.3">
      <c r="D6182" s="7"/>
    </row>
    <row r="6183" spans="4:4" x14ac:dyDescent="0.3">
      <c r="D6183" s="7"/>
    </row>
    <row r="6184" spans="4:4" x14ac:dyDescent="0.3">
      <c r="D6184" s="7"/>
    </row>
    <row r="6185" spans="4:4" x14ac:dyDescent="0.3">
      <c r="D6185" s="7"/>
    </row>
    <row r="6186" spans="4:4" x14ac:dyDescent="0.3">
      <c r="D6186" s="7"/>
    </row>
    <row r="6187" spans="4:4" x14ac:dyDescent="0.3">
      <c r="D6187" s="7"/>
    </row>
    <row r="6188" spans="4:4" x14ac:dyDescent="0.3">
      <c r="D6188" s="7"/>
    </row>
    <row r="6189" spans="4:4" x14ac:dyDescent="0.3">
      <c r="D6189" s="7"/>
    </row>
    <row r="6190" spans="4:4" x14ac:dyDescent="0.3">
      <c r="D6190" s="7"/>
    </row>
    <row r="6191" spans="4:4" x14ac:dyDescent="0.3">
      <c r="D6191" s="7"/>
    </row>
    <row r="6192" spans="4:4" x14ac:dyDescent="0.3">
      <c r="D6192" s="7"/>
    </row>
    <row r="6193" spans="4:4" x14ac:dyDescent="0.3">
      <c r="D6193" s="7"/>
    </row>
    <row r="6194" spans="4:4" x14ac:dyDescent="0.3">
      <c r="D6194" s="7"/>
    </row>
    <row r="6195" spans="4:4" x14ac:dyDescent="0.3">
      <c r="D6195" s="7"/>
    </row>
    <row r="6196" spans="4:4" x14ac:dyDescent="0.3">
      <c r="D6196" s="7"/>
    </row>
    <row r="6197" spans="4:4" x14ac:dyDescent="0.3">
      <c r="D6197" s="7"/>
    </row>
    <row r="6198" spans="4:4" x14ac:dyDescent="0.3">
      <c r="D6198" s="7"/>
    </row>
    <row r="6199" spans="4:4" x14ac:dyDescent="0.3">
      <c r="D6199" s="7"/>
    </row>
    <row r="6200" spans="4:4" x14ac:dyDescent="0.3">
      <c r="D6200" s="7"/>
    </row>
    <row r="6201" spans="4:4" x14ac:dyDescent="0.3">
      <c r="D6201" s="7"/>
    </row>
    <row r="6202" spans="4:4" x14ac:dyDescent="0.3">
      <c r="D6202" s="7"/>
    </row>
    <row r="6203" spans="4:4" x14ac:dyDescent="0.3">
      <c r="D6203" s="7"/>
    </row>
    <row r="6204" spans="4:4" x14ac:dyDescent="0.3">
      <c r="D6204" s="7"/>
    </row>
    <row r="6205" spans="4:4" x14ac:dyDescent="0.3">
      <c r="D6205" s="7"/>
    </row>
    <row r="6206" spans="4:4" x14ac:dyDescent="0.3">
      <c r="D6206" s="7"/>
    </row>
    <row r="6207" spans="4:4" x14ac:dyDescent="0.3">
      <c r="D6207" s="7"/>
    </row>
    <row r="6208" spans="4:4" x14ac:dyDescent="0.3">
      <c r="D6208" s="7"/>
    </row>
    <row r="6209" spans="4:4" x14ac:dyDescent="0.3">
      <c r="D6209" s="7"/>
    </row>
    <row r="6210" spans="4:4" x14ac:dyDescent="0.3">
      <c r="D6210" s="7"/>
    </row>
    <row r="6211" spans="4:4" x14ac:dyDescent="0.3">
      <c r="D6211" s="7"/>
    </row>
    <row r="6212" spans="4:4" x14ac:dyDescent="0.3">
      <c r="D6212" s="7"/>
    </row>
    <row r="6213" spans="4:4" x14ac:dyDescent="0.3">
      <c r="D6213" s="7"/>
    </row>
    <row r="6214" spans="4:4" x14ac:dyDescent="0.3">
      <c r="D6214" s="7"/>
    </row>
    <row r="6215" spans="4:4" x14ac:dyDescent="0.3">
      <c r="D6215" s="7"/>
    </row>
    <row r="6216" spans="4:4" x14ac:dyDescent="0.3">
      <c r="D6216" s="7"/>
    </row>
    <row r="6217" spans="4:4" x14ac:dyDescent="0.3">
      <c r="D6217" s="7"/>
    </row>
    <row r="6218" spans="4:4" x14ac:dyDescent="0.3">
      <c r="D6218" s="7"/>
    </row>
    <row r="6219" spans="4:4" x14ac:dyDescent="0.3">
      <c r="D6219" s="7"/>
    </row>
    <row r="6220" spans="4:4" x14ac:dyDescent="0.3">
      <c r="D6220" s="7"/>
    </row>
    <row r="6221" spans="4:4" x14ac:dyDescent="0.3">
      <c r="D6221" s="7"/>
    </row>
    <row r="6222" spans="4:4" x14ac:dyDescent="0.3">
      <c r="D6222" s="7"/>
    </row>
    <row r="6223" spans="4:4" x14ac:dyDescent="0.3">
      <c r="D6223" s="7"/>
    </row>
    <row r="6224" spans="4:4" x14ac:dyDescent="0.3">
      <c r="D6224" s="7"/>
    </row>
    <row r="6225" spans="4:4" x14ac:dyDescent="0.3">
      <c r="D6225" s="7"/>
    </row>
    <row r="6226" spans="4:4" x14ac:dyDescent="0.3">
      <c r="D6226" s="7"/>
    </row>
    <row r="6227" spans="4:4" x14ac:dyDescent="0.3">
      <c r="D6227" s="7"/>
    </row>
    <row r="6228" spans="4:4" x14ac:dyDescent="0.3">
      <c r="D6228" s="7"/>
    </row>
    <row r="6229" spans="4:4" x14ac:dyDescent="0.3">
      <c r="D6229" s="7"/>
    </row>
    <row r="6230" spans="4:4" x14ac:dyDescent="0.3">
      <c r="D6230" s="7"/>
    </row>
    <row r="6231" spans="4:4" x14ac:dyDescent="0.3">
      <c r="D6231" s="7"/>
    </row>
    <row r="6232" spans="4:4" x14ac:dyDescent="0.3">
      <c r="D6232" s="7"/>
    </row>
    <row r="6233" spans="4:4" x14ac:dyDescent="0.3">
      <c r="D6233" s="7"/>
    </row>
    <row r="6234" spans="4:4" x14ac:dyDescent="0.3">
      <c r="D6234" s="7"/>
    </row>
    <row r="6235" spans="4:4" x14ac:dyDescent="0.3">
      <c r="D6235" s="7"/>
    </row>
    <row r="6236" spans="4:4" x14ac:dyDescent="0.3">
      <c r="D6236" s="7"/>
    </row>
    <row r="6237" spans="4:4" x14ac:dyDescent="0.3">
      <c r="D6237" s="7"/>
    </row>
    <row r="6238" spans="4:4" x14ac:dyDescent="0.3">
      <c r="D6238" s="7"/>
    </row>
    <row r="6239" spans="4:4" x14ac:dyDescent="0.3">
      <c r="D6239" s="7"/>
    </row>
    <row r="6240" spans="4:4" x14ac:dyDescent="0.3">
      <c r="D6240" s="7"/>
    </row>
    <row r="6241" spans="4:4" x14ac:dyDescent="0.3">
      <c r="D6241" s="7"/>
    </row>
    <row r="6242" spans="4:4" x14ac:dyDescent="0.3">
      <c r="D6242" s="7"/>
    </row>
    <row r="6243" spans="4:4" x14ac:dyDescent="0.3">
      <c r="D6243" s="7"/>
    </row>
    <row r="6244" spans="4:4" x14ac:dyDescent="0.3">
      <c r="D6244" s="7"/>
    </row>
    <row r="6245" spans="4:4" x14ac:dyDescent="0.3">
      <c r="D6245" s="7"/>
    </row>
    <row r="6246" spans="4:4" x14ac:dyDescent="0.3">
      <c r="D6246" s="7"/>
    </row>
    <row r="6247" spans="4:4" x14ac:dyDescent="0.3">
      <c r="D6247" s="7"/>
    </row>
    <row r="6248" spans="4:4" x14ac:dyDescent="0.3">
      <c r="D6248" s="7"/>
    </row>
    <row r="6249" spans="4:4" x14ac:dyDescent="0.3">
      <c r="D6249" s="7"/>
    </row>
    <row r="6250" spans="4:4" x14ac:dyDescent="0.3">
      <c r="D6250" s="7"/>
    </row>
    <row r="6251" spans="4:4" x14ac:dyDescent="0.3">
      <c r="D6251" s="7"/>
    </row>
    <row r="6252" spans="4:4" x14ac:dyDescent="0.3">
      <c r="D6252" s="7"/>
    </row>
    <row r="6253" spans="4:4" x14ac:dyDescent="0.3">
      <c r="D6253" s="7"/>
    </row>
    <row r="6254" spans="4:4" x14ac:dyDescent="0.3">
      <c r="D6254" s="7"/>
    </row>
    <row r="6255" spans="4:4" x14ac:dyDescent="0.3">
      <c r="D6255" s="7"/>
    </row>
    <row r="6256" spans="4:4" x14ac:dyDescent="0.3">
      <c r="D6256" s="7"/>
    </row>
    <row r="6257" spans="4:4" x14ac:dyDescent="0.3">
      <c r="D6257" s="7"/>
    </row>
    <row r="6258" spans="4:4" x14ac:dyDescent="0.3">
      <c r="D6258" s="7"/>
    </row>
    <row r="6259" spans="4:4" x14ac:dyDescent="0.3">
      <c r="D6259" s="7"/>
    </row>
    <row r="6260" spans="4:4" x14ac:dyDescent="0.3">
      <c r="D6260" s="7"/>
    </row>
    <row r="6261" spans="4:4" x14ac:dyDescent="0.3">
      <c r="D6261" s="7"/>
    </row>
    <row r="6262" spans="4:4" x14ac:dyDescent="0.3">
      <c r="D6262" s="7"/>
    </row>
    <row r="6263" spans="4:4" x14ac:dyDescent="0.3">
      <c r="D6263" s="7"/>
    </row>
    <row r="6264" spans="4:4" x14ac:dyDescent="0.3">
      <c r="D6264" s="7"/>
    </row>
    <row r="6265" spans="4:4" x14ac:dyDescent="0.3">
      <c r="D6265" s="7"/>
    </row>
    <row r="6266" spans="4:4" x14ac:dyDescent="0.3">
      <c r="D6266" s="7"/>
    </row>
    <row r="6267" spans="4:4" x14ac:dyDescent="0.3">
      <c r="D6267" s="7"/>
    </row>
    <row r="6268" spans="4:4" x14ac:dyDescent="0.3">
      <c r="D6268" s="7"/>
    </row>
    <row r="6269" spans="4:4" x14ac:dyDescent="0.3">
      <c r="D6269" s="7"/>
    </row>
    <row r="6270" spans="4:4" x14ac:dyDescent="0.3">
      <c r="D6270" s="7"/>
    </row>
    <row r="6271" spans="4:4" x14ac:dyDescent="0.3">
      <c r="D6271" s="7"/>
    </row>
    <row r="6272" spans="4:4" x14ac:dyDescent="0.3">
      <c r="D6272" s="7"/>
    </row>
    <row r="6273" spans="4:4" x14ac:dyDescent="0.3">
      <c r="D6273" s="7"/>
    </row>
    <row r="6274" spans="4:4" x14ac:dyDescent="0.3">
      <c r="D6274" s="7"/>
    </row>
    <row r="6275" spans="4:4" x14ac:dyDescent="0.3">
      <c r="D6275" s="7"/>
    </row>
    <row r="6276" spans="4:4" x14ac:dyDescent="0.3">
      <c r="D6276" s="7"/>
    </row>
    <row r="6277" spans="4:4" x14ac:dyDescent="0.3">
      <c r="D6277" s="7"/>
    </row>
    <row r="6278" spans="4:4" x14ac:dyDescent="0.3">
      <c r="D6278" s="7"/>
    </row>
    <row r="6279" spans="4:4" x14ac:dyDescent="0.3">
      <c r="D6279" s="7"/>
    </row>
    <row r="6280" spans="4:4" x14ac:dyDescent="0.3">
      <c r="D6280" s="7"/>
    </row>
    <row r="6281" spans="4:4" x14ac:dyDescent="0.3">
      <c r="D6281" s="7"/>
    </row>
    <row r="6282" spans="4:4" x14ac:dyDescent="0.3">
      <c r="D6282" s="7"/>
    </row>
    <row r="6283" spans="4:4" x14ac:dyDescent="0.3">
      <c r="D6283" s="7"/>
    </row>
    <row r="6284" spans="4:4" x14ac:dyDescent="0.3">
      <c r="D6284" s="7"/>
    </row>
    <row r="6285" spans="4:4" x14ac:dyDescent="0.3">
      <c r="D6285" s="7"/>
    </row>
    <row r="6286" spans="4:4" x14ac:dyDescent="0.3">
      <c r="D6286" s="7"/>
    </row>
    <row r="6287" spans="4:4" x14ac:dyDescent="0.3">
      <c r="D6287" s="7"/>
    </row>
    <row r="6288" spans="4:4" x14ac:dyDescent="0.3">
      <c r="D6288" s="7"/>
    </row>
    <row r="6289" spans="4:4" x14ac:dyDescent="0.3">
      <c r="D6289" s="7"/>
    </row>
    <row r="6290" spans="4:4" x14ac:dyDescent="0.3">
      <c r="D6290" s="7"/>
    </row>
    <row r="6291" spans="4:4" x14ac:dyDescent="0.3">
      <c r="D6291" s="7"/>
    </row>
    <row r="6292" spans="4:4" x14ac:dyDescent="0.3">
      <c r="D6292" s="7"/>
    </row>
    <row r="6293" spans="4:4" x14ac:dyDescent="0.3">
      <c r="D6293" s="7"/>
    </row>
    <row r="6294" spans="4:4" x14ac:dyDescent="0.3">
      <c r="D6294" s="7"/>
    </row>
    <row r="6295" spans="4:4" x14ac:dyDescent="0.3">
      <c r="D6295" s="7"/>
    </row>
    <row r="6296" spans="4:4" x14ac:dyDescent="0.3">
      <c r="D6296" s="7"/>
    </row>
    <row r="6297" spans="4:4" x14ac:dyDescent="0.3">
      <c r="D6297" s="7"/>
    </row>
    <row r="6298" spans="4:4" x14ac:dyDescent="0.3">
      <c r="D6298" s="7"/>
    </row>
    <row r="6299" spans="4:4" x14ac:dyDescent="0.3">
      <c r="D6299" s="7"/>
    </row>
    <row r="6300" spans="4:4" x14ac:dyDescent="0.3">
      <c r="D6300" s="7"/>
    </row>
    <row r="6301" spans="4:4" x14ac:dyDescent="0.3">
      <c r="D6301" s="7"/>
    </row>
    <row r="6302" spans="4:4" x14ac:dyDescent="0.3">
      <c r="D6302" s="7"/>
    </row>
    <row r="6303" spans="4:4" x14ac:dyDescent="0.3">
      <c r="D6303" s="7"/>
    </row>
    <row r="6304" spans="4:4" x14ac:dyDescent="0.3">
      <c r="D6304" s="7"/>
    </row>
    <row r="6305" spans="4:4" x14ac:dyDescent="0.3">
      <c r="D6305" s="7"/>
    </row>
    <row r="6306" spans="4:4" x14ac:dyDescent="0.3">
      <c r="D6306" s="7"/>
    </row>
    <row r="6307" spans="4:4" x14ac:dyDescent="0.3">
      <c r="D6307" s="7"/>
    </row>
    <row r="6308" spans="4:4" x14ac:dyDescent="0.3">
      <c r="D6308" s="7"/>
    </row>
    <row r="6309" spans="4:4" x14ac:dyDescent="0.3">
      <c r="D6309" s="7"/>
    </row>
    <row r="6310" spans="4:4" x14ac:dyDescent="0.3">
      <c r="D6310" s="7"/>
    </row>
    <row r="6311" spans="4:4" x14ac:dyDescent="0.3">
      <c r="D6311" s="7"/>
    </row>
    <row r="6312" spans="4:4" x14ac:dyDescent="0.3">
      <c r="D6312" s="7"/>
    </row>
    <row r="6313" spans="4:4" x14ac:dyDescent="0.3">
      <c r="D6313" s="7"/>
    </row>
    <row r="6314" spans="4:4" x14ac:dyDescent="0.3">
      <c r="D6314" s="7"/>
    </row>
    <row r="6315" spans="4:4" x14ac:dyDescent="0.3">
      <c r="D6315" s="7"/>
    </row>
    <row r="6316" spans="4:4" x14ac:dyDescent="0.3">
      <c r="D6316" s="7"/>
    </row>
    <row r="6317" spans="4:4" x14ac:dyDescent="0.3">
      <c r="D6317" s="7"/>
    </row>
    <row r="6318" spans="4:4" x14ac:dyDescent="0.3">
      <c r="D6318" s="7"/>
    </row>
    <row r="6319" spans="4:4" x14ac:dyDescent="0.3">
      <c r="D6319" s="7"/>
    </row>
    <row r="6320" spans="4:4" x14ac:dyDescent="0.3">
      <c r="D6320" s="7"/>
    </row>
    <row r="6321" spans="4:4" x14ac:dyDescent="0.3">
      <c r="D6321" s="7"/>
    </row>
    <row r="6322" spans="4:4" x14ac:dyDescent="0.3">
      <c r="D6322" s="7"/>
    </row>
    <row r="6323" spans="4:4" x14ac:dyDescent="0.3">
      <c r="D6323" s="7"/>
    </row>
    <row r="6324" spans="4:4" x14ac:dyDescent="0.3">
      <c r="D6324" s="7"/>
    </row>
    <row r="6325" spans="4:4" x14ac:dyDescent="0.3">
      <c r="D6325" s="7"/>
    </row>
    <row r="6326" spans="4:4" x14ac:dyDescent="0.3">
      <c r="D6326" s="7"/>
    </row>
    <row r="6327" spans="4:4" x14ac:dyDescent="0.3">
      <c r="D6327" s="7"/>
    </row>
    <row r="6328" spans="4:4" x14ac:dyDescent="0.3">
      <c r="D6328" s="7"/>
    </row>
    <row r="6329" spans="4:4" x14ac:dyDescent="0.3">
      <c r="D6329" s="7"/>
    </row>
    <row r="6330" spans="4:4" x14ac:dyDescent="0.3">
      <c r="D6330" s="7"/>
    </row>
    <row r="6331" spans="4:4" x14ac:dyDescent="0.3">
      <c r="D6331" s="7"/>
    </row>
    <row r="6332" spans="4:4" x14ac:dyDescent="0.3">
      <c r="D6332" s="7"/>
    </row>
    <row r="6333" spans="4:4" x14ac:dyDescent="0.3">
      <c r="D6333" s="7"/>
    </row>
    <row r="6334" spans="4:4" x14ac:dyDescent="0.3">
      <c r="D6334" s="7"/>
    </row>
    <row r="6335" spans="4:4" x14ac:dyDescent="0.3">
      <c r="D6335" s="7"/>
    </row>
    <row r="6336" spans="4:4" x14ac:dyDescent="0.3">
      <c r="D6336" s="7"/>
    </row>
    <row r="6337" spans="4:4" x14ac:dyDescent="0.3">
      <c r="D6337" s="7"/>
    </row>
    <row r="6338" spans="4:4" x14ac:dyDescent="0.3">
      <c r="D6338" s="7"/>
    </row>
    <row r="6339" spans="4:4" x14ac:dyDescent="0.3">
      <c r="D6339" s="7"/>
    </row>
    <row r="6340" spans="4:4" x14ac:dyDescent="0.3">
      <c r="D6340" s="7"/>
    </row>
    <row r="6341" spans="4:4" x14ac:dyDescent="0.3">
      <c r="D6341" s="7"/>
    </row>
    <row r="6342" spans="4:4" x14ac:dyDescent="0.3">
      <c r="D6342" s="7"/>
    </row>
    <row r="6343" spans="4:4" x14ac:dyDescent="0.3">
      <c r="D6343" s="7"/>
    </row>
    <row r="6344" spans="4:4" x14ac:dyDescent="0.3">
      <c r="D6344" s="7"/>
    </row>
    <row r="6345" spans="4:4" x14ac:dyDescent="0.3">
      <c r="D6345" s="7"/>
    </row>
    <row r="6346" spans="4:4" x14ac:dyDescent="0.3">
      <c r="D6346" s="7"/>
    </row>
    <row r="6347" spans="4:4" x14ac:dyDescent="0.3">
      <c r="D6347" s="7"/>
    </row>
    <row r="6348" spans="4:4" x14ac:dyDescent="0.3">
      <c r="D6348" s="7"/>
    </row>
    <row r="6349" spans="4:4" x14ac:dyDescent="0.3">
      <c r="D6349" s="7"/>
    </row>
    <row r="6350" spans="4:4" x14ac:dyDescent="0.3">
      <c r="D6350" s="7"/>
    </row>
    <row r="6351" spans="4:4" x14ac:dyDescent="0.3">
      <c r="D6351" s="7"/>
    </row>
    <row r="6352" spans="4:4" x14ac:dyDescent="0.3">
      <c r="D6352" s="7"/>
    </row>
    <row r="6353" spans="4:4" x14ac:dyDescent="0.3">
      <c r="D6353" s="7"/>
    </row>
    <row r="6354" spans="4:4" x14ac:dyDescent="0.3">
      <c r="D6354" s="7"/>
    </row>
    <row r="6355" spans="4:4" x14ac:dyDescent="0.3">
      <c r="D6355" s="7"/>
    </row>
    <row r="6356" spans="4:4" x14ac:dyDescent="0.3">
      <c r="D6356" s="7"/>
    </row>
    <row r="6357" spans="4:4" x14ac:dyDescent="0.3">
      <c r="D6357" s="7"/>
    </row>
    <row r="6358" spans="4:4" x14ac:dyDescent="0.3">
      <c r="D6358" s="7"/>
    </row>
    <row r="6359" spans="4:4" x14ac:dyDescent="0.3">
      <c r="D6359" s="7"/>
    </row>
    <row r="6360" spans="4:4" x14ac:dyDescent="0.3">
      <c r="D6360" s="7"/>
    </row>
    <row r="6361" spans="4:4" x14ac:dyDescent="0.3">
      <c r="D6361" s="7"/>
    </row>
    <row r="6362" spans="4:4" x14ac:dyDescent="0.3">
      <c r="D6362" s="7"/>
    </row>
    <row r="6363" spans="4:4" x14ac:dyDescent="0.3">
      <c r="D6363" s="7"/>
    </row>
    <row r="6364" spans="4:4" x14ac:dyDescent="0.3">
      <c r="D6364" s="7"/>
    </row>
    <row r="6365" spans="4:4" x14ac:dyDescent="0.3">
      <c r="D6365" s="7"/>
    </row>
    <row r="6366" spans="4:4" x14ac:dyDescent="0.3">
      <c r="D6366" s="7"/>
    </row>
    <row r="6367" spans="4:4" x14ac:dyDescent="0.3">
      <c r="D6367" s="7"/>
    </row>
    <row r="6368" spans="4:4" x14ac:dyDescent="0.3">
      <c r="D6368" s="7"/>
    </row>
    <row r="6369" spans="4:4" x14ac:dyDescent="0.3">
      <c r="D6369" s="7"/>
    </row>
    <row r="6370" spans="4:4" x14ac:dyDescent="0.3">
      <c r="D6370" s="7"/>
    </row>
    <row r="6371" spans="4:4" x14ac:dyDescent="0.3">
      <c r="D6371" s="7"/>
    </row>
    <row r="6372" spans="4:4" x14ac:dyDescent="0.3">
      <c r="D6372" s="7"/>
    </row>
    <row r="6373" spans="4:4" x14ac:dyDescent="0.3">
      <c r="D6373" s="7"/>
    </row>
    <row r="6374" spans="4:4" x14ac:dyDescent="0.3">
      <c r="D6374" s="7"/>
    </row>
    <row r="6375" spans="4:4" x14ac:dyDescent="0.3">
      <c r="D6375" s="7"/>
    </row>
    <row r="6376" spans="4:4" x14ac:dyDescent="0.3">
      <c r="D6376" s="7"/>
    </row>
    <row r="6377" spans="4:4" x14ac:dyDescent="0.3">
      <c r="D6377" s="7"/>
    </row>
    <row r="6378" spans="4:4" x14ac:dyDescent="0.3">
      <c r="D6378" s="7"/>
    </row>
    <row r="6379" spans="4:4" x14ac:dyDescent="0.3">
      <c r="D6379" s="7"/>
    </row>
    <row r="6380" spans="4:4" x14ac:dyDescent="0.3">
      <c r="D6380" s="7"/>
    </row>
    <row r="6381" spans="4:4" x14ac:dyDescent="0.3">
      <c r="D6381" s="7"/>
    </row>
    <row r="6382" spans="4:4" x14ac:dyDescent="0.3">
      <c r="D6382" s="7"/>
    </row>
    <row r="6383" spans="4:4" x14ac:dyDescent="0.3">
      <c r="D6383" s="7"/>
    </row>
    <row r="6384" spans="4:4" x14ac:dyDescent="0.3">
      <c r="D6384" s="7"/>
    </row>
    <row r="6385" spans="4:4" x14ac:dyDescent="0.3">
      <c r="D6385" s="7"/>
    </row>
    <row r="6386" spans="4:4" x14ac:dyDescent="0.3">
      <c r="D6386" s="7"/>
    </row>
    <row r="6387" spans="4:4" x14ac:dyDescent="0.3">
      <c r="D6387" s="7"/>
    </row>
    <row r="6388" spans="4:4" x14ac:dyDescent="0.3">
      <c r="D6388" s="7"/>
    </row>
    <row r="6389" spans="4:4" x14ac:dyDescent="0.3">
      <c r="D6389" s="7"/>
    </row>
    <row r="6390" spans="4:4" x14ac:dyDescent="0.3">
      <c r="D6390" s="7"/>
    </row>
    <row r="6391" spans="4:4" x14ac:dyDescent="0.3">
      <c r="D6391" s="7"/>
    </row>
    <row r="6392" spans="4:4" x14ac:dyDescent="0.3">
      <c r="D6392" s="7"/>
    </row>
    <row r="6393" spans="4:4" x14ac:dyDescent="0.3">
      <c r="D6393" s="7"/>
    </row>
    <row r="6394" spans="4:4" x14ac:dyDescent="0.3">
      <c r="D6394" s="7"/>
    </row>
    <row r="6395" spans="4:4" x14ac:dyDescent="0.3">
      <c r="D6395" s="7"/>
    </row>
    <row r="6396" spans="4:4" x14ac:dyDescent="0.3">
      <c r="D6396" s="7"/>
    </row>
    <row r="6397" spans="4:4" x14ac:dyDescent="0.3">
      <c r="D6397" s="7"/>
    </row>
    <row r="6398" spans="4:4" x14ac:dyDescent="0.3">
      <c r="D6398" s="7"/>
    </row>
    <row r="6399" spans="4:4" x14ac:dyDescent="0.3">
      <c r="D6399" s="7"/>
    </row>
    <row r="6400" spans="4:4" x14ac:dyDescent="0.3">
      <c r="D6400" s="7"/>
    </row>
    <row r="6401" spans="4:4" x14ac:dyDescent="0.3">
      <c r="D6401" s="7"/>
    </row>
    <row r="6402" spans="4:4" x14ac:dyDescent="0.3">
      <c r="D6402" s="7"/>
    </row>
    <row r="6403" spans="4:4" x14ac:dyDescent="0.3">
      <c r="D6403" s="7"/>
    </row>
    <row r="6404" spans="4:4" x14ac:dyDescent="0.3">
      <c r="D6404" s="7"/>
    </row>
    <row r="6405" spans="4:4" x14ac:dyDescent="0.3">
      <c r="D6405" s="7"/>
    </row>
    <row r="6406" spans="4:4" x14ac:dyDescent="0.3">
      <c r="D6406" s="7"/>
    </row>
    <row r="6407" spans="4:4" x14ac:dyDescent="0.3">
      <c r="D6407" s="7"/>
    </row>
    <row r="6408" spans="4:4" x14ac:dyDescent="0.3">
      <c r="D6408" s="7"/>
    </row>
    <row r="6409" spans="4:4" x14ac:dyDescent="0.3">
      <c r="D6409" s="7"/>
    </row>
    <row r="6410" spans="4:4" x14ac:dyDescent="0.3">
      <c r="D6410" s="7"/>
    </row>
    <row r="6411" spans="4:4" x14ac:dyDescent="0.3">
      <c r="D6411" s="7"/>
    </row>
    <row r="6412" spans="4:4" x14ac:dyDescent="0.3">
      <c r="D6412" s="7"/>
    </row>
    <row r="6413" spans="4:4" x14ac:dyDescent="0.3">
      <c r="D6413" s="7"/>
    </row>
    <row r="6414" spans="4:4" x14ac:dyDescent="0.3">
      <c r="D6414" s="7"/>
    </row>
    <row r="6415" spans="4:4" x14ac:dyDescent="0.3">
      <c r="D6415" s="7"/>
    </row>
    <row r="6416" spans="4:4" x14ac:dyDescent="0.3">
      <c r="D6416" s="7"/>
    </row>
    <row r="6417" spans="4:4" x14ac:dyDescent="0.3">
      <c r="D6417" s="7"/>
    </row>
    <row r="6418" spans="4:4" x14ac:dyDescent="0.3">
      <c r="D6418" s="7"/>
    </row>
    <row r="6419" spans="4:4" x14ac:dyDescent="0.3">
      <c r="D6419" s="7"/>
    </row>
    <row r="6420" spans="4:4" x14ac:dyDescent="0.3">
      <c r="D6420" s="7"/>
    </row>
    <row r="6421" spans="4:4" x14ac:dyDescent="0.3">
      <c r="D6421" s="7"/>
    </row>
    <row r="6422" spans="4:4" x14ac:dyDescent="0.3">
      <c r="D6422" s="7"/>
    </row>
    <row r="6423" spans="4:4" x14ac:dyDescent="0.3">
      <c r="D6423" s="7"/>
    </row>
    <row r="6424" spans="4:4" x14ac:dyDescent="0.3">
      <c r="D6424" s="7"/>
    </row>
    <row r="6425" spans="4:4" x14ac:dyDescent="0.3">
      <c r="D6425" s="7"/>
    </row>
    <row r="6426" spans="4:4" x14ac:dyDescent="0.3">
      <c r="D6426" s="7"/>
    </row>
    <row r="6427" spans="4:4" x14ac:dyDescent="0.3">
      <c r="D6427" s="7"/>
    </row>
    <row r="6428" spans="4:4" x14ac:dyDescent="0.3">
      <c r="D6428" s="7"/>
    </row>
    <row r="6429" spans="4:4" x14ac:dyDescent="0.3">
      <c r="D6429" s="7"/>
    </row>
    <row r="6430" spans="4:4" x14ac:dyDescent="0.3">
      <c r="D6430" s="7"/>
    </row>
    <row r="6431" spans="4:4" x14ac:dyDescent="0.3">
      <c r="D6431" s="7"/>
    </row>
    <row r="6432" spans="4:4" x14ac:dyDescent="0.3">
      <c r="D6432" s="7"/>
    </row>
    <row r="6433" spans="4:4" x14ac:dyDescent="0.3">
      <c r="D6433" s="7"/>
    </row>
    <row r="6434" spans="4:4" x14ac:dyDescent="0.3">
      <c r="D6434" s="7"/>
    </row>
    <row r="6435" spans="4:4" x14ac:dyDescent="0.3">
      <c r="D6435" s="7"/>
    </row>
    <row r="6436" spans="4:4" x14ac:dyDescent="0.3">
      <c r="D6436" s="7"/>
    </row>
    <row r="6437" spans="4:4" x14ac:dyDescent="0.3">
      <c r="D6437" s="7"/>
    </row>
    <row r="6438" spans="4:4" x14ac:dyDescent="0.3">
      <c r="D6438" s="7"/>
    </row>
    <row r="6439" spans="4:4" x14ac:dyDescent="0.3">
      <c r="D6439" s="7"/>
    </row>
    <row r="6440" spans="4:4" x14ac:dyDescent="0.3">
      <c r="D6440" s="7"/>
    </row>
    <row r="6441" spans="4:4" x14ac:dyDescent="0.3">
      <c r="D6441" s="7"/>
    </row>
    <row r="6442" spans="4:4" x14ac:dyDescent="0.3">
      <c r="D6442" s="7"/>
    </row>
    <row r="6443" spans="4:4" x14ac:dyDescent="0.3">
      <c r="D6443" s="7"/>
    </row>
    <row r="6444" spans="4:4" x14ac:dyDescent="0.3">
      <c r="D6444" s="7"/>
    </row>
    <row r="6445" spans="4:4" x14ac:dyDescent="0.3">
      <c r="D6445" s="7"/>
    </row>
    <row r="6446" spans="4:4" x14ac:dyDescent="0.3">
      <c r="D6446" s="7"/>
    </row>
    <row r="6447" spans="4:4" x14ac:dyDescent="0.3">
      <c r="D6447" s="7"/>
    </row>
    <row r="6448" spans="4:4" x14ac:dyDescent="0.3">
      <c r="D6448" s="7"/>
    </row>
    <row r="6449" spans="4:4" x14ac:dyDescent="0.3">
      <c r="D6449" s="7"/>
    </row>
    <row r="6450" spans="4:4" x14ac:dyDescent="0.3">
      <c r="D6450" s="7"/>
    </row>
    <row r="6451" spans="4:4" x14ac:dyDescent="0.3">
      <c r="D6451" s="7"/>
    </row>
    <row r="6452" spans="4:4" x14ac:dyDescent="0.3">
      <c r="D6452" s="7"/>
    </row>
    <row r="6453" spans="4:4" x14ac:dyDescent="0.3">
      <c r="D6453" s="7"/>
    </row>
    <row r="6454" spans="4:4" x14ac:dyDescent="0.3">
      <c r="D6454" s="7"/>
    </row>
    <row r="6455" spans="4:4" x14ac:dyDescent="0.3">
      <c r="D6455" s="7"/>
    </row>
    <row r="6456" spans="4:4" x14ac:dyDescent="0.3">
      <c r="D6456" s="7"/>
    </row>
    <row r="6457" spans="4:4" x14ac:dyDescent="0.3">
      <c r="D6457" s="7"/>
    </row>
    <row r="6458" spans="4:4" x14ac:dyDescent="0.3">
      <c r="D6458" s="7"/>
    </row>
    <row r="6459" spans="4:4" x14ac:dyDescent="0.3">
      <c r="D6459" s="7"/>
    </row>
    <row r="6460" spans="4:4" x14ac:dyDescent="0.3">
      <c r="D6460" s="7"/>
    </row>
    <row r="6461" spans="4:4" x14ac:dyDescent="0.3">
      <c r="D6461" s="7"/>
    </row>
    <row r="6462" spans="4:4" x14ac:dyDescent="0.3">
      <c r="D6462" s="7"/>
    </row>
    <row r="6463" spans="4:4" x14ac:dyDescent="0.3">
      <c r="D6463" s="7"/>
    </row>
    <row r="6464" spans="4:4" x14ac:dyDescent="0.3">
      <c r="D6464" s="7"/>
    </row>
    <row r="6465" spans="4:4" x14ac:dyDescent="0.3">
      <c r="D6465" s="7"/>
    </row>
    <row r="6466" spans="4:4" x14ac:dyDescent="0.3">
      <c r="D6466" s="7"/>
    </row>
    <row r="6467" spans="4:4" x14ac:dyDescent="0.3">
      <c r="D6467" s="7"/>
    </row>
    <row r="6468" spans="4:4" x14ac:dyDescent="0.3">
      <c r="D6468" s="7"/>
    </row>
    <row r="6469" spans="4:4" x14ac:dyDescent="0.3">
      <c r="D6469" s="7"/>
    </row>
    <row r="6470" spans="4:4" x14ac:dyDescent="0.3">
      <c r="D6470" s="7"/>
    </row>
    <row r="6471" spans="4:4" x14ac:dyDescent="0.3">
      <c r="D6471" s="7"/>
    </row>
    <row r="6472" spans="4:4" x14ac:dyDescent="0.3">
      <c r="D6472" s="7"/>
    </row>
    <row r="6473" spans="4:4" x14ac:dyDescent="0.3">
      <c r="D6473" s="7"/>
    </row>
    <row r="6474" spans="4:4" x14ac:dyDescent="0.3">
      <c r="D6474" s="7"/>
    </row>
    <row r="6475" spans="4:4" x14ac:dyDescent="0.3">
      <c r="D6475" s="7"/>
    </row>
    <row r="6476" spans="4:4" x14ac:dyDescent="0.3">
      <c r="D6476" s="7"/>
    </row>
    <row r="6477" spans="4:4" x14ac:dyDescent="0.3">
      <c r="D6477" s="7"/>
    </row>
    <row r="6478" spans="4:4" x14ac:dyDescent="0.3">
      <c r="D6478" s="7"/>
    </row>
    <row r="6479" spans="4:4" x14ac:dyDescent="0.3">
      <c r="D6479" s="7"/>
    </row>
    <row r="6480" spans="4:4" x14ac:dyDescent="0.3">
      <c r="D6480" s="7"/>
    </row>
    <row r="6481" spans="4:4" x14ac:dyDescent="0.3">
      <c r="D6481" s="7"/>
    </row>
    <row r="6482" spans="4:4" x14ac:dyDescent="0.3">
      <c r="D6482" s="7"/>
    </row>
    <row r="6483" spans="4:4" x14ac:dyDescent="0.3">
      <c r="D6483" s="7"/>
    </row>
    <row r="6484" spans="4:4" x14ac:dyDescent="0.3">
      <c r="D6484" s="7"/>
    </row>
    <row r="6485" spans="4:4" x14ac:dyDescent="0.3">
      <c r="D6485" s="7"/>
    </row>
    <row r="6486" spans="4:4" x14ac:dyDescent="0.3">
      <c r="D6486" s="7"/>
    </row>
    <row r="6487" spans="4:4" x14ac:dyDescent="0.3">
      <c r="D6487" s="7"/>
    </row>
    <row r="6488" spans="4:4" x14ac:dyDescent="0.3">
      <c r="D6488" s="7"/>
    </row>
    <row r="6489" spans="4:4" x14ac:dyDescent="0.3">
      <c r="D6489" s="7"/>
    </row>
    <row r="6490" spans="4:4" x14ac:dyDescent="0.3">
      <c r="D6490" s="7"/>
    </row>
    <row r="6491" spans="4:4" x14ac:dyDescent="0.3">
      <c r="D6491" s="7"/>
    </row>
    <row r="6492" spans="4:4" x14ac:dyDescent="0.3">
      <c r="D6492" s="7"/>
    </row>
    <row r="6493" spans="4:4" x14ac:dyDescent="0.3">
      <c r="D6493" s="7"/>
    </row>
    <row r="6494" spans="4:4" x14ac:dyDescent="0.3">
      <c r="D6494" s="7"/>
    </row>
    <row r="6495" spans="4:4" x14ac:dyDescent="0.3">
      <c r="D6495" s="7"/>
    </row>
    <row r="6496" spans="4:4" x14ac:dyDescent="0.3">
      <c r="D6496" s="7"/>
    </row>
    <row r="6497" spans="4:4" x14ac:dyDescent="0.3">
      <c r="D6497" s="7"/>
    </row>
    <row r="6498" spans="4:4" x14ac:dyDescent="0.3">
      <c r="D6498" s="7"/>
    </row>
    <row r="6499" spans="4:4" x14ac:dyDescent="0.3">
      <c r="D6499" s="7"/>
    </row>
    <row r="6500" spans="4:4" x14ac:dyDescent="0.3">
      <c r="D6500" s="7"/>
    </row>
    <row r="6501" spans="4:4" x14ac:dyDescent="0.3">
      <c r="D6501" s="7"/>
    </row>
    <row r="6502" spans="4:4" x14ac:dyDescent="0.3">
      <c r="D6502" s="7"/>
    </row>
    <row r="6503" spans="4:4" x14ac:dyDescent="0.3">
      <c r="D6503" s="7"/>
    </row>
    <row r="6504" spans="4:4" x14ac:dyDescent="0.3">
      <c r="D6504" s="7"/>
    </row>
    <row r="6505" spans="4:4" x14ac:dyDescent="0.3">
      <c r="D6505" s="7"/>
    </row>
    <row r="6506" spans="4:4" x14ac:dyDescent="0.3">
      <c r="D6506" s="7"/>
    </row>
    <row r="6507" spans="4:4" x14ac:dyDescent="0.3">
      <c r="D6507" s="7"/>
    </row>
    <row r="6508" spans="4:4" x14ac:dyDescent="0.3">
      <c r="D6508" s="7"/>
    </row>
    <row r="6509" spans="4:4" x14ac:dyDescent="0.3">
      <c r="D6509" s="7"/>
    </row>
    <row r="6510" spans="4:4" x14ac:dyDescent="0.3">
      <c r="D6510" s="7"/>
    </row>
    <row r="6511" spans="4:4" x14ac:dyDescent="0.3">
      <c r="D6511" s="7"/>
    </row>
    <row r="6512" spans="4:4" x14ac:dyDescent="0.3">
      <c r="D6512" s="7"/>
    </row>
    <row r="6513" spans="4:4" x14ac:dyDescent="0.3">
      <c r="D6513" s="7"/>
    </row>
    <row r="6514" spans="4:4" x14ac:dyDescent="0.3">
      <c r="D6514" s="7"/>
    </row>
    <row r="6515" spans="4:4" x14ac:dyDescent="0.3">
      <c r="D6515" s="7"/>
    </row>
    <row r="6516" spans="4:4" x14ac:dyDescent="0.3">
      <c r="D6516" s="7"/>
    </row>
    <row r="6517" spans="4:4" x14ac:dyDescent="0.3">
      <c r="D6517" s="7"/>
    </row>
    <row r="6518" spans="4:4" x14ac:dyDescent="0.3">
      <c r="D6518" s="7"/>
    </row>
    <row r="6519" spans="4:4" x14ac:dyDescent="0.3">
      <c r="D6519" s="7"/>
    </row>
    <row r="6520" spans="4:4" x14ac:dyDescent="0.3">
      <c r="D6520" s="7"/>
    </row>
    <row r="6521" spans="4:4" x14ac:dyDescent="0.3">
      <c r="D6521" s="7"/>
    </row>
    <row r="6522" spans="4:4" x14ac:dyDescent="0.3">
      <c r="D6522" s="7"/>
    </row>
    <row r="6523" spans="4:4" x14ac:dyDescent="0.3">
      <c r="D6523" s="7"/>
    </row>
    <row r="6524" spans="4:4" x14ac:dyDescent="0.3">
      <c r="D6524" s="7"/>
    </row>
    <row r="6525" spans="4:4" x14ac:dyDescent="0.3">
      <c r="D6525" s="7"/>
    </row>
    <row r="6526" spans="4:4" x14ac:dyDescent="0.3">
      <c r="D6526" s="7"/>
    </row>
    <row r="6527" spans="4:4" x14ac:dyDescent="0.3">
      <c r="D6527" s="7"/>
    </row>
    <row r="6528" spans="4:4" x14ac:dyDescent="0.3">
      <c r="D6528" s="7"/>
    </row>
    <row r="6529" spans="4:4" x14ac:dyDescent="0.3">
      <c r="D6529" s="7"/>
    </row>
    <row r="6530" spans="4:4" x14ac:dyDescent="0.3">
      <c r="D6530" s="7"/>
    </row>
    <row r="6531" spans="4:4" x14ac:dyDescent="0.3">
      <c r="D6531" s="7"/>
    </row>
    <row r="6532" spans="4:4" x14ac:dyDescent="0.3">
      <c r="D6532" s="7"/>
    </row>
    <row r="6533" spans="4:4" x14ac:dyDescent="0.3">
      <c r="D6533" s="7"/>
    </row>
    <row r="6534" spans="4:4" x14ac:dyDescent="0.3">
      <c r="D6534" s="7"/>
    </row>
    <row r="6535" spans="4:4" x14ac:dyDescent="0.3">
      <c r="D6535" s="7"/>
    </row>
    <row r="6536" spans="4:4" x14ac:dyDescent="0.3">
      <c r="D6536" s="7"/>
    </row>
    <row r="6537" spans="4:4" x14ac:dyDescent="0.3">
      <c r="D6537" s="7"/>
    </row>
    <row r="6538" spans="4:4" x14ac:dyDescent="0.3">
      <c r="D6538" s="7"/>
    </row>
    <row r="6539" spans="4:4" x14ac:dyDescent="0.3">
      <c r="D6539" s="7"/>
    </row>
    <row r="6540" spans="4:4" x14ac:dyDescent="0.3">
      <c r="D6540" s="7"/>
    </row>
    <row r="6541" spans="4:4" x14ac:dyDescent="0.3">
      <c r="D6541" s="7"/>
    </row>
    <row r="6542" spans="4:4" x14ac:dyDescent="0.3">
      <c r="D6542" s="7"/>
    </row>
    <row r="6543" spans="4:4" x14ac:dyDescent="0.3">
      <c r="D6543" s="7"/>
    </row>
    <row r="6544" spans="4:4" x14ac:dyDescent="0.3">
      <c r="D6544" s="7"/>
    </row>
    <row r="6545" spans="4:4" x14ac:dyDescent="0.3">
      <c r="D6545" s="7"/>
    </row>
    <row r="6546" spans="4:4" x14ac:dyDescent="0.3">
      <c r="D6546" s="7"/>
    </row>
    <row r="6547" spans="4:4" x14ac:dyDescent="0.3">
      <c r="D6547" s="7"/>
    </row>
    <row r="6548" spans="4:4" x14ac:dyDescent="0.3">
      <c r="D6548" s="7"/>
    </row>
    <row r="6549" spans="4:4" x14ac:dyDescent="0.3">
      <c r="D6549" s="7"/>
    </row>
    <row r="6550" spans="4:4" x14ac:dyDescent="0.3">
      <c r="D6550" s="7"/>
    </row>
    <row r="6551" spans="4:4" x14ac:dyDescent="0.3">
      <c r="D6551" s="7"/>
    </row>
    <row r="6552" spans="4:4" x14ac:dyDescent="0.3">
      <c r="D6552" s="7"/>
    </row>
    <row r="6553" spans="4:4" x14ac:dyDescent="0.3">
      <c r="D6553" s="7"/>
    </row>
    <row r="6554" spans="4:4" x14ac:dyDescent="0.3">
      <c r="D6554" s="7"/>
    </row>
    <row r="6555" spans="4:4" x14ac:dyDescent="0.3">
      <c r="D6555" s="7"/>
    </row>
    <row r="6556" spans="4:4" x14ac:dyDescent="0.3">
      <c r="D6556" s="7"/>
    </row>
    <row r="6557" spans="4:4" x14ac:dyDescent="0.3">
      <c r="D6557" s="7"/>
    </row>
    <row r="6558" spans="4:4" x14ac:dyDescent="0.3">
      <c r="D6558" s="7"/>
    </row>
    <row r="6559" spans="4:4" x14ac:dyDescent="0.3">
      <c r="D6559" s="7"/>
    </row>
    <row r="6560" spans="4:4" x14ac:dyDescent="0.3">
      <c r="D6560" s="7"/>
    </row>
    <row r="6561" spans="4:4" x14ac:dyDescent="0.3">
      <c r="D6561" s="7"/>
    </row>
    <row r="6562" spans="4:4" x14ac:dyDescent="0.3">
      <c r="D6562" s="7"/>
    </row>
    <row r="6563" spans="4:4" x14ac:dyDescent="0.3">
      <c r="D6563" s="7"/>
    </row>
    <row r="6564" spans="4:4" x14ac:dyDescent="0.3">
      <c r="D6564" s="7"/>
    </row>
    <row r="6565" spans="4:4" x14ac:dyDescent="0.3">
      <c r="D6565" s="7"/>
    </row>
    <row r="6566" spans="4:4" x14ac:dyDescent="0.3">
      <c r="D6566" s="7"/>
    </row>
    <row r="6567" spans="4:4" x14ac:dyDescent="0.3">
      <c r="D6567" s="7"/>
    </row>
    <row r="6568" spans="4:4" x14ac:dyDescent="0.3">
      <c r="D6568" s="7"/>
    </row>
    <row r="6569" spans="4:4" x14ac:dyDescent="0.3">
      <c r="D6569" s="7"/>
    </row>
    <row r="6570" spans="4:4" x14ac:dyDescent="0.3">
      <c r="D6570" s="7"/>
    </row>
    <row r="6571" spans="4:4" x14ac:dyDescent="0.3">
      <c r="D6571" s="7"/>
    </row>
    <row r="6572" spans="4:4" x14ac:dyDescent="0.3">
      <c r="D6572" s="7"/>
    </row>
    <row r="6573" spans="4:4" x14ac:dyDescent="0.3">
      <c r="D6573" s="7"/>
    </row>
    <row r="6574" spans="4:4" x14ac:dyDescent="0.3">
      <c r="D6574" s="7"/>
    </row>
    <row r="6575" spans="4:4" x14ac:dyDescent="0.3">
      <c r="D6575" s="7"/>
    </row>
    <row r="6576" spans="4:4" x14ac:dyDescent="0.3">
      <c r="D6576" s="7"/>
    </row>
    <row r="6577" spans="4:4" x14ac:dyDescent="0.3">
      <c r="D6577" s="7"/>
    </row>
    <row r="6578" spans="4:4" x14ac:dyDescent="0.3">
      <c r="D6578" s="7"/>
    </row>
    <row r="6579" spans="4:4" x14ac:dyDescent="0.3">
      <c r="D6579" s="7"/>
    </row>
    <row r="6580" spans="4:4" x14ac:dyDescent="0.3">
      <c r="D6580" s="7"/>
    </row>
    <row r="6581" spans="4:4" x14ac:dyDescent="0.3">
      <c r="D6581" s="7"/>
    </row>
    <row r="6582" spans="4:4" x14ac:dyDescent="0.3">
      <c r="D6582" s="7"/>
    </row>
    <row r="6583" spans="4:4" x14ac:dyDescent="0.3">
      <c r="D6583" s="7"/>
    </row>
    <row r="6584" spans="4:4" x14ac:dyDescent="0.3">
      <c r="D6584" s="7"/>
    </row>
    <row r="6585" spans="4:4" x14ac:dyDescent="0.3">
      <c r="D6585" s="7"/>
    </row>
    <row r="6586" spans="4:4" x14ac:dyDescent="0.3">
      <c r="D6586" s="7"/>
    </row>
    <row r="6587" spans="4:4" x14ac:dyDescent="0.3">
      <c r="D6587" s="7"/>
    </row>
    <row r="6588" spans="4:4" x14ac:dyDescent="0.3">
      <c r="D6588" s="7"/>
    </row>
    <row r="6589" spans="4:4" x14ac:dyDescent="0.3">
      <c r="D6589" s="7"/>
    </row>
    <row r="6590" spans="4:4" x14ac:dyDescent="0.3">
      <c r="D6590" s="7"/>
    </row>
    <row r="6591" spans="4:4" x14ac:dyDescent="0.3">
      <c r="D6591" s="7"/>
    </row>
    <row r="6592" spans="4:4" x14ac:dyDescent="0.3">
      <c r="D6592" s="7"/>
    </row>
    <row r="6593" spans="4:4" x14ac:dyDescent="0.3">
      <c r="D6593" s="7"/>
    </row>
    <row r="6594" spans="4:4" x14ac:dyDescent="0.3">
      <c r="D6594" s="7"/>
    </row>
    <row r="6595" spans="4:4" x14ac:dyDescent="0.3">
      <c r="D6595" s="7"/>
    </row>
    <row r="6596" spans="4:4" x14ac:dyDescent="0.3">
      <c r="D6596" s="7"/>
    </row>
    <row r="6597" spans="4:4" x14ac:dyDescent="0.3">
      <c r="D6597" s="7"/>
    </row>
    <row r="6598" spans="4:4" x14ac:dyDescent="0.3">
      <c r="D6598" s="7"/>
    </row>
    <row r="6599" spans="4:4" x14ac:dyDescent="0.3">
      <c r="D6599" s="7"/>
    </row>
    <row r="6600" spans="4:4" x14ac:dyDescent="0.3">
      <c r="D6600" s="7"/>
    </row>
    <row r="6601" spans="4:4" x14ac:dyDescent="0.3">
      <c r="D6601" s="7"/>
    </row>
    <row r="6602" spans="4:4" x14ac:dyDescent="0.3">
      <c r="D6602" s="7"/>
    </row>
    <row r="6603" spans="4:4" x14ac:dyDescent="0.3">
      <c r="D6603" s="7"/>
    </row>
    <row r="6604" spans="4:4" x14ac:dyDescent="0.3">
      <c r="D6604" s="7"/>
    </row>
    <row r="6605" spans="4:4" x14ac:dyDescent="0.3">
      <c r="D6605" s="7"/>
    </row>
    <row r="6606" spans="4:4" x14ac:dyDescent="0.3">
      <c r="D6606" s="7"/>
    </row>
    <row r="6607" spans="4:4" x14ac:dyDescent="0.3">
      <c r="D6607" s="7"/>
    </row>
    <row r="6608" spans="4:4" x14ac:dyDescent="0.3">
      <c r="D6608" s="7"/>
    </row>
    <row r="6609" spans="4:4" x14ac:dyDescent="0.3">
      <c r="D6609" s="7"/>
    </row>
    <row r="6610" spans="4:4" x14ac:dyDescent="0.3">
      <c r="D6610" s="7"/>
    </row>
    <row r="6611" spans="4:4" x14ac:dyDescent="0.3">
      <c r="D6611" s="7"/>
    </row>
    <row r="6612" spans="4:4" x14ac:dyDescent="0.3">
      <c r="D6612" s="7"/>
    </row>
    <row r="6613" spans="4:4" x14ac:dyDescent="0.3">
      <c r="D6613" s="7"/>
    </row>
    <row r="6614" spans="4:4" x14ac:dyDescent="0.3">
      <c r="D6614" s="7"/>
    </row>
    <row r="6615" spans="4:4" x14ac:dyDescent="0.3">
      <c r="D6615" s="7"/>
    </row>
    <row r="6616" spans="4:4" x14ac:dyDescent="0.3">
      <c r="D6616" s="7"/>
    </row>
    <row r="6617" spans="4:4" x14ac:dyDescent="0.3">
      <c r="D6617" s="7"/>
    </row>
    <row r="6618" spans="4:4" x14ac:dyDescent="0.3">
      <c r="D6618" s="7"/>
    </row>
    <row r="6619" spans="4:4" x14ac:dyDescent="0.3">
      <c r="D6619" s="7"/>
    </row>
    <row r="6620" spans="4:4" x14ac:dyDescent="0.3">
      <c r="D6620" s="7"/>
    </row>
    <row r="6621" spans="4:4" x14ac:dyDescent="0.3">
      <c r="D6621" s="7"/>
    </row>
    <row r="6622" spans="4:4" x14ac:dyDescent="0.3">
      <c r="D6622" s="7"/>
    </row>
    <row r="6623" spans="4:4" x14ac:dyDescent="0.3">
      <c r="D6623" s="7"/>
    </row>
    <row r="6624" spans="4:4" x14ac:dyDescent="0.3">
      <c r="D6624" s="7"/>
    </row>
    <row r="6625" spans="4:4" x14ac:dyDescent="0.3">
      <c r="D6625" s="7"/>
    </row>
    <row r="6626" spans="4:4" x14ac:dyDescent="0.3">
      <c r="D6626" s="7"/>
    </row>
    <row r="6627" spans="4:4" x14ac:dyDescent="0.3">
      <c r="D6627" s="7"/>
    </row>
    <row r="6628" spans="4:4" x14ac:dyDescent="0.3">
      <c r="D6628" s="7"/>
    </row>
    <row r="6629" spans="4:4" x14ac:dyDescent="0.3">
      <c r="D6629" s="7"/>
    </row>
    <row r="6630" spans="4:4" x14ac:dyDescent="0.3">
      <c r="D6630" s="7"/>
    </row>
    <row r="6631" spans="4:4" x14ac:dyDescent="0.3">
      <c r="D6631" s="7"/>
    </row>
    <row r="6632" spans="4:4" x14ac:dyDescent="0.3">
      <c r="D6632" s="7"/>
    </row>
    <row r="6633" spans="4:4" x14ac:dyDescent="0.3">
      <c r="D6633" s="7"/>
    </row>
    <row r="6634" spans="4:4" x14ac:dyDescent="0.3">
      <c r="D6634" s="7"/>
    </row>
    <row r="6635" spans="4:4" x14ac:dyDescent="0.3">
      <c r="D6635" s="7"/>
    </row>
    <row r="6636" spans="4:4" x14ac:dyDescent="0.3">
      <c r="D6636" s="7"/>
    </row>
    <row r="6637" spans="4:4" x14ac:dyDescent="0.3">
      <c r="D6637" s="7"/>
    </row>
    <row r="6638" spans="4:4" x14ac:dyDescent="0.3">
      <c r="D6638" s="7"/>
    </row>
    <row r="6639" spans="4:4" x14ac:dyDescent="0.3">
      <c r="D6639" s="7"/>
    </row>
    <row r="6640" spans="4:4" x14ac:dyDescent="0.3">
      <c r="D6640" s="7"/>
    </row>
    <row r="6641" spans="4:4" x14ac:dyDescent="0.3">
      <c r="D6641" s="7"/>
    </row>
    <row r="6642" spans="4:4" x14ac:dyDescent="0.3">
      <c r="D6642" s="7"/>
    </row>
    <row r="6643" spans="4:4" x14ac:dyDescent="0.3">
      <c r="D6643" s="7"/>
    </row>
    <row r="6644" spans="4:4" x14ac:dyDescent="0.3">
      <c r="D6644" s="7"/>
    </row>
    <row r="6645" spans="4:4" x14ac:dyDescent="0.3">
      <c r="D6645" s="7"/>
    </row>
    <row r="6646" spans="4:4" x14ac:dyDescent="0.3">
      <c r="D6646" s="7"/>
    </row>
    <row r="6647" spans="4:4" x14ac:dyDescent="0.3">
      <c r="D6647" s="7"/>
    </row>
    <row r="6648" spans="4:4" x14ac:dyDescent="0.3">
      <c r="D6648" s="7"/>
    </row>
    <row r="6649" spans="4:4" x14ac:dyDescent="0.3">
      <c r="D6649" s="7"/>
    </row>
    <row r="6650" spans="4:4" x14ac:dyDescent="0.3">
      <c r="D6650" s="7"/>
    </row>
    <row r="6651" spans="4:4" x14ac:dyDescent="0.3">
      <c r="D6651" s="7"/>
    </row>
    <row r="6652" spans="4:4" x14ac:dyDescent="0.3">
      <c r="D6652" s="7"/>
    </row>
    <row r="6653" spans="4:4" x14ac:dyDescent="0.3">
      <c r="D6653" s="7"/>
    </row>
    <row r="6654" spans="4:4" x14ac:dyDescent="0.3">
      <c r="D6654" s="7"/>
    </row>
    <row r="6655" spans="4:4" x14ac:dyDescent="0.3">
      <c r="D6655" s="7"/>
    </row>
    <row r="6656" spans="4:4" x14ac:dyDescent="0.3">
      <c r="D6656" s="7"/>
    </row>
    <row r="6657" spans="4:4" x14ac:dyDescent="0.3">
      <c r="D6657" s="7"/>
    </row>
    <row r="6658" spans="4:4" x14ac:dyDescent="0.3">
      <c r="D6658" s="7"/>
    </row>
    <row r="6659" spans="4:4" x14ac:dyDescent="0.3">
      <c r="D6659" s="7"/>
    </row>
    <row r="6660" spans="4:4" x14ac:dyDescent="0.3">
      <c r="D6660" s="7"/>
    </row>
    <row r="6661" spans="4:4" x14ac:dyDescent="0.3">
      <c r="D6661" s="7"/>
    </row>
    <row r="6662" spans="4:4" x14ac:dyDescent="0.3">
      <c r="D6662" s="7"/>
    </row>
    <row r="6663" spans="4:4" x14ac:dyDescent="0.3">
      <c r="D6663" s="7"/>
    </row>
    <row r="6664" spans="4:4" x14ac:dyDescent="0.3">
      <c r="D6664" s="7"/>
    </row>
    <row r="6665" spans="4:4" x14ac:dyDescent="0.3">
      <c r="D6665" s="7"/>
    </row>
    <row r="6666" spans="4:4" x14ac:dyDescent="0.3">
      <c r="D6666" s="7"/>
    </row>
    <row r="6667" spans="4:4" x14ac:dyDescent="0.3">
      <c r="D6667" s="7"/>
    </row>
    <row r="6668" spans="4:4" x14ac:dyDescent="0.3">
      <c r="D6668" s="7"/>
    </row>
    <row r="6669" spans="4:4" x14ac:dyDescent="0.3">
      <c r="D6669" s="7"/>
    </row>
    <row r="6670" spans="4:4" x14ac:dyDescent="0.3">
      <c r="D6670" s="7"/>
    </row>
    <row r="6671" spans="4:4" x14ac:dyDescent="0.3">
      <c r="D6671" s="7"/>
    </row>
    <row r="6672" spans="4:4" x14ac:dyDescent="0.3">
      <c r="D6672" s="7"/>
    </row>
    <row r="6673" spans="4:4" x14ac:dyDescent="0.3">
      <c r="D6673" s="7"/>
    </row>
    <row r="6674" spans="4:4" x14ac:dyDescent="0.3">
      <c r="D6674" s="7"/>
    </row>
    <row r="6675" spans="4:4" x14ac:dyDescent="0.3">
      <c r="D6675" s="7"/>
    </row>
    <row r="6676" spans="4:4" x14ac:dyDescent="0.3">
      <c r="D6676" s="7"/>
    </row>
    <row r="6677" spans="4:4" x14ac:dyDescent="0.3">
      <c r="D6677" s="7"/>
    </row>
    <row r="6678" spans="4:4" x14ac:dyDescent="0.3">
      <c r="D6678" s="7"/>
    </row>
    <row r="6679" spans="4:4" x14ac:dyDescent="0.3">
      <c r="D6679" s="7"/>
    </row>
    <row r="6680" spans="4:4" x14ac:dyDescent="0.3">
      <c r="D6680" s="7"/>
    </row>
    <row r="6681" spans="4:4" x14ac:dyDescent="0.3">
      <c r="D6681" s="7"/>
    </row>
    <row r="6682" spans="4:4" x14ac:dyDescent="0.3">
      <c r="D6682" s="7"/>
    </row>
    <row r="6683" spans="4:4" x14ac:dyDescent="0.3">
      <c r="D6683" s="7"/>
    </row>
    <row r="6684" spans="4:4" x14ac:dyDescent="0.3">
      <c r="D6684" s="7"/>
    </row>
    <row r="6685" spans="4:4" x14ac:dyDescent="0.3">
      <c r="D6685" s="7"/>
    </row>
    <row r="6686" spans="4:4" x14ac:dyDescent="0.3">
      <c r="D6686" s="7"/>
    </row>
    <row r="6687" spans="4:4" x14ac:dyDescent="0.3">
      <c r="D6687" s="7"/>
    </row>
    <row r="6688" spans="4:4" x14ac:dyDescent="0.3">
      <c r="D6688" s="7"/>
    </row>
    <row r="6689" spans="4:4" x14ac:dyDescent="0.3">
      <c r="D6689" s="7"/>
    </row>
    <row r="6690" spans="4:4" x14ac:dyDescent="0.3">
      <c r="D6690" s="7"/>
    </row>
    <row r="6691" spans="4:4" x14ac:dyDescent="0.3">
      <c r="D6691" s="7"/>
    </row>
    <row r="6692" spans="4:4" x14ac:dyDescent="0.3">
      <c r="D6692" s="7"/>
    </row>
    <row r="6693" spans="4:4" x14ac:dyDescent="0.3">
      <c r="D6693" s="7"/>
    </row>
    <row r="6694" spans="4:4" x14ac:dyDescent="0.3">
      <c r="D6694" s="7"/>
    </row>
    <row r="6695" spans="4:4" x14ac:dyDescent="0.3">
      <c r="D6695" s="7"/>
    </row>
    <row r="6696" spans="4:4" x14ac:dyDescent="0.3">
      <c r="D6696" s="7"/>
    </row>
    <row r="6697" spans="4:4" x14ac:dyDescent="0.3">
      <c r="D6697" s="7"/>
    </row>
    <row r="6698" spans="4:4" x14ac:dyDescent="0.3">
      <c r="D6698" s="7"/>
    </row>
    <row r="6699" spans="4:4" x14ac:dyDescent="0.3">
      <c r="D6699" s="7"/>
    </row>
    <row r="6700" spans="4:4" x14ac:dyDescent="0.3">
      <c r="D6700" s="7"/>
    </row>
    <row r="6701" spans="4:4" x14ac:dyDescent="0.3">
      <c r="D6701" s="7"/>
    </row>
    <row r="6702" spans="4:4" x14ac:dyDescent="0.3">
      <c r="D6702" s="7"/>
    </row>
    <row r="6703" spans="4:4" x14ac:dyDescent="0.3">
      <c r="D6703" s="7"/>
    </row>
    <row r="6704" spans="4:4" x14ac:dyDescent="0.3">
      <c r="D6704" s="7"/>
    </row>
    <row r="6705" spans="4:4" x14ac:dyDescent="0.3">
      <c r="D6705" s="7"/>
    </row>
    <row r="6706" spans="4:4" x14ac:dyDescent="0.3">
      <c r="D6706" s="7"/>
    </row>
    <row r="6707" spans="4:4" x14ac:dyDescent="0.3">
      <c r="D6707" s="7"/>
    </row>
    <row r="6708" spans="4:4" x14ac:dyDescent="0.3">
      <c r="D6708" s="7"/>
    </row>
    <row r="6709" spans="4:4" x14ac:dyDescent="0.3">
      <c r="D6709" s="7"/>
    </row>
    <row r="6710" spans="4:4" x14ac:dyDescent="0.3">
      <c r="D6710" s="7"/>
    </row>
    <row r="6711" spans="4:4" x14ac:dyDescent="0.3">
      <c r="D6711" s="7"/>
    </row>
    <row r="6712" spans="4:4" x14ac:dyDescent="0.3">
      <c r="D6712" s="7"/>
    </row>
    <row r="6713" spans="4:4" x14ac:dyDescent="0.3">
      <c r="D6713" s="7"/>
    </row>
    <row r="6714" spans="4:4" x14ac:dyDescent="0.3">
      <c r="D6714" s="7"/>
    </row>
    <row r="6715" spans="4:4" x14ac:dyDescent="0.3">
      <c r="D6715" s="7"/>
    </row>
    <row r="6716" spans="4:4" x14ac:dyDescent="0.3">
      <c r="D6716" s="7"/>
    </row>
    <row r="6717" spans="4:4" x14ac:dyDescent="0.3">
      <c r="D6717" s="7"/>
    </row>
    <row r="6718" spans="4:4" x14ac:dyDescent="0.3">
      <c r="D6718" s="7"/>
    </row>
    <row r="6719" spans="4:4" x14ac:dyDescent="0.3">
      <c r="D6719" s="7"/>
    </row>
    <row r="6720" spans="4:4" x14ac:dyDescent="0.3">
      <c r="D6720" s="7"/>
    </row>
    <row r="6721" spans="4:4" x14ac:dyDescent="0.3">
      <c r="D6721" s="7"/>
    </row>
    <row r="6722" spans="4:4" x14ac:dyDescent="0.3">
      <c r="D6722" s="7"/>
    </row>
    <row r="6723" spans="4:4" x14ac:dyDescent="0.3">
      <c r="D6723" s="7"/>
    </row>
    <row r="6724" spans="4:4" x14ac:dyDescent="0.3">
      <c r="D6724" s="7"/>
    </row>
    <row r="6725" spans="4:4" x14ac:dyDescent="0.3">
      <c r="D6725" s="7"/>
    </row>
    <row r="6726" spans="4:4" x14ac:dyDescent="0.3">
      <c r="D6726" s="7"/>
    </row>
    <row r="6727" spans="4:4" x14ac:dyDescent="0.3">
      <c r="D6727" s="7"/>
    </row>
    <row r="6728" spans="4:4" x14ac:dyDescent="0.3">
      <c r="D6728" s="7"/>
    </row>
    <row r="6729" spans="4:4" x14ac:dyDescent="0.3">
      <c r="D6729" s="7"/>
    </row>
    <row r="6730" spans="4:4" x14ac:dyDescent="0.3">
      <c r="D6730" s="7"/>
    </row>
    <row r="6731" spans="4:4" x14ac:dyDescent="0.3">
      <c r="D6731" s="7"/>
    </row>
    <row r="6732" spans="4:4" x14ac:dyDescent="0.3">
      <c r="D6732" s="7"/>
    </row>
    <row r="6733" spans="4:4" x14ac:dyDescent="0.3">
      <c r="D6733" s="7"/>
    </row>
    <row r="6734" spans="4:4" x14ac:dyDescent="0.3">
      <c r="D6734" s="7"/>
    </row>
    <row r="6735" spans="4:4" x14ac:dyDescent="0.3">
      <c r="D6735" s="7"/>
    </row>
    <row r="6736" spans="4:4" x14ac:dyDescent="0.3">
      <c r="D6736" s="7"/>
    </row>
    <row r="6737" spans="4:4" x14ac:dyDescent="0.3">
      <c r="D6737" s="7"/>
    </row>
    <row r="6738" spans="4:4" x14ac:dyDescent="0.3">
      <c r="D6738" s="7"/>
    </row>
    <row r="6739" spans="4:4" x14ac:dyDescent="0.3">
      <c r="D6739" s="7"/>
    </row>
    <row r="6740" spans="4:4" x14ac:dyDescent="0.3">
      <c r="D6740" s="7"/>
    </row>
    <row r="6741" spans="4:4" x14ac:dyDescent="0.3">
      <c r="D6741" s="7"/>
    </row>
    <row r="6742" spans="4:4" x14ac:dyDescent="0.3">
      <c r="D6742" s="7"/>
    </row>
    <row r="6743" spans="4:4" x14ac:dyDescent="0.3">
      <c r="D6743" s="7"/>
    </row>
    <row r="6744" spans="4:4" x14ac:dyDescent="0.3">
      <c r="D6744" s="7"/>
    </row>
    <row r="6745" spans="4:4" x14ac:dyDescent="0.3">
      <c r="D6745" s="7"/>
    </row>
    <row r="6746" spans="4:4" x14ac:dyDescent="0.3">
      <c r="D6746" s="7"/>
    </row>
    <row r="6747" spans="4:4" x14ac:dyDescent="0.3">
      <c r="D6747" s="7"/>
    </row>
    <row r="6748" spans="4:4" x14ac:dyDescent="0.3">
      <c r="D6748" s="7"/>
    </row>
    <row r="6749" spans="4:4" x14ac:dyDescent="0.3">
      <c r="D6749" s="7"/>
    </row>
    <row r="6750" spans="4:4" x14ac:dyDescent="0.3">
      <c r="D6750" s="7"/>
    </row>
    <row r="6751" spans="4:4" x14ac:dyDescent="0.3">
      <c r="D6751" s="7"/>
    </row>
    <row r="6752" spans="4:4" x14ac:dyDescent="0.3">
      <c r="D6752" s="7"/>
    </row>
    <row r="6753" spans="4:4" x14ac:dyDescent="0.3">
      <c r="D6753" s="7"/>
    </row>
    <row r="6754" spans="4:4" x14ac:dyDescent="0.3">
      <c r="D6754" s="7"/>
    </row>
    <row r="6755" spans="4:4" x14ac:dyDescent="0.3">
      <c r="D6755" s="7"/>
    </row>
    <row r="6756" spans="4:4" x14ac:dyDescent="0.3">
      <c r="D6756" s="7"/>
    </row>
    <row r="6757" spans="4:4" x14ac:dyDescent="0.3">
      <c r="D6757" s="7"/>
    </row>
    <row r="6758" spans="4:4" x14ac:dyDescent="0.3">
      <c r="D6758" s="7"/>
    </row>
    <row r="6759" spans="4:4" x14ac:dyDescent="0.3">
      <c r="D6759" s="7"/>
    </row>
    <row r="6760" spans="4:4" x14ac:dyDescent="0.3">
      <c r="D6760" s="7"/>
    </row>
    <row r="6761" spans="4:4" x14ac:dyDescent="0.3">
      <c r="D6761" s="7"/>
    </row>
    <row r="6762" spans="4:4" x14ac:dyDescent="0.3">
      <c r="D6762" s="7"/>
    </row>
    <row r="6763" spans="4:4" x14ac:dyDescent="0.3">
      <c r="D6763" s="7"/>
    </row>
    <row r="6764" spans="4:4" x14ac:dyDescent="0.3">
      <c r="D6764" s="7"/>
    </row>
    <row r="6765" spans="4:4" x14ac:dyDescent="0.3">
      <c r="D6765" s="7"/>
    </row>
    <row r="6766" spans="4:4" x14ac:dyDescent="0.3">
      <c r="D6766" s="7"/>
    </row>
    <row r="6767" spans="4:4" x14ac:dyDescent="0.3">
      <c r="D6767" s="7"/>
    </row>
    <row r="6768" spans="4:4" x14ac:dyDescent="0.3">
      <c r="D6768" s="7"/>
    </row>
    <row r="6769" spans="4:4" x14ac:dyDescent="0.3">
      <c r="D6769" s="7"/>
    </row>
    <row r="6770" spans="4:4" x14ac:dyDescent="0.3">
      <c r="D6770" s="7"/>
    </row>
    <row r="6771" spans="4:4" x14ac:dyDescent="0.3">
      <c r="D6771" s="7"/>
    </row>
    <row r="6772" spans="4:4" x14ac:dyDescent="0.3">
      <c r="D6772" s="7"/>
    </row>
    <row r="6773" spans="4:4" x14ac:dyDescent="0.3">
      <c r="D6773" s="7"/>
    </row>
    <row r="6774" spans="4:4" x14ac:dyDescent="0.3">
      <c r="D6774" s="7"/>
    </row>
    <row r="6775" spans="4:4" x14ac:dyDescent="0.3">
      <c r="D6775" s="7"/>
    </row>
    <row r="6776" spans="4:4" x14ac:dyDescent="0.3">
      <c r="D6776" s="7"/>
    </row>
    <row r="6777" spans="4:4" x14ac:dyDescent="0.3">
      <c r="D6777" s="7"/>
    </row>
    <row r="6778" spans="4:4" x14ac:dyDescent="0.3">
      <c r="D6778" s="7"/>
    </row>
    <row r="6779" spans="4:4" x14ac:dyDescent="0.3">
      <c r="D6779" s="7"/>
    </row>
    <row r="6780" spans="4:4" x14ac:dyDescent="0.3">
      <c r="D6780" s="7"/>
    </row>
    <row r="6781" spans="4:4" x14ac:dyDescent="0.3">
      <c r="D6781" s="7"/>
    </row>
    <row r="6782" spans="4:4" x14ac:dyDescent="0.3">
      <c r="D6782" s="7"/>
    </row>
    <row r="6783" spans="4:4" x14ac:dyDescent="0.3">
      <c r="D6783" s="7"/>
    </row>
    <row r="6784" spans="4:4" x14ac:dyDescent="0.3">
      <c r="D6784" s="7"/>
    </row>
    <row r="6785" spans="4:4" x14ac:dyDescent="0.3">
      <c r="D6785" s="7"/>
    </row>
    <row r="6786" spans="4:4" x14ac:dyDescent="0.3">
      <c r="D6786" s="7"/>
    </row>
    <row r="6787" spans="4:4" x14ac:dyDescent="0.3">
      <c r="D6787" s="7"/>
    </row>
    <row r="6788" spans="4:4" x14ac:dyDescent="0.3">
      <c r="D6788" s="7"/>
    </row>
    <row r="6789" spans="4:4" x14ac:dyDescent="0.3">
      <c r="D6789" s="7"/>
    </row>
    <row r="6790" spans="4:4" x14ac:dyDescent="0.3">
      <c r="D6790" s="7"/>
    </row>
    <row r="6791" spans="4:4" x14ac:dyDescent="0.3">
      <c r="D6791" s="7"/>
    </row>
    <row r="6792" spans="4:4" x14ac:dyDescent="0.3">
      <c r="D6792" s="7"/>
    </row>
    <row r="6793" spans="4:4" x14ac:dyDescent="0.3">
      <c r="D6793" s="7"/>
    </row>
    <row r="6794" spans="4:4" x14ac:dyDescent="0.3">
      <c r="D6794" s="7"/>
    </row>
    <row r="6795" spans="4:4" x14ac:dyDescent="0.3">
      <c r="D6795" s="7"/>
    </row>
    <row r="6796" spans="4:4" x14ac:dyDescent="0.3">
      <c r="D6796" s="7"/>
    </row>
    <row r="6797" spans="4:4" x14ac:dyDescent="0.3">
      <c r="D6797" s="7"/>
    </row>
    <row r="6798" spans="4:4" x14ac:dyDescent="0.3">
      <c r="D6798" s="7"/>
    </row>
    <row r="6799" spans="4:4" x14ac:dyDescent="0.3">
      <c r="D6799" s="7"/>
    </row>
    <row r="6800" spans="4:4" x14ac:dyDescent="0.3">
      <c r="D6800" s="7"/>
    </row>
    <row r="6801" spans="4:4" x14ac:dyDescent="0.3">
      <c r="D6801" s="7"/>
    </row>
    <row r="6802" spans="4:4" x14ac:dyDescent="0.3">
      <c r="D6802" s="7"/>
    </row>
    <row r="6803" spans="4:4" x14ac:dyDescent="0.3">
      <c r="D6803" s="7"/>
    </row>
    <row r="6804" spans="4:4" x14ac:dyDescent="0.3">
      <c r="D6804" s="7"/>
    </row>
    <row r="6805" spans="4:4" x14ac:dyDescent="0.3">
      <c r="D6805" s="7"/>
    </row>
    <row r="6806" spans="4:4" x14ac:dyDescent="0.3">
      <c r="D6806" s="7"/>
    </row>
    <row r="6807" spans="4:4" x14ac:dyDescent="0.3">
      <c r="D6807" s="7"/>
    </row>
    <row r="6808" spans="4:4" x14ac:dyDescent="0.3">
      <c r="D6808" s="7"/>
    </row>
    <row r="6809" spans="4:4" x14ac:dyDescent="0.3">
      <c r="D6809" s="7"/>
    </row>
    <row r="6810" spans="4:4" x14ac:dyDescent="0.3">
      <c r="D6810" s="7"/>
    </row>
    <row r="6811" spans="4:4" x14ac:dyDescent="0.3">
      <c r="D6811" s="7"/>
    </row>
    <row r="6812" spans="4:4" x14ac:dyDescent="0.3">
      <c r="D6812" s="7"/>
    </row>
    <row r="6813" spans="4:4" x14ac:dyDescent="0.3">
      <c r="D6813" s="7"/>
    </row>
    <row r="6814" spans="4:4" x14ac:dyDescent="0.3">
      <c r="D6814" s="7"/>
    </row>
    <row r="6815" spans="4:4" x14ac:dyDescent="0.3">
      <c r="D6815" s="7"/>
    </row>
    <row r="6816" spans="4:4" x14ac:dyDescent="0.3">
      <c r="D6816" s="7"/>
    </row>
    <row r="6817" spans="4:4" x14ac:dyDescent="0.3">
      <c r="D6817" s="7"/>
    </row>
    <row r="6818" spans="4:4" x14ac:dyDescent="0.3">
      <c r="D6818" s="7"/>
    </row>
    <row r="6819" spans="4:4" x14ac:dyDescent="0.3">
      <c r="D6819" s="7"/>
    </row>
    <row r="6820" spans="4:4" x14ac:dyDescent="0.3">
      <c r="D6820" s="7"/>
    </row>
    <row r="6821" spans="4:4" x14ac:dyDescent="0.3">
      <c r="D6821" s="7"/>
    </row>
    <row r="6822" spans="4:4" x14ac:dyDescent="0.3">
      <c r="D6822" s="7"/>
    </row>
    <row r="6823" spans="4:4" x14ac:dyDescent="0.3">
      <c r="D6823" s="7"/>
    </row>
    <row r="6824" spans="4:4" x14ac:dyDescent="0.3">
      <c r="D6824" s="7"/>
    </row>
    <row r="6825" spans="4:4" x14ac:dyDescent="0.3">
      <c r="D6825" s="7"/>
    </row>
    <row r="6826" spans="4:4" x14ac:dyDescent="0.3">
      <c r="D6826" s="7"/>
    </row>
    <row r="6827" spans="4:4" x14ac:dyDescent="0.3">
      <c r="D6827" s="7"/>
    </row>
    <row r="6828" spans="4:4" x14ac:dyDescent="0.3">
      <c r="D6828" s="7"/>
    </row>
    <row r="6829" spans="4:4" x14ac:dyDescent="0.3">
      <c r="D6829" s="7"/>
    </row>
    <row r="6830" spans="4:4" x14ac:dyDescent="0.3">
      <c r="D6830" s="7"/>
    </row>
    <row r="6831" spans="4:4" x14ac:dyDescent="0.3">
      <c r="D6831" s="7"/>
    </row>
    <row r="6832" spans="4:4" x14ac:dyDescent="0.3">
      <c r="D6832" s="7"/>
    </row>
    <row r="6833" spans="4:4" x14ac:dyDescent="0.3">
      <c r="D6833" s="7"/>
    </row>
    <row r="6834" spans="4:4" x14ac:dyDescent="0.3">
      <c r="D6834" s="7"/>
    </row>
    <row r="6835" spans="4:4" x14ac:dyDescent="0.3">
      <c r="D6835" s="7"/>
    </row>
    <row r="6836" spans="4:4" x14ac:dyDescent="0.3">
      <c r="D6836" s="7"/>
    </row>
    <row r="6837" spans="4:4" x14ac:dyDescent="0.3">
      <c r="D6837" s="7"/>
    </row>
    <row r="6838" spans="4:4" x14ac:dyDescent="0.3">
      <c r="D6838" s="7"/>
    </row>
    <row r="6839" spans="4:4" x14ac:dyDescent="0.3">
      <c r="D6839" s="7"/>
    </row>
    <row r="6840" spans="4:4" x14ac:dyDescent="0.3">
      <c r="D6840" s="7"/>
    </row>
    <row r="6841" spans="4:4" x14ac:dyDescent="0.3">
      <c r="D6841" s="7"/>
    </row>
    <row r="6842" spans="4:4" x14ac:dyDescent="0.3">
      <c r="D6842" s="7"/>
    </row>
    <row r="6843" spans="4:4" x14ac:dyDescent="0.3">
      <c r="D6843" s="7"/>
    </row>
    <row r="6844" spans="4:4" x14ac:dyDescent="0.3">
      <c r="D6844" s="7"/>
    </row>
    <row r="6845" spans="4:4" x14ac:dyDescent="0.3">
      <c r="D6845" s="7"/>
    </row>
    <row r="6846" spans="4:4" x14ac:dyDescent="0.3">
      <c r="D6846" s="7"/>
    </row>
    <row r="6847" spans="4:4" x14ac:dyDescent="0.3">
      <c r="D6847" s="7"/>
    </row>
    <row r="6848" spans="4:4" x14ac:dyDescent="0.3">
      <c r="D6848" s="7"/>
    </row>
    <row r="6849" spans="4:4" x14ac:dyDescent="0.3">
      <c r="D6849" s="7"/>
    </row>
    <row r="6850" spans="4:4" x14ac:dyDescent="0.3">
      <c r="D6850" s="7"/>
    </row>
    <row r="6851" spans="4:4" x14ac:dyDescent="0.3">
      <c r="D6851" s="7"/>
    </row>
    <row r="6852" spans="4:4" x14ac:dyDescent="0.3">
      <c r="D6852" s="7"/>
    </row>
    <row r="6853" spans="4:4" x14ac:dyDescent="0.3">
      <c r="D6853" s="7"/>
    </row>
    <row r="6854" spans="4:4" x14ac:dyDescent="0.3">
      <c r="D6854" s="7"/>
    </row>
    <row r="6855" spans="4:4" x14ac:dyDescent="0.3">
      <c r="D6855" s="7"/>
    </row>
    <row r="6856" spans="4:4" x14ac:dyDescent="0.3">
      <c r="D6856" s="7"/>
    </row>
    <row r="6857" spans="4:4" x14ac:dyDescent="0.3">
      <c r="D6857" s="7"/>
    </row>
    <row r="6858" spans="4:4" x14ac:dyDescent="0.3">
      <c r="D6858" s="7"/>
    </row>
    <row r="6859" spans="4:4" x14ac:dyDescent="0.3">
      <c r="D6859" s="7"/>
    </row>
    <row r="6860" spans="4:4" x14ac:dyDescent="0.3">
      <c r="D6860" s="7"/>
    </row>
    <row r="6861" spans="4:4" x14ac:dyDescent="0.3">
      <c r="D6861" s="7"/>
    </row>
    <row r="6862" spans="4:4" x14ac:dyDescent="0.3">
      <c r="D6862" s="7"/>
    </row>
    <row r="6863" spans="4:4" x14ac:dyDescent="0.3">
      <c r="D6863" s="7"/>
    </row>
    <row r="6864" spans="4:4" x14ac:dyDescent="0.3">
      <c r="D6864" s="7"/>
    </row>
    <row r="6865" spans="4:4" x14ac:dyDescent="0.3">
      <c r="D6865" s="7"/>
    </row>
    <row r="6866" spans="4:4" x14ac:dyDescent="0.3">
      <c r="D6866" s="7"/>
    </row>
    <row r="6867" spans="4:4" x14ac:dyDescent="0.3">
      <c r="D6867" s="7"/>
    </row>
    <row r="6868" spans="4:4" x14ac:dyDescent="0.3">
      <c r="D6868" s="7"/>
    </row>
    <row r="6869" spans="4:4" x14ac:dyDescent="0.3">
      <c r="D6869" s="7"/>
    </row>
    <row r="6870" spans="4:4" x14ac:dyDescent="0.3">
      <c r="D6870" s="7"/>
    </row>
    <row r="6871" spans="4:4" x14ac:dyDescent="0.3">
      <c r="D6871" s="7"/>
    </row>
    <row r="6872" spans="4:4" x14ac:dyDescent="0.3">
      <c r="D6872" s="7"/>
    </row>
    <row r="6873" spans="4:4" x14ac:dyDescent="0.3">
      <c r="D6873" s="7"/>
    </row>
    <row r="6874" spans="4:4" x14ac:dyDescent="0.3">
      <c r="D6874" s="7"/>
    </row>
    <row r="6875" spans="4:4" x14ac:dyDescent="0.3">
      <c r="D6875" s="7"/>
    </row>
    <row r="6876" spans="4:4" x14ac:dyDescent="0.3">
      <c r="D6876" s="7"/>
    </row>
    <row r="6877" spans="4:4" x14ac:dyDescent="0.3">
      <c r="D6877" s="7"/>
    </row>
    <row r="6878" spans="4:4" x14ac:dyDescent="0.3">
      <c r="D6878" s="7"/>
    </row>
    <row r="6879" spans="4:4" x14ac:dyDescent="0.3">
      <c r="D6879" s="7"/>
    </row>
    <row r="6880" spans="4:4" x14ac:dyDescent="0.3">
      <c r="D6880" s="7"/>
    </row>
    <row r="6881" spans="4:4" x14ac:dyDescent="0.3">
      <c r="D6881" s="7"/>
    </row>
    <row r="6882" spans="4:4" x14ac:dyDescent="0.3">
      <c r="D6882" s="7"/>
    </row>
    <row r="6883" spans="4:4" x14ac:dyDescent="0.3">
      <c r="D6883" s="7"/>
    </row>
    <row r="6884" spans="4:4" x14ac:dyDescent="0.3">
      <c r="D6884" s="7"/>
    </row>
    <row r="6885" spans="4:4" x14ac:dyDescent="0.3">
      <c r="D6885" s="7"/>
    </row>
    <row r="6886" spans="4:4" x14ac:dyDescent="0.3">
      <c r="D6886" s="7"/>
    </row>
    <row r="6887" spans="4:4" x14ac:dyDescent="0.3">
      <c r="D6887" s="7"/>
    </row>
    <row r="6888" spans="4:4" x14ac:dyDescent="0.3">
      <c r="D6888" s="7"/>
    </row>
    <row r="6889" spans="4:4" x14ac:dyDescent="0.3">
      <c r="D6889" s="7"/>
    </row>
    <row r="6890" spans="4:4" x14ac:dyDescent="0.3">
      <c r="D6890" s="7"/>
    </row>
    <row r="6891" spans="4:4" x14ac:dyDescent="0.3">
      <c r="D6891" s="7"/>
    </row>
    <row r="6892" spans="4:4" x14ac:dyDescent="0.3">
      <c r="D6892" s="7"/>
    </row>
    <row r="6893" spans="4:4" x14ac:dyDescent="0.3">
      <c r="D6893" s="7"/>
    </row>
    <row r="6894" spans="4:4" x14ac:dyDescent="0.3">
      <c r="D6894" s="7"/>
    </row>
    <row r="6895" spans="4:4" x14ac:dyDescent="0.3">
      <c r="D6895" s="7"/>
    </row>
    <row r="6896" spans="4:4" x14ac:dyDescent="0.3">
      <c r="D6896" s="7"/>
    </row>
    <row r="6897" spans="4:4" x14ac:dyDescent="0.3">
      <c r="D6897" s="7"/>
    </row>
    <row r="6898" spans="4:4" x14ac:dyDescent="0.3">
      <c r="D6898" s="7"/>
    </row>
    <row r="6899" spans="4:4" x14ac:dyDescent="0.3">
      <c r="D6899" s="7"/>
    </row>
    <row r="6900" spans="4:4" x14ac:dyDescent="0.3">
      <c r="D6900" s="7"/>
    </row>
    <row r="6901" spans="4:4" x14ac:dyDescent="0.3">
      <c r="D6901" s="7"/>
    </row>
    <row r="6902" spans="4:4" x14ac:dyDescent="0.3">
      <c r="D6902" s="7"/>
    </row>
    <row r="6903" spans="4:4" x14ac:dyDescent="0.3">
      <c r="D6903" s="7"/>
    </row>
    <row r="6904" spans="4:4" x14ac:dyDescent="0.3">
      <c r="D6904" s="7"/>
    </row>
    <row r="6905" spans="4:4" x14ac:dyDescent="0.3">
      <c r="D6905" s="7"/>
    </row>
    <row r="6906" spans="4:4" x14ac:dyDescent="0.3">
      <c r="D6906" s="7"/>
    </row>
    <row r="6907" spans="4:4" x14ac:dyDescent="0.3">
      <c r="D6907" s="7"/>
    </row>
    <row r="6908" spans="4:4" x14ac:dyDescent="0.3">
      <c r="D6908" s="7"/>
    </row>
    <row r="6909" spans="4:4" x14ac:dyDescent="0.3">
      <c r="D6909" s="7"/>
    </row>
    <row r="6910" spans="4:4" x14ac:dyDescent="0.3">
      <c r="D6910" s="7"/>
    </row>
    <row r="6911" spans="4:4" x14ac:dyDescent="0.3">
      <c r="D6911" s="7"/>
    </row>
    <row r="6912" spans="4:4" x14ac:dyDescent="0.3">
      <c r="D6912" s="7"/>
    </row>
    <row r="6913" spans="4:4" x14ac:dyDescent="0.3">
      <c r="D6913" s="7"/>
    </row>
    <row r="6914" spans="4:4" x14ac:dyDescent="0.3">
      <c r="D6914" s="7"/>
    </row>
    <row r="6915" spans="4:4" x14ac:dyDescent="0.3">
      <c r="D6915" s="7"/>
    </row>
    <row r="6916" spans="4:4" x14ac:dyDescent="0.3">
      <c r="D6916" s="7"/>
    </row>
    <row r="6917" spans="4:4" x14ac:dyDescent="0.3">
      <c r="D6917" s="7"/>
    </row>
    <row r="6918" spans="4:4" x14ac:dyDescent="0.3">
      <c r="D6918" s="7"/>
    </row>
    <row r="6919" spans="4:4" x14ac:dyDescent="0.3">
      <c r="D6919" s="7"/>
    </row>
    <row r="6920" spans="4:4" x14ac:dyDescent="0.3">
      <c r="D6920" s="7"/>
    </row>
    <row r="6921" spans="4:4" x14ac:dyDescent="0.3">
      <c r="D6921" s="7"/>
    </row>
    <row r="6922" spans="4:4" x14ac:dyDescent="0.3">
      <c r="D6922" s="7"/>
    </row>
    <row r="6923" spans="4:4" x14ac:dyDescent="0.3">
      <c r="D6923" s="7"/>
    </row>
    <row r="6924" spans="4:4" x14ac:dyDescent="0.3">
      <c r="D6924" s="7"/>
    </row>
    <row r="6925" spans="4:4" x14ac:dyDescent="0.3">
      <c r="D6925" s="7"/>
    </row>
    <row r="6926" spans="4:4" x14ac:dyDescent="0.3">
      <c r="D6926" s="7"/>
    </row>
    <row r="6927" spans="4:4" x14ac:dyDescent="0.3">
      <c r="D6927" s="7"/>
    </row>
    <row r="6928" spans="4:4" x14ac:dyDescent="0.3">
      <c r="D6928" s="7"/>
    </row>
    <row r="6929" spans="4:4" x14ac:dyDescent="0.3">
      <c r="D6929" s="7"/>
    </row>
    <row r="6930" spans="4:4" x14ac:dyDescent="0.3">
      <c r="D6930" s="7"/>
    </row>
    <row r="6931" spans="4:4" x14ac:dyDescent="0.3">
      <c r="D6931" s="7"/>
    </row>
    <row r="6932" spans="4:4" x14ac:dyDescent="0.3">
      <c r="D6932" s="7"/>
    </row>
    <row r="6933" spans="4:4" x14ac:dyDescent="0.3">
      <c r="D6933" s="7"/>
    </row>
    <row r="6934" spans="4:4" x14ac:dyDescent="0.3">
      <c r="D6934" s="7"/>
    </row>
    <row r="6935" spans="4:4" x14ac:dyDescent="0.3">
      <c r="D6935" s="7"/>
    </row>
    <row r="6936" spans="4:4" x14ac:dyDescent="0.3">
      <c r="D6936" s="7"/>
    </row>
    <row r="6937" spans="4:4" x14ac:dyDescent="0.3">
      <c r="D6937" s="7"/>
    </row>
    <row r="6938" spans="4:4" x14ac:dyDescent="0.3">
      <c r="D6938" s="7"/>
    </row>
    <row r="6939" spans="4:4" x14ac:dyDescent="0.3">
      <c r="D6939" s="7"/>
    </row>
    <row r="6940" spans="4:4" x14ac:dyDescent="0.3">
      <c r="D6940" s="7"/>
    </row>
    <row r="6941" spans="4:4" x14ac:dyDescent="0.3">
      <c r="D6941" s="7"/>
    </row>
    <row r="6942" spans="4:4" x14ac:dyDescent="0.3">
      <c r="D6942" s="7"/>
    </row>
    <row r="6943" spans="4:4" x14ac:dyDescent="0.3">
      <c r="D6943" s="7"/>
    </row>
    <row r="6944" spans="4:4" x14ac:dyDescent="0.3">
      <c r="D6944" s="7"/>
    </row>
    <row r="6945" spans="4:4" x14ac:dyDescent="0.3">
      <c r="D6945" s="7"/>
    </row>
    <row r="6946" spans="4:4" x14ac:dyDescent="0.3">
      <c r="D6946" s="7"/>
    </row>
    <row r="6947" spans="4:4" x14ac:dyDescent="0.3">
      <c r="D6947" s="7"/>
    </row>
    <row r="6948" spans="4:4" x14ac:dyDescent="0.3">
      <c r="D6948" s="7"/>
    </row>
    <row r="6949" spans="4:4" x14ac:dyDescent="0.3">
      <c r="D6949" s="7"/>
    </row>
    <row r="6950" spans="4:4" x14ac:dyDescent="0.3">
      <c r="D6950" s="7"/>
    </row>
    <row r="6951" spans="4:4" x14ac:dyDescent="0.3">
      <c r="D6951" s="7"/>
    </row>
    <row r="6952" spans="4:4" x14ac:dyDescent="0.3">
      <c r="D6952" s="7"/>
    </row>
    <row r="6953" spans="4:4" x14ac:dyDescent="0.3">
      <c r="D6953" s="7"/>
    </row>
    <row r="6954" spans="4:4" x14ac:dyDescent="0.3">
      <c r="D6954" s="7"/>
    </row>
    <row r="6955" spans="4:4" x14ac:dyDescent="0.3">
      <c r="D6955" s="7"/>
    </row>
    <row r="6956" spans="4:4" x14ac:dyDescent="0.3">
      <c r="D6956" s="7"/>
    </row>
    <row r="6957" spans="4:4" x14ac:dyDescent="0.3">
      <c r="D6957" s="7"/>
    </row>
    <row r="6958" spans="4:4" x14ac:dyDescent="0.3">
      <c r="D6958" s="7"/>
    </row>
    <row r="6959" spans="4:4" x14ac:dyDescent="0.3">
      <c r="D6959" s="7"/>
    </row>
    <row r="6960" spans="4:4" x14ac:dyDescent="0.3">
      <c r="D6960" s="7"/>
    </row>
    <row r="6961" spans="4:4" x14ac:dyDescent="0.3">
      <c r="D6961" s="7"/>
    </row>
    <row r="6962" spans="4:4" x14ac:dyDescent="0.3">
      <c r="D6962" s="7"/>
    </row>
    <row r="6963" spans="4:4" x14ac:dyDescent="0.3">
      <c r="D6963" s="7"/>
    </row>
    <row r="6964" spans="4:4" x14ac:dyDescent="0.3">
      <c r="D6964" s="7"/>
    </row>
    <row r="6965" spans="4:4" x14ac:dyDescent="0.3">
      <c r="D6965" s="7"/>
    </row>
    <row r="6966" spans="4:4" x14ac:dyDescent="0.3">
      <c r="D6966" s="7"/>
    </row>
    <row r="6967" spans="4:4" x14ac:dyDescent="0.3">
      <c r="D6967" s="7"/>
    </row>
    <row r="6968" spans="4:4" x14ac:dyDescent="0.3">
      <c r="D6968" s="7"/>
    </row>
    <row r="6969" spans="4:4" x14ac:dyDescent="0.3">
      <c r="D6969" s="7"/>
    </row>
    <row r="6970" spans="4:4" x14ac:dyDescent="0.3">
      <c r="D6970" s="7"/>
    </row>
    <row r="6971" spans="4:4" x14ac:dyDescent="0.3">
      <c r="D6971" s="7"/>
    </row>
    <row r="6972" spans="4:4" x14ac:dyDescent="0.3">
      <c r="D6972" s="7"/>
    </row>
    <row r="6973" spans="4:4" x14ac:dyDescent="0.3">
      <c r="D6973" s="7"/>
    </row>
    <row r="6974" spans="4:4" x14ac:dyDescent="0.3">
      <c r="D6974" s="7"/>
    </row>
    <row r="6975" spans="4:4" x14ac:dyDescent="0.3">
      <c r="D6975" s="7"/>
    </row>
    <row r="6976" spans="4:4" x14ac:dyDescent="0.3">
      <c r="D6976" s="7"/>
    </row>
    <row r="6977" spans="4:4" x14ac:dyDescent="0.3">
      <c r="D6977" s="7"/>
    </row>
    <row r="6978" spans="4:4" x14ac:dyDescent="0.3">
      <c r="D6978" s="7"/>
    </row>
    <row r="6979" spans="4:4" x14ac:dyDescent="0.3">
      <c r="D6979" s="7"/>
    </row>
    <row r="6980" spans="4:4" x14ac:dyDescent="0.3">
      <c r="D6980" s="7"/>
    </row>
    <row r="6981" spans="4:4" x14ac:dyDescent="0.3">
      <c r="D6981" s="7"/>
    </row>
    <row r="6982" spans="4:4" x14ac:dyDescent="0.3">
      <c r="D6982" s="7"/>
    </row>
    <row r="6983" spans="4:4" x14ac:dyDescent="0.3">
      <c r="D6983" s="7"/>
    </row>
    <row r="6984" spans="4:4" x14ac:dyDescent="0.3">
      <c r="D6984" s="7"/>
    </row>
    <row r="6985" spans="4:4" x14ac:dyDescent="0.3">
      <c r="D6985" s="7"/>
    </row>
    <row r="6986" spans="4:4" x14ac:dyDescent="0.3">
      <c r="D6986" s="7"/>
    </row>
    <row r="6987" spans="4:4" x14ac:dyDescent="0.3">
      <c r="D6987" s="7"/>
    </row>
    <row r="6988" spans="4:4" x14ac:dyDescent="0.3">
      <c r="D6988" s="7"/>
    </row>
    <row r="6989" spans="4:4" x14ac:dyDescent="0.3">
      <c r="D6989" s="7"/>
    </row>
    <row r="6990" spans="4:4" x14ac:dyDescent="0.3">
      <c r="D6990" s="7"/>
    </row>
    <row r="6991" spans="4:4" x14ac:dyDescent="0.3">
      <c r="D6991" s="7"/>
    </row>
    <row r="6992" spans="4:4" x14ac:dyDescent="0.3">
      <c r="D6992" s="7"/>
    </row>
    <row r="6993" spans="4:4" x14ac:dyDescent="0.3">
      <c r="D6993" s="7"/>
    </row>
    <row r="6994" spans="4:4" x14ac:dyDescent="0.3">
      <c r="D6994" s="7"/>
    </row>
    <row r="6995" spans="4:4" x14ac:dyDescent="0.3">
      <c r="D6995" s="7"/>
    </row>
    <row r="6996" spans="4:4" x14ac:dyDescent="0.3">
      <c r="D6996" s="7"/>
    </row>
    <row r="6997" spans="4:4" x14ac:dyDescent="0.3">
      <c r="D6997" s="7"/>
    </row>
    <row r="6998" spans="4:4" x14ac:dyDescent="0.3">
      <c r="D6998" s="7"/>
    </row>
    <row r="6999" spans="4:4" x14ac:dyDescent="0.3">
      <c r="D6999" s="7"/>
    </row>
    <row r="7000" spans="4:4" x14ac:dyDescent="0.3">
      <c r="D7000" s="7"/>
    </row>
    <row r="7001" spans="4:4" x14ac:dyDescent="0.3">
      <c r="D7001" s="7"/>
    </row>
    <row r="7002" spans="4:4" x14ac:dyDescent="0.3">
      <c r="D7002" s="7"/>
    </row>
    <row r="7003" spans="4:4" x14ac:dyDescent="0.3">
      <c r="D7003" s="7"/>
    </row>
    <row r="7004" spans="4:4" x14ac:dyDescent="0.3">
      <c r="D7004" s="7"/>
    </row>
    <row r="7005" spans="4:4" x14ac:dyDescent="0.3">
      <c r="D7005" s="7"/>
    </row>
    <row r="7006" spans="4:4" x14ac:dyDescent="0.3">
      <c r="D7006" s="7"/>
    </row>
    <row r="7007" spans="4:4" x14ac:dyDescent="0.3">
      <c r="D7007" s="7"/>
    </row>
    <row r="7008" spans="4:4" x14ac:dyDescent="0.3">
      <c r="D7008" s="7"/>
    </row>
    <row r="7009" spans="4:4" x14ac:dyDescent="0.3">
      <c r="D7009" s="7"/>
    </row>
    <row r="7010" spans="4:4" x14ac:dyDescent="0.3">
      <c r="D7010" s="7"/>
    </row>
    <row r="7011" spans="4:4" x14ac:dyDescent="0.3">
      <c r="D7011" s="7"/>
    </row>
    <row r="7012" spans="4:4" x14ac:dyDescent="0.3">
      <c r="D7012" s="7"/>
    </row>
    <row r="7013" spans="4:4" x14ac:dyDescent="0.3">
      <c r="D7013" s="7"/>
    </row>
    <row r="7014" spans="4:4" x14ac:dyDescent="0.3">
      <c r="D7014" s="7"/>
    </row>
    <row r="7015" spans="4:4" x14ac:dyDescent="0.3">
      <c r="D7015" s="7"/>
    </row>
    <row r="7016" spans="4:4" x14ac:dyDescent="0.3">
      <c r="D7016" s="7"/>
    </row>
    <row r="7017" spans="4:4" x14ac:dyDescent="0.3">
      <c r="D7017" s="7"/>
    </row>
    <row r="7018" spans="4:4" x14ac:dyDescent="0.3">
      <c r="D7018" s="7"/>
    </row>
    <row r="7019" spans="4:4" x14ac:dyDescent="0.3">
      <c r="D7019" s="7"/>
    </row>
    <row r="7020" spans="4:4" x14ac:dyDescent="0.3">
      <c r="D7020" s="7"/>
    </row>
    <row r="7021" spans="4:4" x14ac:dyDescent="0.3">
      <c r="D7021" s="7"/>
    </row>
    <row r="7022" spans="4:4" x14ac:dyDescent="0.3">
      <c r="D7022" s="7"/>
    </row>
    <row r="7023" spans="4:4" x14ac:dyDescent="0.3">
      <c r="D7023" s="7"/>
    </row>
    <row r="7024" spans="4:4" x14ac:dyDescent="0.3">
      <c r="D7024" s="7"/>
    </row>
    <row r="7025" spans="4:4" x14ac:dyDescent="0.3">
      <c r="D7025" s="7"/>
    </row>
    <row r="7026" spans="4:4" x14ac:dyDescent="0.3">
      <c r="D7026" s="7"/>
    </row>
    <row r="7027" spans="4:4" x14ac:dyDescent="0.3">
      <c r="D7027" s="7"/>
    </row>
    <row r="7028" spans="4:4" x14ac:dyDescent="0.3">
      <c r="D7028" s="7"/>
    </row>
    <row r="7029" spans="4:4" x14ac:dyDescent="0.3">
      <c r="D7029" s="7"/>
    </row>
    <row r="7030" spans="4:4" x14ac:dyDescent="0.3">
      <c r="D7030" s="7"/>
    </row>
    <row r="7031" spans="4:4" x14ac:dyDescent="0.3">
      <c r="D7031" s="7"/>
    </row>
    <row r="7032" spans="4:4" x14ac:dyDescent="0.3">
      <c r="D7032" s="7"/>
    </row>
    <row r="7033" spans="4:4" x14ac:dyDescent="0.3">
      <c r="D7033" s="7"/>
    </row>
    <row r="7034" spans="4:4" x14ac:dyDescent="0.3">
      <c r="D7034" s="7"/>
    </row>
    <row r="7035" spans="4:4" x14ac:dyDescent="0.3">
      <c r="D7035" s="7"/>
    </row>
    <row r="7036" spans="4:4" x14ac:dyDescent="0.3">
      <c r="D7036" s="7"/>
    </row>
    <row r="7037" spans="4:4" x14ac:dyDescent="0.3">
      <c r="D7037" s="7"/>
    </row>
    <row r="7038" spans="4:4" x14ac:dyDescent="0.3">
      <c r="D7038" s="7"/>
    </row>
    <row r="7039" spans="4:4" x14ac:dyDescent="0.3">
      <c r="D7039" s="7"/>
    </row>
    <row r="7040" spans="4:4" x14ac:dyDescent="0.3">
      <c r="D7040" s="7"/>
    </row>
    <row r="7041" spans="4:4" x14ac:dyDescent="0.3">
      <c r="D7041" s="7"/>
    </row>
    <row r="7042" spans="4:4" x14ac:dyDescent="0.3">
      <c r="D7042" s="7"/>
    </row>
    <row r="7043" spans="4:4" x14ac:dyDescent="0.3">
      <c r="D7043" s="7"/>
    </row>
    <row r="7044" spans="4:4" x14ac:dyDescent="0.3">
      <c r="D7044" s="7"/>
    </row>
    <row r="7045" spans="4:4" x14ac:dyDescent="0.3">
      <c r="D7045" s="7"/>
    </row>
    <row r="7046" spans="4:4" x14ac:dyDescent="0.3">
      <c r="D7046" s="7"/>
    </row>
    <row r="7047" spans="4:4" x14ac:dyDescent="0.3">
      <c r="D7047" s="7"/>
    </row>
    <row r="7048" spans="4:4" x14ac:dyDescent="0.3">
      <c r="D7048" s="7"/>
    </row>
    <row r="7049" spans="4:4" x14ac:dyDescent="0.3">
      <c r="D7049" s="7"/>
    </row>
    <row r="7050" spans="4:4" x14ac:dyDescent="0.3">
      <c r="D7050" s="7"/>
    </row>
    <row r="7051" spans="4:4" x14ac:dyDescent="0.3">
      <c r="D7051" s="7"/>
    </row>
    <row r="7052" spans="4:4" x14ac:dyDescent="0.3">
      <c r="D7052" s="7"/>
    </row>
    <row r="7053" spans="4:4" x14ac:dyDescent="0.3">
      <c r="D7053" s="7"/>
    </row>
    <row r="7054" spans="4:4" x14ac:dyDescent="0.3">
      <c r="D7054" s="7"/>
    </row>
    <row r="7055" spans="4:4" x14ac:dyDescent="0.3">
      <c r="D7055" s="7"/>
    </row>
    <row r="7056" spans="4:4" x14ac:dyDescent="0.3">
      <c r="D7056" s="7"/>
    </row>
    <row r="7057" spans="4:4" x14ac:dyDescent="0.3">
      <c r="D7057" s="7"/>
    </row>
    <row r="7058" spans="4:4" x14ac:dyDescent="0.3">
      <c r="D7058" s="7"/>
    </row>
    <row r="7059" spans="4:4" x14ac:dyDescent="0.3">
      <c r="D7059" s="7"/>
    </row>
    <row r="7060" spans="4:4" x14ac:dyDescent="0.3">
      <c r="D7060" s="7"/>
    </row>
    <row r="7061" spans="4:4" x14ac:dyDescent="0.3">
      <c r="D7061" s="7"/>
    </row>
    <row r="7062" spans="4:4" x14ac:dyDescent="0.3">
      <c r="D7062" s="7"/>
    </row>
    <row r="7063" spans="4:4" x14ac:dyDescent="0.3">
      <c r="D7063" s="7"/>
    </row>
    <row r="7064" spans="4:4" x14ac:dyDescent="0.3">
      <c r="D7064" s="7"/>
    </row>
    <row r="7065" spans="4:4" x14ac:dyDescent="0.3">
      <c r="D7065" s="7"/>
    </row>
    <row r="7066" spans="4:4" x14ac:dyDescent="0.3">
      <c r="D7066" s="7"/>
    </row>
    <row r="7067" spans="4:4" x14ac:dyDescent="0.3">
      <c r="D7067" s="7"/>
    </row>
    <row r="7068" spans="4:4" x14ac:dyDescent="0.3">
      <c r="D7068" s="7"/>
    </row>
    <row r="7069" spans="4:4" x14ac:dyDescent="0.3">
      <c r="D7069" s="7"/>
    </row>
    <row r="7070" spans="4:4" x14ac:dyDescent="0.3">
      <c r="D7070" s="7"/>
    </row>
    <row r="7071" spans="4:4" x14ac:dyDescent="0.3">
      <c r="D7071" s="7"/>
    </row>
    <row r="7072" spans="4:4" x14ac:dyDescent="0.3">
      <c r="D7072" s="7"/>
    </row>
    <row r="7073" spans="4:4" x14ac:dyDescent="0.3">
      <c r="D7073" s="7"/>
    </row>
    <row r="7074" spans="4:4" x14ac:dyDescent="0.3">
      <c r="D7074" s="7"/>
    </row>
    <row r="7075" spans="4:4" x14ac:dyDescent="0.3">
      <c r="D7075" s="7"/>
    </row>
    <row r="7076" spans="4:4" x14ac:dyDescent="0.3">
      <c r="D7076" s="7"/>
    </row>
    <row r="7077" spans="4:4" x14ac:dyDescent="0.3">
      <c r="D7077" s="7"/>
    </row>
    <row r="7078" spans="4:4" x14ac:dyDescent="0.3">
      <c r="D7078" s="7"/>
    </row>
    <row r="7079" spans="4:4" x14ac:dyDescent="0.3">
      <c r="D7079" s="7"/>
    </row>
    <row r="7080" spans="4:4" x14ac:dyDescent="0.3">
      <c r="D7080" s="7"/>
    </row>
    <row r="7081" spans="4:4" x14ac:dyDescent="0.3">
      <c r="D7081" s="7"/>
    </row>
    <row r="7082" spans="4:4" x14ac:dyDescent="0.3">
      <c r="D7082" s="7"/>
    </row>
    <row r="7083" spans="4:4" x14ac:dyDescent="0.3">
      <c r="D7083" s="7"/>
    </row>
    <row r="7084" spans="4:4" x14ac:dyDescent="0.3">
      <c r="D7084" s="7"/>
    </row>
    <row r="7085" spans="4:4" x14ac:dyDescent="0.3">
      <c r="D7085" s="7"/>
    </row>
    <row r="7086" spans="4:4" x14ac:dyDescent="0.3">
      <c r="D7086" s="7"/>
    </row>
    <row r="7087" spans="4:4" x14ac:dyDescent="0.3">
      <c r="D7087" s="7"/>
    </row>
    <row r="7088" spans="4:4" x14ac:dyDescent="0.3">
      <c r="D7088" s="7"/>
    </row>
    <row r="7089" spans="4:4" x14ac:dyDescent="0.3">
      <c r="D7089" s="7"/>
    </row>
    <row r="7090" spans="4:4" x14ac:dyDescent="0.3">
      <c r="D7090" s="7"/>
    </row>
    <row r="7091" spans="4:4" x14ac:dyDescent="0.3">
      <c r="D7091" s="7"/>
    </row>
    <row r="7092" spans="4:4" x14ac:dyDescent="0.3">
      <c r="D7092" s="7"/>
    </row>
    <row r="7093" spans="4:4" x14ac:dyDescent="0.3">
      <c r="D7093" s="7"/>
    </row>
    <row r="7094" spans="4:4" x14ac:dyDescent="0.3">
      <c r="D7094" s="7"/>
    </row>
    <row r="7095" spans="4:4" x14ac:dyDescent="0.3">
      <c r="D7095" s="7"/>
    </row>
    <row r="7096" spans="4:4" x14ac:dyDescent="0.3">
      <c r="D7096" s="7"/>
    </row>
    <row r="7097" spans="4:4" x14ac:dyDescent="0.3">
      <c r="D7097" s="7"/>
    </row>
    <row r="7098" spans="4:4" x14ac:dyDescent="0.3">
      <c r="D7098" s="7"/>
    </row>
    <row r="7099" spans="4:4" x14ac:dyDescent="0.3">
      <c r="D7099" s="7"/>
    </row>
    <row r="7100" spans="4:4" x14ac:dyDescent="0.3">
      <c r="D7100" s="7"/>
    </row>
    <row r="7101" spans="4:4" x14ac:dyDescent="0.3">
      <c r="D7101" s="7"/>
    </row>
    <row r="7102" spans="4:4" x14ac:dyDescent="0.3">
      <c r="D7102" s="7"/>
    </row>
    <row r="7103" spans="4:4" x14ac:dyDescent="0.3">
      <c r="D7103" s="7"/>
    </row>
    <row r="7104" spans="4:4" x14ac:dyDescent="0.3">
      <c r="D7104" s="7"/>
    </row>
    <row r="7105" spans="4:4" x14ac:dyDescent="0.3">
      <c r="D7105" s="7"/>
    </row>
    <row r="7106" spans="4:4" x14ac:dyDescent="0.3">
      <c r="D7106" s="7"/>
    </row>
    <row r="7107" spans="4:4" x14ac:dyDescent="0.3">
      <c r="D7107" s="7"/>
    </row>
    <row r="7108" spans="4:4" x14ac:dyDescent="0.3">
      <c r="D7108" s="7"/>
    </row>
    <row r="7109" spans="4:4" x14ac:dyDescent="0.3">
      <c r="D7109" s="7"/>
    </row>
    <row r="7110" spans="4:4" x14ac:dyDescent="0.3">
      <c r="D7110" s="7"/>
    </row>
    <row r="7111" spans="4:4" x14ac:dyDescent="0.3">
      <c r="D7111" s="7"/>
    </row>
    <row r="7112" spans="4:4" x14ac:dyDescent="0.3">
      <c r="D7112" s="7"/>
    </row>
    <row r="7113" spans="4:4" x14ac:dyDescent="0.3">
      <c r="D7113" s="7"/>
    </row>
    <row r="7114" spans="4:4" x14ac:dyDescent="0.3">
      <c r="D7114" s="7"/>
    </row>
    <row r="7115" spans="4:4" x14ac:dyDescent="0.3">
      <c r="D7115" s="7"/>
    </row>
    <row r="7116" spans="4:4" x14ac:dyDescent="0.3">
      <c r="D7116" s="7"/>
    </row>
    <row r="7117" spans="4:4" x14ac:dyDescent="0.3">
      <c r="D7117" s="7"/>
    </row>
    <row r="7118" spans="4:4" x14ac:dyDescent="0.3">
      <c r="D7118" s="7"/>
    </row>
    <row r="7119" spans="4:4" x14ac:dyDescent="0.3">
      <c r="D7119" s="7"/>
    </row>
    <row r="7120" spans="4:4" x14ac:dyDescent="0.3">
      <c r="D7120" s="7"/>
    </row>
    <row r="7121" spans="4:4" x14ac:dyDescent="0.3">
      <c r="D7121" s="7"/>
    </row>
    <row r="7122" spans="4:4" x14ac:dyDescent="0.3">
      <c r="D7122" s="7"/>
    </row>
    <row r="7123" spans="4:4" x14ac:dyDescent="0.3">
      <c r="D7123" s="7"/>
    </row>
    <row r="7124" spans="4:4" x14ac:dyDescent="0.3">
      <c r="D7124" s="7"/>
    </row>
    <row r="7125" spans="4:4" x14ac:dyDescent="0.3">
      <c r="D7125" s="7"/>
    </row>
    <row r="7126" spans="4:4" x14ac:dyDescent="0.3">
      <c r="D7126" s="7"/>
    </row>
    <row r="7127" spans="4:4" x14ac:dyDescent="0.3">
      <c r="D7127" s="7"/>
    </row>
    <row r="7128" spans="4:4" x14ac:dyDescent="0.3">
      <c r="D7128" s="7"/>
    </row>
    <row r="7129" spans="4:4" x14ac:dyDescent="0.3">
      <c r="D7129" s="7"/>
    </row>
    <row r="7130" spans="4:4" x14ac:dyDescent="0.3">
      <c r="D7130" s="7"/>
    </row>
    <row r="7131" spans="4:4" x14ac:dyDescent="0.3">
      <c r="D7131" s="7"/>
    </row>
    <row r="7132" spans="4:4" x14ac:dyDescent="0.3">
      <c r="D7132" s="7"/>
    </row>
    <row r="7133" spans="4:4" x14ac:dyDescent="0.3">
      <c r="D7133" s="7"/>
    </row>
    <row r="7134" spans="4:4" x14ac:dyDescent="0.3">
      <c r="D7134" s="7"/>
    </row>
    <row r="7135" spans="4:4" x14ac:dyDescent="0.3">
      <c r="D7135" s="7"/>
    </row>
    <row r="7136" spans="4:4" x14ac:dyDescent="0.3">
      <c r="D7136" s="7"/>
    </row>
    <row r="7137" spans="4:4" x14ac:dyDescent="0.3">
      <c r="D7137" s="7"/>
    </row>
    <row r="7138" spans="4:4" x14ac:dyDescent="0.3">
      <c r="D7138" s="7"/>
    </row>
    <row r="7139" spans="4:4" x14ac:dyDescent="0.3">
      <c r="D7139" s="7"/>
    </row>
    <row r="7140" spans="4:4" x14ac:dyDescent="0.3">
      <c r="D7140" s="7"/>
    </row>
    <row r="7141" spans="4:4" x14ac:dyDescent="0.3">
      <c r="D7141" s="7"/>
    </row>
    <row r="7142" spans="4:4" x14ac:dyDescent="0.3">
      <c r="D7142" s="7"/>
    </row>
    <row r="7143" spans="4:4" x14ac:dyDescent="0.3">
      <c r="D7143" s="7"/>
    </row>
    <row r="7144" spans="4:4" x14ac:dyDescent="0.3">
      <c r="D7144" s="7"/>
    </row>
    <row r="7145" spans="4:4" x14ac:dyDescent="0.3">
      <c r="D7145" s="7"/>
    </row>
    <row r="7146" spans="4:4" x14ac:dyDescent="0.3">
      <c r="D7146" s="7"/>
    </row>
    <row r="7147" spans="4:4" x14ac:dyDescent="0.3">
      <c r="D7147" s="7"/>
    </row>
    <row r="7148" spans="4:4" x14ac:dyDescent="0.3">
      <c r="D7148" s="7"/>
    </row>
    <row r="7149" spans="4:4" x14ac:dyDescent="0.3">
      <c r="D7149" s="7"/>
    </row>
    <row r="7150" spans="4:4" x14ac:dyDescent="0.3">
      <c r="D7150" s="7"/>
    </row>
    <row r="7151" spans="4:4" x14ac:dyDescent="0.3">
      <c r="D7151" s="7"/>
    </row>
    <row r="7152" spans="4:4" x14ac:dyDescent="0.3">
      <c r="D7152" s="7"/>
    </row>
    <row r="7153" spans="4:4" x14ac:dyDescent="0.3">
      <c r="D7153" s="7"/>
    </row>
    <row r="7154" spans="4:4" x14ac:dyDescent="0.3">
      <c r="D7154" s="7"/>
    </row>
    <row r="7155" spans="4:4" x14ac:dyDescent="0.3">
      <c r="D7155" s="7"/>
    </row>
    <row r="7156" spans="4:4" x14ac:dyDescent="0.3">
      <c r="D7156" s="7"/>
    </row>
    <row r="7157" spans="4:4" x14ac:dyDescent="0.3">
      <c r="D7157" s="7"/>
    </row>
    <row r="7158" spans="4:4" x14ac:dyDescent="0.3">
      <c r="D7158" s="7"/>
    </row>
    <row r="7159" spans="4:4" x14ac:dyDescent="0.3">
      <c r="D7159" s="7"/>
    </row>
    <row r="7160" spans="4:4" x14ac:dyDescent="0.3">
      <c r="D7160" s="7"/>
    </row>
    <row r="7161" spans="4:4" x14ac:dyDescent="0.3">
      <c r="D7161" s="7"/>
    </row>
    <row r="7162" spans="4:4" x14ac:dyDescent="0.3">
      <c r="D7162" s="7"/>
    </row>
    <row r="7163" spans="4:4" x14ac:dyDescent="0.3">
      <c r="D7163" s="7"/>
    </row>
    <row r="7164" spans="4:4" x14ac:dyDescent="0.3">
      <c r="D7164" s="7"/>
    </row>
    <row r="7165" spans="4:4" x14ac:dyDescent="0.3">
      <c r="D7165" s="7"/>
    </row>
    <row r="7166" spans="4:4" x14ac:dyDescent="0.3">
      <c r="D7166" s="7"/>
    </row>
    <row r="7167" spans="4:4" x14ac:dyDescent="0.3">
      <c r="D7167" s="7"/>
    </row>
    <row r="7168" spans="4:4" x14ac:dyDescent="0.3">
      <c r="D7168" s="7"/>
    </row>
    <row r="7169" spans="4:4" x14ac:dyDescent="0.3">
      <c r="D7169" s="7"/>
    </row>
    <row r="7170" spans="4:4" x14ac:dyDescent="0.3">
      <c r="D7170" s="7"/>
    </row>
    <row r="7171" spans="4:4" x14ac:dyDescent="0.3">
      <c r="D7171" s="7"/>
    </row>
    <row r="7172" spans="4:4" x14ac:dyDescent="0.3">
      <c r="D7172" s="7"/>
    </row>
    <row r="7173" spans="4:4" x14ac:dyDescent="0.3">
      <c r="D7173" s="7"/>
    </row>
    <row r="7174" spans="4:4" x14ac:dyDescent="0.3">
      <c r="D7174" s="7"/>
    </row>
    <row r="7175" spans="4:4" x14ac:dyDescent="0.3">
      <c r="D7175" s="7"/>
    </row>
    <row r="7176" spans="4:4" x14ac:dyDescent="0.3">
      <c r="D7176" s="7"/>
    </row>
    <row r="7177" spans="4:4" x14ac:dyDescent="0.3">
      <c r="D7177" s="7"/>
    </row>
    <row r="7178" spans="4:4" x14ac:dyDescent="0.3">
      <c r="D7178" s="7"/>
    </row>
    <row r="7179" spans="4:4" x14ac:dyDescent="0.3">
      <c r="D7179" s="7"/>
    </row>
    <row r="7180" spans="4:4" x14ac:dyDescent="0.3">
      <c r="D7180" s="7"/>
    </row>
    <row r="7181" spans="4:4" x14ac:dyDescent="0.3">
      <c r="D7181" s="7"/>
    </row>
    <row r="7182" spans="4:4" x14ac:dyDescent="0.3">
      <c r="D7182" s="7"/>
    </row>
    <row r="7183" spans="4:4" x14ac:dyDescent="0.3">
      <c r="D7183" s="7"/>
    </row>
    <row r="7184" spans="4:4" x14ac:dyDescent="0.3">
      <c r="D7184" s="7"/>
    </row>
    <row r="7185" spans="4:4" x14ac:dyDescent="0.3">
      <c r="D7185" s="7"/>
    </row>
    <row r="7186" spans="4:4" x14ac:dyDescent="0.3">
      <c r="D7186" s="7"/>
    </row>
    <row r="7187" spans="4:4" x14ac:dyDescent="0.3">
      <c r="D7187" s="7"/>
    </row>
    <row r="7188" spans="4:4" x14ac:dyDescent="0.3">
      <c r="D7188" s="7"/>
    </row>
    <row r="7189" spans="4:4" x14ac:dyDescent="0.3">
      <c r="D7189" s="7"/>
    </row>
    <row r="7190" spans="4:4" x14ac:dyDescent="0.3">
      <c r="D7190" s="7"/>
    </row>
    <row r="7191" spans="4:4" x14ac:dyDescent="0.3">
      <c r="D7191" s="7"/>
    </row>
    <row r="7192" spans="4:4" x14ac:dyDescent="0.3">
      <c r="D7192" s="7"/>
    </row>
    <row r="7193" spans="4:4" x14ac:dyDescent="0.3">
      <c r="D7193" s="7"/>
    </row>
    <row r="7194" spans="4:4" x14ac:dyDescent="0.3">
      <c r="D7194" s="7"/>
    </row>
    <row r="7195" spans="4:4" x14ac:dyDescent="0.3">
      <c r="D7195" s="7"/>
    </row>
    <row r="7196" spans="4:4" x14ac:dyDescent="0.3">
      <c r="D7196" s="7"/>
    </row>
    <row r="7197" spans="4:4" x14ac:dyDescent="0.3">
      <c r="D7197" s="7"/>
    </row>
    <row r="7198" spans="4:4" x14ac:dyDescent="0.3">
      <c r="D7198" s="7"/>
    </row>
    <row r="7199" spans="4:4" x14ac:dyDescent="0.3">
      <c r="D7199" s="7"/>
    </row>
    <row r="7200" spans="4:4" x14ac:dyDescent="0.3">
      <c r="D7200" s="7"/>
    </row>
    <row r="7201" spans="4:4" x14ac:dyDescent="0.3">
      <c r="D7201" s="7"/>
    </row>
    <row r="7202" spans="4:4" x14ac:dyDescent="0.3">
      <c r="D7202" s="7"/>
    </row>
    <row r="7203" spans="4:4" x14ac:dyDescent="0.3">
      <c r="D7203" s="7"/>
    </row>
    <row r="7204" spans="4:4" x14ac:dyDescent="0.3">
      <c r="D7204" s="7"/>
    </row>
    <row r="7205" spans="4:4" x14ac:dyDescent="0.3">
      <c r="D7205" s="7"/>
    </row>
    <row r="7206" spans="4:4" x14ac:dyDescent="0.3">
      <c r="D7206" s="7"/>
    </row>
    <row r="7207" spans="4:4" x14ac:dyDescent="0.3">
      <c r="D7207" s="7"/>
    </row>
    <row r="7208" spans="4:4" x14ac:dyDescent="0.3">
      <c r="D7208" s="7"/>
    </row>
    <row r="7209" spans="4:4" x14ac:dyDescent="0.3">
      <c r="D7209" s="7"/>
    </row>
    <row r="7210" spans="4:4" x14ac:dyDescent="0.3">
      <c r="D7210" s="7"/>
    </row>
    <row r="7211" spans="4:4" x14ac:dyDescent="0.3">
      <c r="D7211" s="7"/>
    </row>
    <row r="7212" spans="4:4" x14ac:dyDescent="0.3">
      <c r="D7212" s="7"/>
    </row>
    <row r="7213" spans="4:4" x14ac:dyDescent="0.3">
      <c r="D7213" s="7"/>
    </row>
    <row r="7214" spans="4:4" x14ac:dyDescent="0.3">
      <c r="D7214" s="7"/>
    </row>
    <row r="7215" spans="4:4" x14ac:dyDescent="0.3">
      <c r="D7215" s="7"/>
    </row>
    <row r="7216" spans="4:4" x14ac:dyDescent="0.3">
      <c r="D7216" s="7"/>
    </row>
    <row r="7217" spans="4:4" x14ac:dyDescent="0.3">
      <c r="D7217" s="7"/>
    </row>
    <row r="7218" spans="4:4" x14ac:dyDescent="0.3">
      <c r="D7218" s="7"/>
    </row>
    <row r="7219" spans="4:4" x14ac:dyDescent="0.3">
      <c r="D7219" s="7"/>
    </row>
    <row r="7220" spans="4:4" x14ac:dyDescent="0.3">
      <c r="D7220" s="7"/>
    </row>
    <row r="7221" spans="4:4" x14ac:dyDescent="0.3">
      <c r="D7221" s="7"/>
    </row>
    <row r="7222" spans="4:4" x14ac:dyDescent="0.3">
      <c r="D7222" s="7"/>
    </row>
    <row r="7223" spans="4:4" x14ac:dyDescent="0.3">
      <c r="D7223" s="7"/>
    </row>
    <row r="7224" spans="4:4" x14ac:dyDescent="0.3">
      <c r="D7224" s="7"/>
    </row>
    <row r="7225" spans="4:4" x14ac:dyDescent="0.3">
      <c r="D7225" s="7"/>
    </row>
    <row r="7226" spans="4:4" x14ac:dyDescent="0.3">
      <c r="D7226" s="7"/>
    </row>
    <row r="7227" spans="4:4" x14ac:dyDescent="0.3">
      <c r="D7227" s="7"/>
    </row>
    <row r="7228" spans="4:4" x14ac:dyDescent="0.3">
      <c r="D7228" s="7"/>
    </row>
    <row r="7229" spans="4:4" x14ac:dyDescent="0.3">
      <c r="D7229" s="7"/>
    </row>
    <row r="7230" spans="4:4" x14ac:dyDescent="0.3">
      <c r="D7230" s="7"/>
    </row>
    <row r="7231" spans="4:4" x14ac:dyDescent="0.3">
      <c r="D7231" s="7"/>
    </row>
    <row r="7232" spans="4:4" x14ac:dyDescent="0.3">
      <c r="D7232" s="7"/>
    </row>
    <row r="7233" spans="4:4" x14ac:dyDescent="0.3">
      <c r="D7233" s="7"/>
    </row>
    <row r="7234" spans="4:4" x14ac:dyDescent="0.3">
      <c r="D7234" s="7"/>
    </row>
    <row r="7235" spans="4:4" x14ac:dyDescent="0.3">
      <c r="D7235" s="7"/>
    </row>
    <row r="7236" spans="4:4" x14ac:dyDescent="0.3">
      <c r="D7236" s="7"/>
    </row>
    <row r="7237" spans="4:4" x14ac:dyDescent="0.3">
      <c r="D7237" s="7"/>
    </row>
    <row r="7238" spans="4:4" x14ac:dyDescent="0.3">
      <c r="D7238" s="7"/>
    </row>
    <row r="7239" spans="4:4" x14ac:dyDescent="0.3">
      <c r="D7239" s="7"/>
    </row>
    <row r="7240" spans="4:4" x14ac:dyDescent="0.3">
      <c r="D7240" s="7"/>
    </row>
    <row r="7241" spans="4:4" x14ac:dyDescent="0.3">
      <c r="D7241" s="7"/>
    </row>
    <row r="7242" spans="4:4" x14ac:dyDescent="0.3">
      <c r="D7242" s="7"/>
    </row>
    <row r="7243" spans="4:4" x14ac:dyDescent="0.3">
      <c r="D7243" s="7"/>
    </row>
    <row r="7244" spans="4:4" x14ac:dyDescent="0.3">
      <c r="D7244" s="7"/>
    </row>
    <row r="7245" spans="4:4" x14ac:dyDescent="0.3">
      <c r="D7245" s="7"/>
    </row>
    <row r="7246" spans="4:4" x14ac:dyDescent="0.3">
      <c r="D7246" s="7"/>
    </row>
    <row r="7247" spans="4:4" x14ac:dyDescent="0.3">
      <c r="D7247" s="7"/>
    </row>
    <row r="7248" spans="4:4" x14ac:dyDescent="0.3">
      <c r="D7248" s="7"/>
    </row>
    <row r="7249" spans="4:4" x14ac:dyDescent="0.3">
      <c r="D7249" s="7"/>
    </row>
    <row r="7250" spans="4:4" x14ac:dyDescent="0.3">
      <c r="D7250" s="7"/>
    </row>
    <row r="7251" spans="4:4" x14ac:dyDescent="0.3">
      <c r="D7251" s="7"/>
    </row>
    <row r="7252" spans="4:4" x14ac:dyDescent="0.3">
      <c r="D7252" s="7"/>
    </row>
    <row r="7253" spans="4:4" x14ac:dyDescent="0.3">
      <c r="D7253" s="7"/>
    </row>
    <row r="7254" spans="4:4" x14ac:dyDescent="0.3">
      <c r="D7254" s="7"/>
    </row>
    <row r="7255" spans="4:4" x14ac:dyDescent="0.3">
      <c r="D7255" s="7"/>
    </row>
    <row r="7256" spans="4:4" x14ac:dyDescent="0.3">
      <c r="D7256" s="7"/>
    </row>
    <row r="7257" spans="4:4" x14ac:dyDescent="0.3">
      <c r="D7257" s="7"/>
    </row>
    <row r="7258" spans="4:4" x14ac:dyDescent="0.3">
      <c r="D7258" s="7"/>
    </row>
    <row r="7259" spans="4:4" x14ac:dyDescent="0.3">
      <c r="D7259" s="7"/>
    </row>
    <row r="7260" spans="4:4" x14ac:dyDescent="0.3">
      <c r="D7260" s="7"/>
    </row>
    <row r="7261" spans="4:4" x14ac:dyDescent="0.3">
      <c r="D7261" s="7"/>
    </row>
    <row r="7262" spans="4:4" x14ac:dyDescent="0.3">
      <c r="D7262" s="7"/>
    </row>
    <row r="7263" spans="4:4" x14ac:dyDescent="0.3">
      <c r="D7263" s="7"/>
    </row>
    <row r="7264" spans="4:4" x14ac:dyDescent="0.3">
      <c r="D7264" s="7"/>
    </row>
    <row r="7265" spans="4:4" x14ac:dyDescent="0.3">
      <c r="D7265" s="7"/>
    </row>
    <row r="7266" spans="4:4" x14ac:dyDescent="0.3">
      <c r="D7266" s="7"/>
    </row>
    <row r="7267" spans="4:4" x14ac:dyDescent="0.3">
      <c r="D7267" s="7"/>
    </row>
    <row r="7268" spans="4:4" x14ac:dyDescent="0.3">
      <c r="D7268" s="7"/>
    </row>
    <row r="7269" spans="4:4" x14ac:dyDescent="0.3">
      <c r="D7269" s="7"/>
    </row>
    <row r="7270" spans="4:4" x14ac:dyDescent="0.3">
      <c r="D7270" s="7"/>
    </row>
    <row r="7271" spans="4:4" x14ac:dyDescent="0.3">
      <c r="D7271" s="7"/>
    </row>
    <row r="7272" spans="4:4" x14ac:dyDescent="0.3">
      <c r="D7272" s="7"/>
    </row>
    <row r="7273" spans="4:4" x14ac:dyDescent="0.3">
      <c r="D7273" s="7"/>
    </row>
    <row r="7274" spans="4:4" x14ac:dyDescent="0.3">
      <c r="D7274" s="7"/>
    </row>
    <row r="7275" spans="4:4" x14ac:dyDescent="0.3">
      <c r="D7275" s="7"/>
    </row>
    <row r="7276" spans="4:4" x14ac:dyDescent="0.3">
      <c r="D7276" s="7"/>
    </row>
    <row r="7277" spans="4:4" x14ac:dyDescent="0.3">
      <c r="D7277" s="7"/>
    </row>
    <row r="7278" spans="4:4" x14ac:dyDescent="0.3">
      <c r="D7278" s="7"/>
    </row>
    <row r="7279" spans="4:4" x14ac:dyDescent="0.3">
      <c r="D7279" s="7"/>
    </row>
    <row r="7280" spans="4:4" x14ac:dyDescent="0.3">
      <c r="D7280" s="7"/>
    </row>
    <row r="7281" spans="4:4" x14ac:dyDescent="0.3">
      <c r="D7281" s="7"/>
    </row>
    <row r="7282" spans="4:4" x14ac:dyDescent="0.3">
      <c r="D7282" s="7"/>
    </row>
    <row r="7283" spans="4:4" x14ac:dyDescent="0.3">
      <c r="D7283" s="7"/>
    </row>
    <row r="7284" spans="4:4" x14ac:dyDescent="0.3">
      <c r="D7284" s="7"/>
    </row>
    <row r="7285" spans="4:4" x14ac:dyDescent="0.3">
      <c r="D7285" s="7"/>
    </row>
    <row r="7286" spans="4:4" x14ac:dyDescent="0.3">
      <c r="D7286" s="7"/>
    </row>
    <row r="7287" spans="4:4" x14ac:dyDescent="0.3">
      <c r="D7287" s="7"/>
    </row>
    <row r="7288" spans="4:4" x14ac:dyDescent="0.3">
      <c r="D7288" s="7"/>
    </row>
    <row r="7289" spans="4:4" x14ac:dyDescent="0.3">
      <c r="D7289" s="7"/>
    </row>
    <row r="7290" spans="4:4" x14ac:dyDescent="0.3">
      <c r="D7290" s="7"/>
    </row>
    <row r="7291" spans="4:4" x14ac:dyDescent="0.3">
      <c r="D7291" s="7"/>
    </row>
    <row r="7292" spans="4:4" x14ac:dyDescent="0.3">
      <c r="D7292" s="7"/>
    </row>
    <row r="7293" spans="4:4" x14ac:dyDescent="0.3">
      <c r="D7293" s="7"/>
    </row>
    <row r="7294" spans="4:4" x14ac:dyDescent="0.3">
      <c r="D7294" s="7"/>
    </row>
    <row r="7295" spans="4:4" x14ac:dyDescent="0.3">
      <c r="D7295" s="7"/>
    </row>
    <row r="7296" spans="4:4" x14ac:dyDescent="0.3">
      <c r="D7296" s="7"/>
    </row>
    <row r="7297" spans="4:4" x14ac:dyDescent="0.3">
      <c r="D7297" s="7"/>
    </row>
    <row r="7298" spans="4:4" x14ac:dyDescent="0.3">
      <c r="D7298" s="7"/>
    </row>
    <row r="7299" spans="4:4" x14ac:dyDescent="0.3">
      <c r="D7299" s="7"/>
    </row>
    <row r="7300" spans="4:4" x14ac:dyDescent="0.3">
      <c r="D7300" s="7"/>
    </row>
    <row r="7301" spans="4:4" x14ac:dyDescent="0.3">
      <c r="D7301" s="7"/>
    </row>
    <row r="7302" spans="4:4" x14ac:dyDescent="0.3">
      <c r="D7302" s="7"/>
    </row>
    <row r="7303" spans="4:4" x14ac:dyDescent="0.3">
      <c r="D7303" s="7"/>
    </row>
    <row r="7304" spans="4:4" x14ac:dyDescent="0.3">
      <c r="D7304" s="7"/>
    </row>
    <row r="7305" spans="4:4" x14ac:dyDescent="0.3">
      <c r="D7305" s="7"/>
    </row>
    <row r="7306" spans="4:4" x14ac:dyDescent="0.3">
      <c r="D7306" s="7"/>
    </row>
    <row r="7307" spans="4:4" x14ac:dyDescent="0.3">
      <c r="D7307" s="7"/>
    </row>
    <row r="7308" spans="4:4" x14ac:dyDescent="0.3">
      <c r="D7308" s="7"/>
    </row>
    <row r="7309" spans="4:4" x14ac:dyDescent="0.3">
      <c r="D7309" s="7"/>
    </row>
    <row r="7310" spans="4:4" x14ac:dyDescent="0.3">
      <c r="D7310" s="7"/>
    </row>
    <row r="7311" spans="4:4" x14ac:dyDescent="0.3">
      <c r="D7311" s="7"/>
    </row>
    <row r="7312" spans="4:4" x14ac:dyDescent="0.3">
      <c r="D7312" s="7"/>
    </row>
    <row r="7313" spans="4:4" x14ac:dyDescent="0.3">
      <c r="D7313" s="7"/>
    </row>
    <row r="7314" spans="4:4" x14ac:dyDescent="0.3">
      <c r="D7314" s="7"/>
    </row>
    <row r="7315" spans="4:4" x14ac:dyDescent="0.3">
      <c r="D7315" s="7"/>
    </row>
    <row r="7316" spans="4:4" x14ac:dyDescent="0.3">
      <c r="D7316" s="7"/>
    </row>
    <row r="7317" spans="4:4" x14ac:dyDescent="0.3">
      <c r="D7317" s="7"/>
    </row>
    <row r="7318" spans="4:4" x14ac:dyDescent="0.3">
      <c r="D7318" s="7"/>
    </row>
    <row r="7319" spans="4:4" x14ac:dyDescent="0.3">
      <c r="D7319" s="7"/>
    </row>
    <row r="7320" spans="4:4" x14ac:dyDescent="0.3">
      <c r="D7320" s="7"/>
    </row>
    <row r="7321" spans="4:4" x14ac:dyDescent="0.3">
      <c r="D7321" s="7"/>
    </row>
    <row r="7322" spans="4:4" x14ac:dyDescent="0.3">
      <c r="D7322" s="7"/>
    </row>
    <row r="7323" spans="4:4" x14ac:dyDescent="0.3">
      <c r="D7323" s="7"/>
    </row>
    <row r="7324" spans="4:4" x14ac:dyDescent="0.3">
      <c r="D7324" s="7"/>
    </row>
    <row r="7325" spans="4:4" x14ac:dyDescent="0.3">
      <c r="D7325" s="7"/>
    </row>
    <row r="7326" spans="4:4" x14ac:dyDescent="0.3">
      <c r="D7326" s="7"/>
    </row>
    <row r="7327" spans="4:4" x14ac:dyDescent="0.3">
      <c r="D7327" s="7"/>
    </row>
    <row r="7328" spans="4:4" x14ac:dyDescent="0.3">
      <c r="D7328" s="7"/>
    </row>
    <row r="7329" spans="4:4" x14ac:dyDescent="0.3">
      <c r="D7329" s="7"/>
    </row>
    <row r="7330" spans="4:4" x14ac:dyDescent="0.3">
      <c r="D7330" s="7"/>
    </row>
    <row r="7331" spans="4:4" x14ac:dyDescent="0.3">
      <c r="D7331" s="7"/>
    </row>
    <row r="7332" spans="4:4" x14ac:dyDescent="0.3">
      <c r="D7332" s="7"/>
    </row>
    <row r="7333" spans="4:4" x14ac:dyDescent="0.3">
      <c r="D7333" s="7"/>
    </row>
    <row r="7334" spans="4:4" x14ac:dyDescent="0.3">
      <c r="D7334" s="7"/>
    </row>
    <row r="7335" spans="4:4" x14ac:dyDescent="0.3">
      <c r="D7335" s="7"/>
    </row>
    <row r="7336" spans="4:4" x14ac:dyDescent="0.3">
      <c r="D7336" s="7"/>
    </row>
    <row r="7337" spans="4:4" x14ac:dyDescent="0.3">
      <c r="D7337" s="7"/>
    </row>
    <row r="7338" spans="4:4" x14ac:dyDescent="0.3">
      <c r="D7338" s="7"/>
    </row>
    <row r="7339" spans="4:4" x14ac:dyDescent="0.3">
      <c r="D7339" s="7"/>
    </row>
    <row r="7340" spans="4:4" x14ac:dyDescent="0.3">
      <c r="D7340" s="7"/>
    </row>
    <row r="7341" spans="4:4" x14ac:dyDescent="0.3">
      <c r="D7341" s="7"/>
    </row>
    <row r="7342" spans="4:4" x14ac:dyDescent="0.3">
      <c r="D7342" s="7"/>
    </row>
    <row r="7343" spans="4:4" x14ac:dyDescent="0.3">
      <c r="D7343" s="7"/>
    </row>
    <row r="7344" spans="4:4" x14ac:dyDescent="0.3">
      <c r="D7344" s="7"/>
    </row>
    <row r="7345" spans="4:4" x14ac:dyDescent="0.3">
      <c r="D7345" s="7"/>
    </row>
    <row r="7346" spans="4:4" x14ac:dyDescent="0.3">
      <c r="D7346" s="7"/>
    </row>
    <row r="7347" spans="4:4" x14ac:dyDescent="0.3">
      <c r="D7347" s="7"/>
    </row>
    <row r="7348" spans="4:4" x14ac:dyDescent="0.3">
      <c r="D7348" s="7"/>
    </row>
    <row r="7349" spans="4:4" x14ac:dyDescent="0.3">
      <c r="D7349" s="7"/>
    </row>
    <row r="7350" spans="4:4" x14ac:dyDescent="0.3">
      <c r="D7350" s="7"/>
    </row>
    <row r="7351" spans="4:4" x14ac:dyDescent="0.3">
      <c r="D7351" s="7"/>
    </row>
    <row r="7352" spans="4:4" x14ac:dyDescent="0.3">
      <c r="D7352" s="7"/>
    </row>
    <row r="7353" spans="4:4" x14ac:dyDescent="0.3">
      <c r="D7353" s="7"/>
    </row>
    <row r="7354" spans="4:4" x14ac:dyDescent="0.3">
      <c r="D7354" s="7"/>
    </row>
    <row r="7355" spans="4:4" x14ac:dyDescent="0.3">
      <c r="D7355" s="7"/>
    </row>
    <row r="7356" spans="4:4" x14ac:dyDescent="0.3">
      <c r="D7356" s="7"/>
    </row>
    <row r="7357" spans="4:4" x14ac:dyDescent="0.3">
      <c r="D7357" s="7"/>
    </row>
    <row r="7358" spans="4:4" x14ac:dyDescent="0.3">
      <c r="D7358" s="7"/>
    </row>
    <row r="7359" spans="4:4" x14ac:dyDescent="0.3">
      <c r="D7359" s="7"/>
    </row>
    <row r="7360" spans="4:4" x14ac:dyDescent="0.3">
      <c r="D7360" s="7"/>
    </row>
    <row r="7361" spans="4:4" x14ac:dyDescent="0.3">
      <c r="D7361" s="7"/>
    </row>
    <row r="7362" spans="4:4" x14ac:dyDescent="0.3">
      <c r="D7362" s="7"/>
    </row>
    <row r="7363" spans="4:4" x14ac:dyDescent="0.3">
      <c r="D7363" s="7"/>
    </row>
    <row r="7364" spans="4:4" x14ac:dyDescent="0.3">
      <c r="D7364" s="7"/>
    </row>
    <row r="7365" spans="4:4" x14ac:dyDescent="0.3">
      <c r="D7365" s="7"/>
    </row>
    <row r="7366" spans="4:4" x14ac:dyDescent="0.3">
      <c r="D7366" s="7"/>
    </row>
    <row r="7367" spans="4:4" x14ac:dyDescent="0.3">
      <c r="D7367" s="7"/>
    </row>
    <row r="7368" spans="4:4" x14ac:dyDescent="0.3">
      <c r="D7368" s="7"/>
    </row>
    <row r="7369" spans="4:4" x14ac:dyDescent="0.3">
      <c r="D7369" s="7"/>
    </row>
    <row r="7370" spans="4:4" x14ac:dyDescent="0.3">
      <c r="D7370" s="7"/>
    </row>
    <row r="7371" spans="4:4" x14ac:dyDescent="0.3">
      <c r="D7371" s="7"/>
    </row>
    <row r="7372" spans="4:4" x14ac:dyDescent="0.3">
      <c r="D7372" s="7"/>
    </row>
    <row r="7373" spans="4:4" x14ac:dyDescent="0.3">
      <c r="D7373" s="7"/>
    </row>
    <row r="7374" spans="4:4" x14ac:dyDescent="0.3">
      <c r="D7374" s="7"/>
    </row>
    <row r="7375" spans="4:4" x14ac:dyDescent="0.3">
      <c r="D7375" s="7"/>
    </row>
    <row r="7376" spans="4:4" x14ac:dyDescent="0.3">
      <c r="D7376" s="7"/>
    </row>
    <row r="7377" spans="4:4" x14ac:dyDescent="0.3">
      <c r="D7377" s="7"/>
    </row>
    <row r="7378" spans="4:4" x14ac:dyDescent="0.3">
      <c r="D7378" s="7"/>
    </row>
    <row r="7379" spans="4:4" x14ac:dyDescent="0.3">
      <c r="D7379" s="7"/>
    </row>
    <row r="7380" spans="4:4" x14ac:dyDescent="0.3">
      <c r="D7380" s="7"/>
    </row>
    <row r="7381" spans="4:4" x14ac:dyDescent="0.3">
      <c r="D7381" s="7"/>
    </row>
    <row r="7382" spans="4:4" x14ac:dyDescent="0.3">
      <c r="D7382" s="7"/>
    </row>
    <row r="7383" spans="4:4" x14ac:dyDescent="0.3">
      <c r="D7383" s="7"/>
    </row>
    <row r="7384" spans="4:4" x14ac:dyDescent="0.3">
      <c r="D7384" s="7"/>
    </row>
    <row r="7385" spans="4:4" x14ac:dyDescent="0.3">
      <c r="D7385" s="7"/>
    </row>
    <row r="7386" spans="4:4" x14ac:dyDescent="0.3">
      <c r="D7386" s="7"/>
    </row>
    <row r="7387" spans="4:4" x14ac:dyDescent="0.3">
      <c r="D7387" s="7"/>
    </row>
    <row r="7388" spans="4:4" x14ac:dyDescent="0.3">
      <c r="D7388" s="7"/>
    </row>
    <row r="7389" spans="4:4" x14ac:dyDescent="0.3">
      <c r="D7389" s="7"/>
    </row>
    <row r="7390" spans="4:4" x14ac:dyDescent="0.3">
      <c r="D7390" s="7"/>
    </row>
    <row r="7391" spans="4:4" x14ac:dyDescent="0.3">
      <c r="D7391" s="7"/>
    </row>
    <row r="7392" spans="4:4" x14ac:dyDescent="0.3">
      <c r="D7392" s="7"/>
    </row>
    <row r="7393" spans="4:4" x14ac:dyDescent="0.3">
      <c r="D7393" s="7"/>
    </row>
    <row r="7394" spans="4:4" x14ac:dyDescent="0.3">
      <c r="D7394" s="7"/>
    </row>
    <row r="7395" spans="4:4" x14ac:dyDescent="0.3">
      <c r="D7395" s="7"/>
    </row>
    <row r="7396" spans="4:4" x14ac:dyDescent="0.3">
      <c r="D7396" s="7"/>
    </row>
    <row r="7397" spans="4:4" x14ac:dyDescent="0.3">
      <c r="D7397" s="7"/>
    </row>
    <row r="7398" spans="4:4" x14ac:dyDescent="0.3">
      <c r="D7398" s="7"/>
    </row>
    <row r="7399" spans="4:4" x14ac:dyDescent="0.3">
      <c r="D7399" s="7"/>
    </row>
    <row r="7400" spans="4:4" x14ac:dyDescent="0.3">
      <c r="D7400" s="7"/>
    </row>
    <row r="7401" spans="4:4" x14ac:dyDescent="0.3">
      <c r="D7401" s="7"/>
    </row>
    <row r="7402" spans="4:4" x14ac:dyDescent="0.3">
      <c r="D7402" s="7"/>
    </row>
    <row r="7403" spans="4:4" x14ac:dyDescent="0.3">
      <c r="D7403" s="7"/>
    </row>
    <row r="7404" spans="4:4" x14ac:dyDescent="0.3">
      <c r="D7404" s="7"/>
    </row>
    <row r="7405" spans="4:4" x14ac:dyDescent="0.3">
      <c r="D7405" s="7"/>
    </row>
    <row r="7406" spans="4:4" x14ac:dyDescent="0.3">
      <c r="D7406" s="7"/>
    </row>
    <row r="7407" spans="4:4" x14ac:dyDescent="0.3">
      <c r="D7407" s="7"/>
    </row>
    <row r="7408" spans="4:4" x14ac:dyDescent="0.3">
      <c r="D7408" s="7"/>
    </row>
    <row r="7409" spans="4:4" x14ac:dyDescent="0.3">
      <c r="D7409" s="7"/>
    </row>
    <row r="7410" spans="4:4" x14ac:dyDescent="0.3">
      <c r="D7410" s="7"/>
    </row>
    <row r="7411" spans="4:4" x14ac:dyDescent="0.3">
      <c r="D7411" s="7"/>
    </row>
    <row r="7412" spans="4:4" x14ac:dyDescent="0.3">
      <c r="D7412" s="7"/>
    </row>
    <row r="7413" spans="4:4" x14ac:dyDescent="0.3">
      <c r="D7413" s="7"/>
    </row>
    <row r="7414" spans="4:4" x14ac:dyDescent="0.3">
      <c r="D7414" s="7"/>
    </row>
    <row r="7415" spans="4:4" x14ac:dyDescent="0.3">
      <c r="D7415" s="7"/>
    </row>
    <row r="7416" spans="4:4" x14ac:dyDescent="0.3">
      <c r="D7416" s="7"/>
    </row>
    <row r="7417" spans="4:4" x14ac:dyDescent="0.3">
      <c r="D7417" s="7"/>
    </row>
    <row r="7418" spans="4:4" x14ac:dyDescent="0.3">
      <c r="D7418" s="7"/>
    </row>
    <row r="7419" spans="4:4" x14ac:dyDescent="0.3">
      <c r="D7419" s="7"/>
    </row>
    <row r="7420" spans="4:4" x14ac:dyDescent="0.3">
      <c r="D7420" s="7"/>
    </row>
    <row r="7421" spans="4:4" x14ac:dyDescent="0.3">
      <c r="D7421" s="7"/>
    </row>
    <row r="7422" spans="4:4" x14ac:dyDescent="0.3">
      <c r="D7422" s="7"/>
    </row>
    <row r="7423" spans="4:4" x14ac:dyDescent="0.3">
      <c r="D7423" s="7"/>
    </row>
    <row r="7424" spans="4:4" x14ac:dyDescent="0.3">
      <c r="D7424" s="7"/>
    </row>
    <row r="7425" spans="4:4" x14ac:dyDescent="0.3">
      <c r="D7425" s="7"/>
    </row>
    <row r="7426" spans="4:4" x14ac:dyDescent="0.3">
      <c r="D7426" s="7"/>
    </row>
    <row r="7427" spans="4:4" x14ac:dyDescent="0.3">
      <c r="D7427" s="7"/>
    </row>
    <row r="7428" spans="4:4" x14ac:dyDescent="0.3">
      <c r="D7428" s="7"/>
    </row>
    <row r="7429" spans="4:4" x14ac:dyDescent="0.3">
      <c r="D7429" s="7"/>
    </row>
    <row r="7430" spans="4:4" x14ac:dyDescent="0.3">
      <c r="D7430" s="7"/>
    </row>
    <row r="7431" spans="4:4" x14ac:dyDescent="0.3">
      <c r="D7431" s="7"/>
    </row>
    <row r="7432" spans="4:4" x14ac:dyDescent="0.3">
      <c r="D7432" s="7"/>
    </row>
    <row r="7433" spans="4:4" x14ac:dyDescent="0.3">
      <c r="D7433" s="7"/>
    </row>
    <row r="7434" spans="4:4" x14ac:dyDescent="0.3">
      <c r="D7434" s="7"/>
    </row>
    <row r="7435" spans="4:4" x14ac:dyDescent="0.3">
      <c r="D7435" s="7"/>
    </row>
    <row r="7436" spans="4:4" x14ac:dyDescent="0.3">
      <c r="D7436" s="7"/>
    </row>
    <row r="7437" spans="4:4" x14ac:dyDescent="0.3">
      <c r="D7437" s="7"/>
    </row>
    <row r="7438" spans="4:4" x14ac:dyDescent="0.3">
      <c r="D7438" s="7"/>
    </row>
    <row r="7439" spans="4:4" x14ac:dyDescent="0.3">
      <c r="D7439" s="7"/>
    </row>
    <row r="7440" spans="4:4" x14ac:dyDescent="0.3">
      <c r="D7440" s="7"/>
    </row>
    <row r="7441" spans="4:4" x14ac:dyDescent="0.3">
      <c r="D7441" s="7"/>
    </row>
    <row r="7442" spans="4:4" x14ac:dyDescent="0.3">
      <c r="D7442" s="7"/>
    </row>
    <row r="7443" spans="4:4" x14ac:dyDescent="0.3">
      <c r="D7443" s="7"/>
    </row>
    <row r="7444" spans="4:4" x14ac:dyDescent="0.3">
      <c r="D7444" s="7"/>
    </row>
    <row r="7445" spans="4:4" x14ac:dyDescent="0.3">
      <c r="D7445" s="7"/>
    </row>
    <row r="7446" spans="4:4" x14ac:dyDescent="0.3">
      <c r="D7446" s="7"/>
    </row>
    <row r="7447" spans="4:4" x14ac:dyDescent="0.3">
      <c r="D7447" s="7"/>
    </row>
    <row r="7448" spans="4:4" x14ac:dyDescent="0.3">
      <c r="D7448" s="7"/>
    </row>
    <row r="7449" spans="4:4" x14ac:dyDescent="0.3">
      <c r="D7449" s="7"/>
    </row>
    <row r="7450" spans="4:4" x14ac:dyDescent="0.3">
      <c r="D7450" s="7"/>
    </row>
    <row r="7451" spans="4:4" x14ac:dyDescent="0.3">
      <c r="D7451" s="7"/>
    </row>
    <row r="7452" spans="4:4" x14ac:dyDescent="0.3">
      <c r="D7452" s="7"/>
    </row>
    <row r="7453" spans="4:4" x14ac:dyDescent="0.3">
      <c r="D7453" s="7"/>
    </row>
    <row r="7454" spans="4:4" x14ac:dyDescent="0.3">
      <c r="D7454" s="7"/>
    </row>
    <row r="7455" spans="4:4" x14ac:dyDescent="0.3">
      <c r="D7455" s="7"/>
    </row>
    <row r="7456" spans="4:4" x14ac:dyDescent="0.3">
      <c r="D7456" s="7"/>
    </row>
    <row r="7457" spans="4:4" x14ac:dyDescent="0.3">
      <c r="D7457" s="7"/>
    </row>
    <row r="7458" spans="4:4" x14ac:dyDescent="0.3">
      <c r="D7458" s="7"/>
    </row>
    <row r="7459" spans="4:4" x14ac:dyDescent="0.3">
      <c r="D7459" s="7"/>
    </row>
    <row r="7460" spans="4:4" x14ac:dyDescent="0.3">
      <c r="D7460" s="7"/>
    </row>
    <row r="7461" spans="4:4" x14ac:dyDescent="0.3">
      <c r="D7461" s="7"/>
    </row>
    <row r="7462" spans="4:4" x14ac:dyDescent="0.3">
      <c r="D7462" s="7"/>
    </row>
    <row r="7463" spans="4:4" x14ac:dyDescent="0.3">
      <c r="D7463" s="7"/>
    </row>
    <row r="7464" spans="4:4" x14ac:dyDescent="0.3">
      <c r="D7464" s="7"/>
    </row>
    <row r="7465" spans="4:4" x14ac:dyDescent="0.3">
      <c r="D7465" s="7"/>
    </row>
    <row r="7466" spans="4:4" x14ac:dyDescent="0.3">
      <c r="D7466" s="7"/>
    </row>
    <row r="7467" spans="4:4" x14ac:dyDescent="0.3">
      <c r="D7467" s="7"/>
    </row>
    <row r="7468" spans="4:4" x14ac:dyDescent="0.3">
      <c r="D7468" s="7"/>
    </row>
    <row r="7469" spans="4:4" x14ac:dyDescent="0.3">
      <c r="D7469" s="7"/>
    </row>
    <row r="7470" spans="4:4" x14ac:dyDescent="0.3">
      <c r="D7470" s="7"/>
    </row>
    <row r="7471" spans="4:4" x14ac:dyDescent="0.3">
      <c r="D7471" s="7"/>
    </row>
    <row r="7472" spans="4:4" x14ac:dyDescent="0.3">
      <c r="D7472" s="7"/>
    </row>
    <row r="7473" spans="4:4" x14ac:dyDescent="0.3">
      <c r="D7473" s="7"/>
    </row>
    <row r="7474" spans="4:4" x14ac:dyDescent="0.3">
      <c r="D7474" s="7"/>
    </row>
    <row r="7475" spans="4:4" x14ac:dyDescent="0.3">
      <c r="D7475" s="7"/>
    </row>
    <row r="7476" spans="4:4" x14ac:dyDescent="0.3">
      <c r="D7476" s="7"/>
    </row>
    <row r="7477" spans="4:4" x14ac:dyDescent="0.3">
      <c r="D7477" s="7"/>
    </row>
    <row r="7478" spans="4:4" x14ac:dyDescent="0.3">
      <c r="D7478" s="7"/>
    </row>
    <row r="7479" spans="4:4" x14ac:dyDescent="0.3">
      <c r="D7479" s="7"/>
    </row>
    <row r="7480" spans="4:4" x14ac:dyDescent="0.3">
      <c r="D7480" s="7"/>
    </row>
    <row r="7481" spans="4:4" x14ac:dyDescent="0.3">
      <c r="D7481" s="7"/>
    </row>
    <row r="7482" spans="4:4" x14ac:dyDescent="0.3">
      <c r="D7482" s="7"/>
    </row>
    <row r="7483" spans="4:4" x14ac:dyDescent="0.3">
      <c r="D7483" s="7"/>
    </row>
    <row r="7484" spans="4:4" x14ac:dyDescent="0.3">
      <c r="D7484" s="7"/>
    </row>
    <row r="7485" spans="4:4" x14ac:dyDescent="0.3">
      <c r="D7485" s="7"/>
    </row>
    <row r="7486" spans="4:4" x14ac:dyDescent="0.3">
      <c r="D7486" s="7"/>
    </row>
    <row r="7487" spans="4:4" x14ac:dyDescent="0.3">
      <c r="D7487" s="7"/>
    </row>
    <row r="7488" spans="4:4" x14ac:dyDescent="0.3">
      <c r="D7488" s="7"/>
    </row>
    <row r="7489" spans="4:4" x14ac:dyDescent="0.3">
      <c r="D7489" s="7"/>
    </row>
    <row r="7490" spans="4:4" x14ac:dyDescent="0.3">
      <c r="D7490" s="7"/>
    </row>
    <row r="7491" spans="4:4" x14ac:dyDescent="0.3">
      <c r="D7491" s="7"/>
    </row>
    <row r="7492" spans="4:4" x14ac:dyDescent="0.3">
      <c r="D7492" s="7"/>
    </row>
    <row r="7493" spans="4:4" x14ac:dyDescent="0.3">
      <c r="D7493" s="7"/>
    </row>
    <row r="7494" spans="4:4" x14ac:dyDescent="0.3">
      <c r="D7494" s="7"/>
    </row>
    <row r="7495" spans="4:4" x14ac:dyDescent="0.3">
      <c r="D7495" s="7"/>
    </row>
    <row r="7496" spans="4:4" x14ac:dyDescent="0.3">
      <c r="D7496" s="7"/>
    </row>
    <row r="7497" spans="4:4" x14ac:dyDescent="0.3">
      <c r="D7497" s="7"/>
    </row>
    <row r="7498" spans="4:4" x14ac:dyDescent="0.3">
      <c r="D7498" s="7"/>
    </row>
    <row r="7499" spans="4:4" x14ac:dyDescent="0.3">
      <c r="D7499" s="7"/>
    </row>
    <row r="7500" spans="4:4" x14ac:dyDescent="0.3">
      <c r="D7500" s="7"/>
    </row>
    <row r="7501" spans="4:4" x14ac:dyDescent="0.3">
      <c r="D7501" s="7"/>
    </row>
    <row r="7502" spans="4:4" x14ac:dyDescent="0.3">
      <c r="D7502" s="7"/>
    </row>
    <row r="7503" spans="4:4" x14ac:dyDescent="0.3">
      <c r="D7503" s="7"/>
    </row>
    <row r="7504" spans="4:4" x14ac:dyDescent="0.3">
      <c r="D7504" s="7"/>
    </row>
    <row r="7505" spans="4:4" x14ac:dyDescent="0.3">
      <c r="D7505" s="7"/>
    </row>
    <row r="7506" spans="4:4" x14ac:dyDescent="0.3">
      <c r="D7506" s="7"/>
    </row>
    <row r="7507" spans="4:4" x14ac:dyDescent="0.3">
      <c r="D7507" s="7"/>
    </row>
    <row r="7508" spans="4:4" x14ac:dyDescent="0.3">
      <c r="D7508" s="7"/>
    </row>
    <row r="7509" spans="4:4" x14ac:dyDescent="0.3">
      <c r="D7509" s="7"/>
    </row>
    <row r="7510" spans="4:4" x14ac:dyDescent="0.3">
      <c r="D7510" s="7"/>
    </row>
    <row r="7511" spans="4:4" x14ac:dyDescent="0.3">
      <c r="D7511" s="7"/>
    </row>
    <row r="7512" spans="4:4" x14ac:dyDescent="0.3">
      <c r="D7512" s="7"/>
    </row>
    <row r="7513" spans="4:4" x14ac:dyDescent="0.3">
      <c r="D7513" s="7"/>
    </row>
    <row r="7514" spans="4:4" x14ac:dyDescent="0.3">
      <c r="D7514" s="7"/>
    </row>
    <row r="7515" spans="4:4" x14ac:dyDescent="0.3">
      <c r="D7515" s="7"/>
    </row>
    <row r="7516" spans="4:4" x14ac:dyDescent="0.3">
      <c r="D7516" s="7"/>
    </row>
    <row r="7517" spans="4:4" x14ac:dyDescent="0.3">
      <c r="D7517" s="7"/>
    </row>
    <row r="7518" spans="4:4" x14ac:dyDescent="0.3">
      <c r="D7518" s="7"/>
    </row>
    <row r="7519" spans="4:4" x14ac:dyDescent="0.3">
      <c r="D7519" s="7"/>
    </row>
    <row r="7520" spans="4:4" x14ac:dyDescent="0.3">
      <c r="D7520" s="7"/>
    </row>
    <row r="7521" spans="4:4" x14ac:dyDescent="0.3">
      <c r="D7521" s="7"/>
    </row>
    <row r="7522" spans="4:4" x14ac:dyDescent="0.3">
      <c r="D7522" s="7"/>
    </row>
    <row r="7523" spans="4:4" x14ac:dyDescent="0.3">
      <c r="D7523" s="7"/>
    </row>
    <row r="7524" spans="4:4" x14ac:dyDescent="0.3">
      <c r="D7524" s="7"/>
    </row>
    <row r="7525" spans="4:4" x14ac:dyDescent="0.3">
      <c r="D7525" s="7"/>
    </row>
    <row r="7526" spans="4:4" x14ac:dyDescent="0.3">
      <c r="D7526" s="7"/>
    </row>
    <row r="7527" spans="4:4" x14ac:dyDescent="0.3">
      <c r="D7527" s="7"/>
    </row>
    <row r="7528" spans="4:4" x14ac:dyDescent="0.3">
      <c r="D7528" s="7"/>
    </row>
    <row r="7529" spans="4:4" x14ac:dyDescent="0.3">
      <c r="D7529" s="7"/>
    </row>
    <row r="7530" spans="4:4" x14ac:dyDescent="0.3">
      <c r="D7530" s="7"/>
    </row>
    <row r="7531" spans="4:4" x14ac:dyDescent="0.3">
      <c r="D7531" s="7"/>
    </row>
    <row r="7532" spans="4:4" x14ac:dyDescent="0.3">
      <c r="D7532" s="7"/>
    </row>
    <row r="7533" spans="4:4" x14ac:dyDescent="0.3">
      <c r="D7533" s="7"/>
    </row>
    <row r="7534" spans="4:4" x14ac:dyDescent="0.3">
      <c r="D7534" s="7"/>
    </row>
    <row r="7535" spans="4:4" x14ac:dyDescent="0.3">
      <c r="D7535" s="7"/>
    </row>
    <row r="7536" spans="4:4" x14ac:dyDescent="0.3">
      <c r="D7536" s="7"/>
    </row>
    <row r="7537" spans="4:4" x14ac:dyDescent="0.3">
      <c r="D7537" s="7"/>
    </row>
    <row r="7538" spans="4:4" x14ac:dyDescent="0.3">
      <c r="D7538" s="7"/>
    </row>
    <row r="7539" spans="4:4" x14ac:dyDescent="0.3">
      <c r="D7539" s="7"/>
    </row>
    <row r="7540" spans="4:4" x14ac:dyDescent="0.3">
      <c r="D7540" s="7"/>
    </row>
    <row r="7541" spans="4:4" x14ac:dyDescent="0.3">
      <c r="D7541" s="7"/>
    </row>
    <row r="7542" spans="4:4" x14ac:dyDescent="0.3">
      <c r="D7542" s="7"/>
    </row>
    <row r="7543" spans="4:4" x14ac:dyDescent="0.3">
      <c r="D7543" s="7"/>
    </row>
    <row r="7544" spans="4:4" x14ac:dyDescent="0.3">
      <c r="D7544" s="7"/>
    </row>
    <row r="7545" spans="4:4" x14ac:dyDescent="0.3">
      <c r="D7545" s="7"/>
    </row>
    <row r="7546" spans="4:4" x14ac:dyDescent="0.3">
      <c r="D7546" s="7"/>
    </row>
    <row r="7547" spans="4:4" x14ac:dyDescent="0.3">
      <c r="D7547" s="7"/>
    </row>
    <row r="7548" spans="4:4" x14ac:dyDescent="0.3">
      <c r="D7548" s="7"/>
    </row>
    <row r="7549" spans="4:4" x14ac:dyDescent="0.3">
      <c r="D7549" s="7"/>
    </row>
    <row r="7550" spans="4:4" x14ac:dyDescent="0.3">
      <c r="D7550" s="7"/>
    </row>
    <row r="7551" spans="4:4" x14ac:dyDescent="0.3">
      <c r="D7551" s="7"/>
    </row>
    <row r="7552" spans="4:4" x14ac:dyDescent="0.3">
      <c r="D7552" s="7"/>
    </row>
    <row r="7553" spans="4:4" x14ac:dyDescent="0.3">
      <c r="D7553" s="7"/>
    </row>
    <row r="7554" spans="4:4" x14ac:dyDescent="0.3">
      <c r="D7554" s="7"/>
    </row>
    <row r="7555" spans="4:4" x14ac:dyDescent="0.3">
      <c r="D7555" s="7"/>
    </row>
    <row r="7556" spans="4:4" x14ac:dyDescent="0.3">
      <c r="D7556" s="7"/>
    </row>
    <row r="7557" spans="4:4" x14ac:dyDescent="0.3">
      <c r="D7557" s="7"/>
    </row>
    <row r="7558" spans="4:4" x14ac:dyDescent="0.3">
      <c r="D7558" s="7"/>
    </row>
    <row r="7559" spans="4:4" x14ac:dyDescent="0.3">
      <c r="D7559" s="7"/>
    </row>
    <row r="7560" spans="4:4" x14ac:dyDescent="0.3">
      <c r="D7560" s="7"/>
    </row>
    <row r="7561" spans="4:4" x14ac:dyDescent="0.3">
      <c r="D7561" s="7"/>
    </row>
    <row r="7562" spans="4:4" x14ac:dyDescent="0.3">
      <c r="D7562" s="7"/>
    </row>
    <row r="7563" spans="4:4" x14ac:dyDescent="0.3">
      <c r="D7563" s="7"/>
    </row>
    <row r="7564" spans="4:4" x14ac:dyDescent="0.3">
      <c r="D7564" s="7"/>
    </row>
    <row r="7565" spans="4:4" x14ac:dyDescent="0.3">
      <c r="D7565" s="7"/>
    </row>
    <row r="7566" spans="4:4" x14ac:dyDescent="0.3">
      <c r="D7566" s="7"/>
    </row>
    <row r="7567" spans="4:4" x14ac:dyDescent="0.3">
      <c r="D7567" s="7"/>
    </row>
    <row r="7568" spans="4:4" x14ac:dyDescent="0.3">
      <c r="D7568" s="7"/>
    </row>
    <row r="7569" spans="4:4" x14ac:dyDescent="0.3">
      <c r="D7569" s="7"/>
    </row>
    <row r="7570" spans="4:4" x14ac:dyDescent="0.3">
      <c r="D7570" s="7"/>
    </row>
    <row r="7571" spans="4:4" x14ac:dyDescent="0.3">
      <c r="D7571" s="7"/>
    </row>
    <row r="7572" spans="4:4" x14ac:dyDescent="0.3">
      <c r="D7572" s="7"/>
    </row>
    <row r="7573" spans="4:4" x14ac:dyDescent="0.3">
      <c r="D7573" s="7"/>
    </row>
    <row r="7574" spans="4:4" x14ac:dyDescent="0.3">
      <c r="D7574" s="7"/>
    </row>
    <row r="7575" spans="4:4" x14ac:dyDescent="0.3">
      <c r="D7575" s="7"/>
    </row>
    <row r="7576" spans="4:4" x14ac:dyDescent="0.3">
      <c r="D7576" s="7"/>
    </row>
    <row r="7577" spans="4:4" x14ac:dyDescent="0.3">
      <c r="D7577" s="7"/>
    </row>
    <row r="7578" spans="4:4" x14ac:dyDescent="0.3">
      <c r="D7578" s="7"/>
    </row>
    <row r="7579" spans="4:4" x14ac:dyDescent="0.3">
      <c r="D7579" s="7"/>
    </row>
    <row r="7580" spans="4:4" x14ac:dyDescent="0.3">
      <c r="D7580" s="7"/>
    </row>
    <row r="7581" spans="4:4" x14ac:dyDescent="0.3">
      <c r="D7581" s="7"/>
    </row>
    <row r="7582" spans="4:4" x14ac:dyDescent="0.3">
      <c r="D7582" s="7"/>
    </row>
    <row r="7583" spans="4:4" x14ac:dyDescent="0.3">
      <c r="D7583" s="7"/>
    </row>
    <row r="7584" spans="4:4" x14ac:dyDescent="0.3">
      <c r="D7584" s="7"/>
    </row>
    <row r="7585" spans="4:4" x14ac:dyDescent="0.3">
      <c r="D7585" s="7"/>
    </row>
    <row r="7586" spans="4:4" x14ac:dyDescent="0.3">
      <c r="D7586" s="7"/>
    </row>
    <row r="7587" spans="4:4" x14ac:dyDescent="0.3">
      <c r="D7587" s="7"/>
    </row>
    <row r="7588" spans="4:4" x14ac:dyDescent="0.3">
      <c r="D7588" s="7"/>
    </row>
    <row r="7589" spans="4:4" x14ac:dyDescent="0.3">
      <c r="D7589" s="7"/>
    </row>
    <row r="7590" spans="4:4" x14ac:dyDescent="0.3">
      <c r="D7590" s="7"/>
    </row>
    <row r="7591" spans="4:4" x14ac:dyDescent="0.3">
      <c r="D7591" s="7"/>
    </row>
    <row r="7592" spans="4:4" x14ac:dyDescent="0.3">
      <c r="D7592" s="7"/>
    </row>
    <row r="7593" spans="4:4" x14ac:dyDescent="0.3">
      <c r="D7593" s="7"/>
    </row>
    <row r="7594" spans="4:4" x14ac:dyDescent="0.3">
      <c r="D7594" s="7"/>
    </row>
    <row r="7595" spans="4:4" x14ac:dyDescent="0.3">
      <c r="D7595" s="7"/>
    </row>
    <row r="7596" spans="4:4" x14ac:dyDescent="0.3">
      <c r="D7596" s="7"/>
    </row>
    <row r="7597" spans="4:4" x14ac:dyDescent="0.3">
      <c r="D7597" s="7"/>
    </row>
    <row r="7598" spans="4:4" x14ac:dyDescent="0.3">
      <c r="D7598" s="7"/>
    </row>
    <row r="7599" spans="4:4" x14ac:dyDescent="0.3">
      <c r="D7599" s="7"/>
    </row>
    <row r="7600" spans="4:4" x14ac:dyDescent="0.3">
      <c r="D7600" s="7"/>
    </row>
    <row r="7601" spans="4:4" x14ac:dyDescent="0.3">
      <c r="D7601" s="7"/>
    </row>
    <row r="7602" spans="4:4" x14ac:dyDescent="0.3">
      <c r="D7602" s="7"/>
    </row>
    <row r="7603" spans="4:4" x14ac:dyDescent="0.3">
      <c r="D7603" s="7"/>
    </row>
    <row r="7604" spans="4:4" x14ac:dyDescent="0.3">
      <c r="D7604" s="7"/>
    </row>
    <row r="7605" spans="4:4" x14ac:dyDescent="0.3">
      <c r="D7605" s="7"/>
    </row>
    <row r="7606" spans="4:4" x14ac:dyDescent="0.3">
      <c r="D7606" s="7"/>
    </row>
    <row r="7607" spans="4:4" x14ac:dyDescent="0.3">
      <c r="D7607" s="7"/>
    </row>
    <row r="7608" spans="4:4" x14ac:dyDescent="0.3">
      <c r="D7608" s="7"/>
    </row>
    <row r="7609" spans="4:4" x14ac:dyDescent="0.3">
      <c r="D7609" s="7"/>
    </row>
    <row r="7610" spans="4:4" x14ac:dyDescent="0.3">
      <c r="D7610" s="7"/>
    </row>
    <row r="7611" spans="4:4" x14ac:dyDescent="0.3">
      <c r="D7611" s="7"/>
    </row>
    <row r="7612" spans="4:4" x14ac:dyDescent="0.3">
      <c r="D7612" s="7"/>
    </row>
    <row r="7613" spans="4:4" x14ac:dyDescent="0.3">
      <c r="D7613" s="7"/>
    </row>
    <row r="7614" spans="4:4" x14ac:dyDescent="0.3">
      <c r="D7614" s="7"/>
    </row>
    <row r="7615" spans="4:4" x14ac:dyDescent="0.3">
      <c r="D7615" s="7"/>
    </row>
    <row r="7616" spans="4:4" x14ac:dyDescent="0.3">
      <c r="D7616" s="7"/>
    </row>
    <row r="7617" spans="4:4" x14ac:dyDescent="0.3">
      <c r="D7617" s="7"/>
    </row>
    <row r="7618" spans="4:4" x14ac:dyDescent="0.3">
      <c r="D7618" s="7"/>
    </row>
    <row r="7619" spans="4:4" x14ac:dyDescent="0.3">
      <c r="D7619" s="7"/>
    </row>
    <row r="7620" spans="4:4" x14ac:dyDescent="0.3">
      <c r="D7620" s="7"/>
    </row>
    <row r="7621" spans="4:4" x14ac:dyDescent="0.3">
      <c r="D7621" s="7"/>
    </row>
    <row r="7622" spans="4:4" x14ac:dyDescent="0.3">
      <c r="D7622" s="7"/>
    </row>
    <row r="7623" spans="4:4" x14ac:dyDescent="0.3">
      <c r="D7623" s="7"/>
    </row>
    <row r="7624" spans="4:4" x14ac:dyDescent="0.3">
      <c r="D7624" s="7"/>
    </row>
    <row r="7625" spans="4:4" x14ac:dyDescent="0.3">
      <c r="D7625" s="7"/>
    </row>
    <row r="7626" spans="4:4" x14ac:dyDescent="0.3">
      <c r="D7626" s="7"/>
    </row>
    <row r="7627" spans="4:4" x14ac:dyDescent="0.3">
      <c r="D7627" s="7"/>
    </row>
    <row r="7628" spans="4:4" x14ac:dyDescent="0.3">
      <c r="D7628" s="7"/>
    </row>
    <row r="7629" spans="4:4" x14ac:dyDescent="0.3">
      <c r="D7629" s="7"/>
    </row>
    <row r="7630" spans="4:4" x14ac:dyDescent="0.3">
      <c r="D7630" s="7"/>
    </row>
    <row r="7631" spans="4:4" x14ac:dyDescent="0.3">
      <c r="D7631" s="7"/>
    </row>
    <row r="7632" spans="4:4" x14ac:dyDescent="0.3">
      <c r="D7632" s="7"/>
    </row>
    <row r="7633" spans="4:4" x14ac:dyDescent="0.3">
      <c r="D7633" s="7"/>
    </row>
    <row r="7634" spans="4:4" x14ac:dyDescent="0.3">
      <c r="D7634" s="7"/>
    </row>
    <row r="7635" spans="4:4" x14ac:dyDescent="0.3">
      <c r="D7635" s="7"/>
    </row>
    <row r="7636" spans="4:4" x14ac:dyDescent="0.3">
      <c r="D7636" s="7"/>
    </row>
    <row r="7637" spans="4:4" x14ac:dyDescent="0.3">
      <c r="D7637" s="7"/>
    </row>
    <row r="7638" spans="4:4" x14ac:dyDescent="0.3">
      <c r="D7638" s="7"/>
    </row>
    <row r="7639" spans="4:4" x14ac:dyDescent="0.3">
      <c r="D7639" s="7"/>
    </row>
    <row r="7640" spans="4:4" x14ac:dyDescent="0.3">
      <c r="D7640" s="7"/>
    </row>
    <row r="7641" spans="4:4" x14ac:dyDescent="0.3">
      <c r="D7641" s="7"/>
    </row>
    <row r="7642" spans="4:4" x14ac:dyDescent="0.3">
      <c r="D7642" s="7"/>
    </row>
    <row r="7643" spans="4:4" x14ac:dyDescent="0.3">
      <c r="D7643" s="7"/>
    </row>
    <row r="7644" spans="4:4" x14ac:dyDescent="0.3">
      <c r="D7644" s="7"/>
    </row>
    <row r="7645" spans="4:4" x14ac:dyDescent="0.3">
      <c r="D7645" s="7"/>
    </row>
    <row r="7646" spans="4:4" x14ac:dyDescent="0.3">
      <c r="D7646" s="7"/>
    </row>
    <row r="7647" spans="4:4" x14ac:dyDescent="0.3">
      <c r="D7647" s="7"/>
    </row>
    <row r="7648" spans="4:4" x14ac:dyDescent="0.3">
      <c r="D7648" s="7"/>
    </row>
    <row r="7649" spans="4:4" x14ac:dyDescent="0.3">
      <c r="D7649" s="7"/>
    </row>
    <row r="7650" spans="4:4" x14ac:dyDescent="0.3">
      <c r="D7650" s="7"/>
    </row>
    <row r="7651" spans="4:4" x14ac:dyDescent="0.3">
      <c r="D7651" s="7"/>
    </row>
    <row r="7652" spans="4:4" x14ac:dyDescent="0.3">
      <c r="D7652" s="7"/>
    </row>
    <row r="7653" spans="4:4" x14ac:dyDescent="0.3">
      <c r="D7653" s="7"/>
    </row>
    <row r="7654" spans="4:4" x14ac:dyDescent="0.3">
      <c r="D7654" s="7"/>
    </row>
    <row r="7655" spans="4:4" x14ac:dyDescent="0.3">
      <c r="D7655" s="7"/>
    </row>
    <row r="7656" spans="4:4" x14ac:dyDescent="0.3">
      <c r="D7656" s="7"/>
    </row>
    <row r="7657" spans="4:4" x14ac:dyDescent="0.3">
      <c r="D7657" s="7"/>
    </row>
    <row r="7658" spans="4:4" x14ac:dyDescent="0.3">
      <c r="D7658" s="7"/>
    </row>
    <row r="7659" spans="4:4" x14ac:dyDescent="0.3">
      <c r="D7659" s="7"/>
    </row>
    <row r="7660" spans="4:4" x14ac:dyDescent="0.3">
      <c r="D7660" s="7"/>
    </row>
    <row r="7661" spans="4:4" x14ac:dyDescent="0.3">
      <c r="D7661" s="7"/>
    </row>
    <row r="7662" spans="4:4" x14ac:dyDescent="0.3">
      <c r="D7662" s="7"/>
    </row>
    <row r="7663" spans="4:4" x14ac:dyDescent="0.3">
      <c r="D7663" s="7"/>
    </row>
    <row r="7664" spans="4:4" x14ac:dyDescent="0.3">
      <c r="D7664" s="7"/>
    </row>
    <row r="7665" spans="4:4" x14ac:dyDescent="0.3">
      <c r="D7665" s="7"/>
    </row>
    <row r="7666" spans="4:4" x14ac:dyDescent="0.3">
      <c r="D7666" s="7"/>
    </row>
    <row r="7667" spans="4:4" x14ac:dyDescent="0.3">
      <c r="D7667" s="7"/>
    </row>
    <row r="7668" spans="4:4" x14ac:dyDescent="0.3">
      <c r="D7668" s="7"/>
    </row>
    <row r="7669" spans="4:4" x14ac:dyDescent="0.3">
      <c r="D7669" s="7"/>
    </row>
    <row r="7670" spans="4:4" x14ac:dyDescent="0.3">
      <c r="D7670" s="7"/>
    </row>
    <row r="7671" spans="4:4" x14ac:dyDescent="0.3">
      <c r="D7671" s="7"/>
    </row>
    <row r="7672" spans="4:4" x14ac:dyDescent="0.3">
      <c r="D7672" s="7"/>
    </row>
    <row r="7673" spans="4:4" x14ac:dyDescent="0.3">
      <c r="D7673" s="7"/>
    </row>
    <row r="7674" spans="4:4" x14ac:dyDescent="0.3">
      <c r="D7674" s="7"/>
    </row>
    <row r="7675" spans="4:4" x14ac:dyDescent="0.3">
      <c r="D7675" s="7"/>
    </row>
    <row r="7676" spans="4:4" x14ac:dyDescent="0.3">
      <c r="D7676" s="7"/>
    </row>
    <row r="7677" spans="4:4" x14ac:dyDescent="0.3">
      <c r="D7677" s="7"/>
    </row>
    <row r="7678" spans="4:4" x14ac:dyDescent="0.3">
      <c r="D7678" s="7"/>
    </row>
    <row r="7679" spans="4:4" x14ac:dyDescent="0.3">
      <c r="D7679" s="7"/>
    </row>
    <row r="7680" spans="4:4" x14ac:dyDescent="0.3">
      <c r="D7680" s="7"/>
    </row>
    <row r="7681" spans="4:4" x14ac:dyDescent="0.3">
      <c r="D7681" s="7"/>
    </row>
    <row r="7682" spans="4:4" x14ac:dyDescent="0.3">
      <c r="D7682" s="7"/>
    </row>
    <row r="7683" spans="4:4" x14ac:dyDescent="0.3">
      <c r="D7683" s="7"/>
    </row>
    <row r="7684" spans="4:4" x14ac:dyDescent="0.3">
      <c r="D7684" s="7"/>
    </row>
    <row r="7685" spans="4:4" x14ac:dyDescent="0.3">
      <c r="D7685" s="7"/>
    </row>
    <row r="7686" spans="4:4" x14ac:dyDescent="0.3">
      <c r="D7686" s="7"/>
    </row>
    <row r="7687" spans="4:4" x14ac:dyDescent="0.3">
      <c r="D7687" s="7"/>
    </row>
    <row r="7688" spans="4:4" x14ac:dyDescent="0.3">
      <c r="D7688" s="7"/>
    </row>
    <row r="7689" spans="4:4" x14ac:dyDescent="0.3">
      <c r="D7689" s="7"/>
    </row>
    <row r="7690" spans="4:4" x14ac:dyDescent="0.3">
      <c r="D7690" s="7"/>
    </row>
    <row r="7691" spans="4:4" x14ac:dyDescent="0.3">
      <c r="D7691" s="7"/>
    </row>
    <row r="7692" spans="4:4" x14ac:dyDescent="0.3">
      <c r="D7692" s="7"/>
    </row>
    <row r="7693" spans="4:4" x14ac:dyDescent="0.3">
      <c r="D7693" s="7"/>
    </row>
    <row r="7694" spans="4:4" x14ac:dyDescent="0.3">
      <c r="D7694" s="7"/>
    </row>
    <row r="7695" spans="4:4" x14ac:dyDescent="0.3">
      <c r="D7695" s="7"/>
    </row>
    <row r="7696" spans="4:4" x14ac:dyDescent="0.3">
      <c r="D7696" s="7"/>
    </row>
    <row r="7697" spans="4:4" x14ac:dyDescent="0.3">
      <c r="D7697" s="7"/>
    </row>
    <row r="7698" spans="4:4" x14ac:dyDescent="0.3">
      <c r="D7698" s="7"/>
    </row>
    <row r="7699" spans="4:4" x14ac:dyDescent="0.3">
      <c r="D7699" s="7"/>
    </row>
    <row r="7700" spans="4:4" x14ac:dyDescent="0.3">
      <c r="D7700" s="7"/>
    </row>
    <row r="7701" spans="4:4" x14ac:dyDescent="0.3">
      <c r="D7701" s="7"/>
    </row>
    <row r="7702" spans="4:4" x14ac:dyDescent="0.3">
      <c r="D7702" s="7"/>
    </row>
    <row r="7703" spans="4:4" x14ac:dyDescent="0.3">
      <c r="D7703" s="7"/>
    </row>
    <row r="7704" spans="4:4" x14ac:dyDescent="0.3">
      <c r="D7704" s="7"/>
    </row>
    <row r="7705" spans="4:4" x14ac:dyDescent="0.3">
      <c r="D7705" s="7"/>
    </row>
    <row r="7706" spans="4:4" x14ac:dyDescent="0.3">
      <c r="D7706" s="7"/>
    </row>
    <row r="7707" spans="4:4" x14ac:dyDescent="0.3">
      <c r="D7707" s="7"/>
    </row>
    <row r="7708" spans="4:4" x14ac:dyDescent="0.3">
      <c r="D7708" s="7"/>
    </row>
    <row r="7709" spans="4:4" x14ac:dyDescent="0.3">
      <c r="D7709" s="7"/>
    </row>
    <row r="7710" spans="4:4" x14ac:dyDescent="0.3">
      <c r="D7710" s="7"/>
    </row>
    <row r="7711" spans="4:4" x14ac:dyDescent="0.3">
      <c r="D7711" s="7"/>
    </row>
    <row r="7712" spans="4:4" x14ac:dyDescent="0.3">
      <c r="D7712" s="7"/>
    </row>
    <row r="7713" spans="4:4" x14ac:dyDescent="0.3">
      <c r="D7713" s="7"/>
    </row>
    <row r="7714" spans="4:4" x14ac:dyDescent="0.3">
      <c r="D7714" s="7"/>
    </row>
    <row r="7715" spans="4:4" x14ac:dyDescent="0.3">
      <c r="D7715" s="7"/>
    </row>
    <row r="7716" spans="4:4" x14ac:dyDescent="0.3">
      <c r="D7716" s="7"/>
    </row>
    <row r="7717" spans="4:4" x14ac:dyDescent="0.3">
      <c r="D7717" s="7"/>
    </row>
    <row r="7718" spans="4:4" x14ac:dyDescent="0.3">
      <c r="D7718" s="7"/>
    </row>
    <row r="7719" spans="4:4" x14ac:dyDescent="0.3">
      <c r="D7719" s="7"/>
    </row>
    <row r="7720" spans="4:4" x14ac:dyDescent="0.3">
      <c r="D7720" s="7"/>
    </row>
    <row r="7721" spans="4:4" x14ac:dyDescent="0.3">
      <c r="D7721" s="7"/>
    </row>
    <row r="7722" spans="4:4" x14ac:dyDescent="0.3">
      <c r="D7722" s="7"/>
    </row>
    <row r="7723" spans="4:4" x14ac:dyDescent="0.3">
      <c r="D7723" s="7"/>
    </row>
    <row r="7724" spans="4:4" x14ac:dyDescent="0.3">
      <c r="D7724" s="7"/>
    </row>
    <row r="7725" spans="4:4" x14ac:dyDescent="0.3">
      <c r="D7725" s="7"/>
    </row>
    <row r="7726" spans="4:4" x14ac:dyDescent="0.3">
      <c r="D7726" s="7"/>
    </row>
    <row r="7727" spans="4:4" x14ac:dyDescent="0.3">
      <c r="D7727" s="7"/>
    </row>
    <row r="7728" spans="4:4" x14ac:dyDescent="0.3">
      <c r="D7728" s="7"/>
    </row>
    <row r="7729" spans="4:4" x14ac:dyDescent="0.3">
      <c r="D7729" s="7"/>
    </row>
    <row r="7730" spans="4:4" x14ac:dyDescent="0.3">
      <c r="D7730" s="7"/>
    </row>
    <row r="7731" spans="4:4" x14ac:dyDescent="0.3">
      <c r="D7731" s="7"/>
    </row>
    <row r="7732" spans="4:4" x14ac:dyDescent="0.3">
      <c r="D7732" s="7"/>
    </row>
    <row r="7733" spans="4:4" x14ac:dyDescent="0.3">
      <c r="D7733" s="7"/>
    </row>
    <row r="7734" spans="4:4" x14ac:dyDescent="0.3">
      <c r="D7734" s="7"/>
    </row>
    <row r="7735" spans="4:4" x14ac:dyDescent="0.3">
      <c r="D7735" s="7"/>
    </row>
    <row r="7736" spans="4:4" x14ac:dyDescent="0.3">
      <c r="D7736" s="7"/>
    </row>
    <row r="7737" spans="4:4" x14ac:dyDescent="0.3">
      <c r="D7737" s="7"/>
    </row>
    <row r="7738" spans="4:4" x14ac:dyDescent="0.3">
      <c r="D7738" s="7"/>
    </row>
    <row r="7739" spans="4:4" x14ac:dyDescent="0.3">
      <c r="D7739" s="7"/>
    </row>
    <row r="7740" spans="4:4" x14ac:dyDescent="0.3">
      <c r="D7740" s="7"/>
    </row>
    <row r="7741" spans="4:4" x14ac:dyDescent="0.3">
      <c r="D7741" s="7"/>
    </row>
    <row r="7742" spans="4:4" x14ac:dyDescent="0.3">
      <c r="D7742" s="7"/>
    </row>
    <row r="7743" spans="4:4" x14ac:dyDescent="0.3">
      <c r="D7743" s="7"/>
    </row>
    <row r="7744" spans="4:4" x14ac:dyDescent="0.3">
      <c r="D7744" s="7"/>
    </row>
    <row r="7745" spans="4:4" x14ac:dyDescent="0.3">
      <c r="D7745" s="7"/>
    </row>
    <row r="7746" spans="4:4" x14ac:dyDescent="0.3">
      <c r="D7746" s="7"/>
    </row>
    <row r="7747" spans="4:4" x14ac:dyDescent="0.3">
      <c r="D7747" s="7"/>
    </row>
    <row r="7748" spans="4:4" x14ac:dyDescent="0.3">
      <c r="D7748" s="7"/>
    </row>
    <row r="7749" spans="4:4" x14ac:dyDescent="0.3">
      <c r="D7749" s="7"/>
    </row>
    <row r="7750" spans="4:4" x14ac:dyDescent="0.3">
      <c r="D7750" s="7"/>
    </row>
    <row r="7751" spans="4:4" x14ac:dyDescent="0.3">
      <c r="D7751" s="7"/>
    </row>
    <row r="7752" spans="4:4" x14ac:dyDescent="0.3">
      <c r="D7752" s="7"/>
    </row>
    <row r="7753" spans="4:4" x14ac:dyDescent="0.3">
      <c r="D7753" s="7"/>
    </row>
    <row r="7754" spans="4:4" x14ac:dyDescent="0.3">
      <c r="D7754" s="7"/>
    </row>
    <row r="7755" spans="4:4" x14ac:dyDescent="0.3">
      <c r="D7755" s="7"/>
    </row>
    <row r="7756" spans="4:4" x14ac:dyDescent="0.3">
      <c r="D7756" s="7"/>
    </row>
    <row r="7757" spans="4:4" x14ac:dyDescent="0.3">
      <c r="D7757" s="7"/>
    </row>
    <row r="7758" spans="4:4" x14ac:dyDescent="0.3">
      <c r="D7758" s="7"/>
    </row>
    <row r="7759" spans="4:4" x14ac:dyDescent="0.3">
      <c r="D7759" s="7"/>
    </row>
    <row r="7760" spans="4:4" x14ac:dyDescent="0.3">
      <c r="D7760" s="7"/>
    </row>
    <row r="7761" spans="4:4" x14ac:dyDescent="0.3">
      <c r="D7761" s="7"/>
    </row>
    <row r="7762" spans="4:4" x14ac:dyDescent="0.3">
      <c r="D7762" s="7"/>
    </row>
    <row r="7763" spans="4:4" x14ac:dyDescent="0.3">
      <c r="D7763" s="7"/>
    </row>
    <row r="7764" spans="4:4" x14ac:dyDescent="0.3">
      <c r="D7764" s="7"/>
    </row>
    <row r="7765" spans="4:4" x14ac:dyDescent="0.3">
      <c r="D7765" s="7"/>
    </row>
    <row r="7766" spans="4:4" x14ac:dyDescent="0.3">
      <c r="D7766" s="7"/>
    </row>
    <row r="7767" spans="4:4" x14ac:dyDescent="0.3">
      <c r="D7767" s="7"/>
    </row>
    <row r="7768" spans="4:4" x14ac:dyDescent="0.3">
      <c r="D7768" s="7"/>
    </row>
    <row r="7769" spans="4:4" x14ac:dyDescent="0.3">
      <c r="D7769" s="7"/>
    </row>
    <row r="7770" spans="4:4" x14ac:dyDescent="0.3">
      <c r="D7770" s="7"/>
    </row>
    <row r="7771" spans="4:4" x14ac:dyDescent="0.3">
      <c r="D7771" s="7"/>
    </row>
    <row r="7772" spans="4:4" x14ac:dyDescent="0.3">
      <c r="D7772" s="7"/>
    </row>
    <row r="7773" spans="4:4" x14ac:dyDescent="0.3">
      <c r="D7773" s="7"/>
    </row>
    <row r="7774" spans="4:4" x14ac:dyDescent="0.3">
      <c r="D7774" s="7"/>
    </row>
    <row r="7775" spans="4:4" x14ac:dyDescent="0.3">
      <c r="D7775" s="7"/>
    </row>
    <row r="7776" spans="4:4" x14ac:dyDescent="0.3">
      <c r="D7776" s="7"/>
    </row>
    <row r="7777" spans="4:4" x14ac:dyDescent="0.3">
      <c r="D7777" s="7"/>
    </row>
    <row r="7778" spans="4:4" x14ac:dyDescent="0.3">
      <c r="D7778" s="7"/>
    </row>
    <row r="7779" spans="4:4" x14ac:dyDescent="0.3">
      <c r="D7779" s="7"/>
    </row>
    <row r="7780" spans="4:4" x14ac:dyDescent="0.3">
      <c r="D7780" s="7"/>
    </row>
    <row r="7781" spans="4:4" x14ac:dyDescent="0.3">
      <c r="D7781" s="7"/>
    </row>
    <row r="7782" spans="4:4" x14ac:dyDescent="0.3">
      <c r="D7782" s="7"/>
    </row>
    <row r="7783" spans="4:4" x14ac:dyDescent="0.3">
      <c r="D7783" s="7"/>
    </row>
    <row r="7784" spans="4:4" x14ac:dyDescent="0.3">
      <c r="D7784" s="7"/>
    </row>
    <row r="7785" spans="4:4" x14ac:dyDescent="0.3">
      <c r="D7785" s="7"/>
    </row>
    <row r="7786" spans="4:4" x14ac:dyDescent="0.3">
      <c r="D7786" s="7"/>
    </row>
    <row r="7787" spans="4:4" x14ac:dyDescent="0.3">
      <c r="D7787" s="7"/>
    </row>
    <row r="7788" spans="4:4" x14ac:dyDescent="0.3">
      <c r="D7788" s="7"/>
    </row>
    <row r="7789" spans="4:4" x14ac:dyDescent="0.3">
      <c r="D7789" s="7"/>
    </row>
    <row r="7790" spans="4:4" x14ac:dyDescent="0.3">
      <c r="D7790" s="7"/>
    </row>
    <row r="7791" spans="4:4" x14ac:dyDescent="0.3">
      <c r="D7791" s="7"/>
    </row>
    <row r="7792" spans="4:4" x14ac:dyDescent="0.3">
      <c r="D7792" s="7"/>
    </row>
    <row r="7793" spans="4:4" x14ac:dyDescent="0.3">
      <c r="D7793" s="7"/>
    </row>
    <row r="7794" spans="4:4" x14ac:dyDescent="0.3">
      <c r="D7794" s="7"/>
    </row>
    <row r="7795" spans="4:4" x14ac:dyDescent="0.3">
      <c r="D7795" s="7"/>
    </row>
    <row r="7796" spans="4:4" x14ac:dyDescent="0.3">
      <c r="D7796" s="7"/>
    </row>
    <row r="7797" spans="4:4" x14ac:dyDescent="0.3">
      <c r="D7797" s="7"/>
    </row>
    <row r="7798" spans="4:4" x14ac:dyDescent="0.3">
      <c r="D7798" s="7"/>
    </row>
    <row r="7799" spans="4:4" x14ac:dyDescent="0.3">
      <c r="D7799" s="7"/>
    </row>
    <row r="7800" spans="4:4" x14ac:dyDescent="0.3">
      <c r="D7800" s="7"/>
    </row>
    <row r="7801" spans="4:4" x14ac:dyDescent="0.3">
      <c r="D7801" s="7"/>
    </row>
    <row r="7802" spans="4:4" x14ac:dyDescent="0.3">
      <c r="D7802" s="7"/>
    </row>
    <row r="7803" spans="4:4" x14ac:dyDescent="0.3">
      <c r="D7803" s="7"/>
    </row>
    <row r="7804" spans="4:4" x14ac:dyDescent="0.3">
      <c r="D7804" s="7"/>
    </row>
    <row r="7805" spans="4:4" x14ac:dyDescent="0.3">
      <c r="D7805" s="7"/>
    </row>
    <row r="7806" spans="4:4" x14ac:dyDescent="0.3">
      <c r="D7806" s="7"/>
    </row>
    <row r="7807" spans="4:4" x14ac:dyDescent="0.3">
      <c r="D7807" s="7"/>
    </row>
    <row r="7808" spans="4:4" x14ac:dyDescent="0.3">
      <c r="D7808" s="7"/>
    </row>
    <row r="7809" spans="4:4" x14ac:dyDescent="0.3">
      <c r="D7809" s="7"/>
    </row>
    <row r="7810" spans="4:4" x14ac:dyDescent="0.3">
      <c r="D7810" s="7"/>
    </row>
    <row r="7811" spans="4:4" x14ac:dyDescent="0.3">
      <c r="D7811" s="7"/>
    </row>
    <row r="7812" spans="4:4" x14ac:dyDescent="0.3">
      <c r="D7812" s="7"/>
    </row>
    <row r="7813" spans="4:4" x14ac:dyDescent="0.3">
      <c r="D7813" s="7"/>
    </row>
    <row r="7814" spans="4:4" x14ac:dyDescent="0.3">
      <c r="D7814" s="7"/>
    </row>
    <row r="7815" spans="4:4" x14ac:dyDescent="0.3">
      <c r="D7815" s="7"/>
    </row>
    <row r="7816" spans="4:4" x14ac:dyDescent="0.3">
      <c r="D7816" s="7"/>
    </row>
    <row r="7817" spans="4:4" x14ac:dyDescent="0.3">
      <c r="D7817" s="7"/>
    </row>
    <row r="7818" spans="4:4" x14ac:dyDescent="0.3">
      <c r="D7818" s="7"/>
    </row>
    <row r="7819" spans="4:4" x14ac:dyDescent="0.3">
      <c r="D7819" s="7"/>
    </row>
    <row r="7820" spans="4:4" x14ac:dyDescent="0.3">
      <c r="D7820" s="7"/>
    </row>
    <row r="7821" spans="4:4" x14ac:dyDescent="0.3">
      <c r="D7821" s="7"/>
    </row>
    <row r="7822" spans="4:4" x14ac:dyDescent="0.3">
      <c r="D7822" s="7"/>
    </row>
    <row r="7823" spans="4:4" x14ac:dyDescent="0.3">
      <c r="D7823" s="7"/>
    </row>
    <row r="7824" spans="4:4" x14ac:dyDescent="0.3">
      <c r="D7824" s="7"/>
    </row>
    <row r="7825" spans="4:4" x14ac:dyDescent="0.3">
      <c r="D7825" s="7"/>
    </row>
    <row r="7826" spans="4:4" x14ac:dyDescent="0.3">
      <c r="D7826" s="7"/>
    </row>
    <row r="7827" spans="4:4" x14ac:dyDescent="0.3">
      <c r="D7827" s="7"/>
    </row>
    <row r="7828" spans="4:4" x14ac:dyDescent="0.3">
      <c r="D7828" s="7"/>
    </row>
    <row r="7829" spans="4:4" x14ac:dyDescent="0.3">
      <c r="D7829" s="7"/>
    </row>
    <row r="7830" spans="4:4" x14ac:dyDescent="0.3">
      <c r="D7830" s="7"/>
    </row>
    <row r="7831" spans="4:4" x14ac:dyDescent="0.3">
      <c r="D7831" s="7"/>
    </row>
    <row r="7832" spans="4:4" x14ac:dyDescent="0.3">
      <c r="D7832" s="7"/>
    </row>
    <row r="7833" spans="4:4" x14ac:dyDescent="0.3">
      <c r="D7833" s="7"/>
    </row>
    <row r="7834" spans="4:4" x14ac:dyDescent="0.3">
      <c r="D7834" s="7"/>
    </row>
    <row r="7835" spans="4:4" x14ac:dyDescent="0.3">
      <c r="D7835" s="7"/>
    </row>
    <row r="7836" spans="4:4" x14ac:dyDescent="0.3">
      <c r="D7836" s="7"/>
    </row>
    <row r="7837" spans="4:4" x14ac:dyDescent="0.3">
      <c r="D7837" s="7"/>
    </row>
    <row r="7838" spans="4:4" x14ac:dyDescent="0.3">
      <c r="D7838" s="7"/>
    </row>
    <row r="7839" spans="4:4" x14ac:dyDescent="0.3">
      <c r="D7839" s="7"/>
    </row>
    <row r="7840" spans="4:4" x14ac:dyDescent="0.3">
      <c r="D7840" s="7"/>
    </row>
    <row r="7841" spans="4:4" x14ac:dyDescent="0.3">
      <c r="D7841" s="7"/>
    </row>
    <row r="7842" spans="4:4" x14ac:dyDescent="0.3">
      <c r="D7842" s="7"/>
    </row>
    <row r="7843" spans="4:4" x14ac:dyDescent="0.3">
      <c r="D7843" s="7"/>
    </row>
    <row r="7844" spans="4:4" x14ac:dyDescent="0.3">
      <c r="D7844" s="7"/>
    </row>
    <row r="7845" spans="4:4" x14ac:dyDescent="0.3">
      <c r="D7845" s="7"/>
    </row>
    <row r="7846" spans="4:4" x14ac:dyDescent="0.3">
      <c r="D7846" s="7"/>
    </row>
    <row r="7847" spans="4:4" x14ac:dyDescent="0.3">
      <c r="D7847" s="7"/>
    </row>
    <row r="7848" spans="4:4" x14ac:dyDescent="0.3">
      <c r="D7848" s="7"/>
    </row>
    <row r="7849" spans="4:4" x14ac:dyDescent="0.3">
      <c r="D7849" s="7"/>
    </row>
    <row r="7850" spans="4:4" x14ac:dyDescent="0.3">
      <c r="D7850" s="7"/>
    </row>
    <row r="7851" spans="4:4" x14ac:dyDescent="0.3">
      <c r="D7851" s="7"/>
    </row>
    <row r="7852" spans="4:4" x14ac:dyDescent="0.3">
      <c r="D7852" s="7"/>
    </row>
    <row r="7853" spans="4:4" x14ac:dyDescent="0.3">
      <c r="D7853" s="7"/>
    </row>
    <row r="7854" spans="4:4" x14ac:dyDescent="0.3">
      <c r="D7854" s="7"/>
    </row>
    <row r="7855" spans="4:4" x14ac:dyDescent="0.3">
      <c r="D7855" s="7"/>
    </row>
    <row r="7856" spans="4:4" x14ac:dyDescent="0.3">
      <c r="D7856" s="7"/>
    </row>
    <row r="7857" spans="4:4" x14ac:dyDescent="0.3">
      <c r="D7857" s="7"/>
    </row>
    <row r="7858" spans="4:4" x14ac:dyDescent="0.3">
      <c r="D7858" s="7"/>
    </row>
    <row r="7859" spans="4:4" x14ac:dyDescent="0.3">
      <c r="D7859" s="7"/>
    </row>
    <row r="7860" spans="4:4" x14ac:dyDescent="0.3">
      <c r="D7860" s="7"/>
    </row>
    <row r="7861" spans="4:4" x14ac:dyDescent="0.3">
      <c r="D7861" s="7"/>
    </row>
    <row r="7862" spans="4:4" x14ac:dyDescent="0.3">
      <c r="D7862" s="7"/>
    </row>
    <row r="7863" spans="4:4" x14ac:dyDescent="0.3">
      <c r="D7863" s="7"/>
    </row>
    <row r="7864" spans="4:4" x14ac:dyDescent="0.3">
      <c r="D7864" s="7"/>
    </row>
    <row r="7865" spans="4:4" x14ac:dyDescent="0.3">
      <c r="D7865" s="7"/>
    </row>
    <row r="7866" spans="4:4" x14ac:dyDescent="0.3">
      <c r="D7866" s="7"/>
    </row>
    <row r="7867" spans="4:4" x14ac:dyDescent="0.3">
      <c r="D7867" s="7"/>
    </row>
    <row r="7868" spans="4:4" x14ac:dyDescent="0.3">
      <c r="D7868" s="7"/>
    </row>
    <row r="7869" spans="4:4" x14ac:dyDescent="0.3">
      <c r="D7869" s="7"/>
    </row>
    <row r="7870" spans="4:4" x14ac:dyDescent="0.3">
      <c r="D7870" s="7"/>
    </row>
    <row r="7871" spans="4:4" x14ac:dyDescent="0.3">
      <c r="D7871" s="7"/>
    </row>
    <row r="7872" spans="4:4" x14ac:dyDescent="0.3">
      <c r="D7872" s="7"/>
    </row>
    <row r="7873" spans="4:4" x14ac:dyDescent="0.3">
      <c r="D7873" s="7"/>
    </row>
    <row r="7874" spans="4:4" x14ac:dyDescent="0.3">
      <c r="D7874" s="7"/>
    </row>
    <row r="7875" spans="4:4" x14ac:dyDescent="0.3">
      <c r="D7875" s="7"/>
    </row>
    <row r="7876" spans="4:4" x14ac:dyDescent="0.3">
      <c r="D7876" s="7"/>
    </row>
    <row r="7877" spans="4:4" x14ac:dyDescent="0.3">
      <c r="D7877" s="7"/>
    </row>
    <row r="7878" spans="4:4" x14ac:dyDescent="0.3">
      <c r="D7878" s="7"/>
    </row>
    <row r="7879" spans="4:4" x14ac:dyDescent="0.3">
      <c r="D7879" s="7"/>
    </row>
    <row r="7880" spans="4:4" x14ac:dyDescent="0.3">
      <c r="D7880" s="7"/>
    </row>
    <row r="7881" spans="4:4" x14ac:dyDescent="0.3">
      <c r="D7881" s="7"/>
    </row>
    <row r="7882" spans="4:4" x14ac:dyDescent="0.3">
      <c r="D7882" s="7"/>
    </row>
    <row r="7883" spans="4:4" x14ac:dyDescent="0.3">
      <c r="D7883" s="7"/>
    </row>
    <row r="7884" spans="4:4" x14ac:dyDescent="0.3">
      <c r="D7884" s="7"/>
    </row>
    <row r="7885" spans="4:4" x14ac:dyDescent="0.3">
      <c r="D7885" s="7"/>
    </row>
    <row r="7886" spans="4:4" x14ac:dyDescent="0.3">
      <c r="D7886" s="7"/>
    </row>
    <row r="7887" spans="4:4" x14ac:dyDescent="0.3">
      <c r="D7887" s="7"/>
    </row>
    <row r="7888" spans="4:4" x14ac:dyDescent="0.3">
      <c r="D7888" s="7"/>
    </row>
    <row r="7889" spans="4:4" x14ac:dyDescent="0.3">
      <c r="D7889" s="7"/>
    </row>
    <row r="7890" spans="4:4" x14ac:dyDescent="0.3">
      <c r="D7890" s="7"/>
    </row>
    <row r="7891" spans="4:4" x14ac:dyDescent="0.3">
      <c r="D7891" s="7"/>
    </row>
    <row r="7892" spans="4:4" x14ac:dyDescent="0.3">
      <c r="D7892" s="7"/>
    </row>
    <row r="7893" spans="4:4" x14ac:dyDescent="0.3">
      <c r="D7893" s="7"/>
    </row>
    <row r="7894" spans="4:4" x14ac:dyDescent="0.3">
      <c r="D7894" s="7"/>
    </row>
    <row r="7895" spans="4:4" x14ac:dyDescent="0.3">
      <c r="D7895" s="7"/>
    </row>
    <row r="7896" spans="4:4" x14ac:dyDescent="0.3">
      <c r="D7896" s="7"/>
    </row>
    <row r="7897" spans="4:4" x14ac:dyDescent="0.3">
      <c r="D7897" s="7"/>
    </row>
    <row r="7898" spans="4:4" x14ac:dyDescent="0.3">
      <c r="D7898" s="7"/>
    </row>
    <row r="7899" spans="4:4" x14ac:dyDescent="0.3">
      <c r="D7899" s="7"/>
    </row>
    <row r="7900" spans="4:4" x14ac:dyDescent="0.3">
      <c r="D7900" s="7"/>
    </row>
    <row r="7901" spans="4:4" x14ac:dyDescent="0.3">
      <c r="D7901" s="7"/>
    </row>
    <row r="7902" spans="4:4" x14ac:dyDescent="0.3">
      <c r="D7902" s="7"/>
    </row>
    <row r="7903" spans="4:4" x14ac:dyDescent="0.3">
      <c r="D7903" s="7"/>
    </row>
    <row r="7904" spans="4:4" x14ac:dyDescent="0.3">
      <c r="D7904" s="7"/>
    </row>
    <row r="7905" spans="4:4" x14ac:dyDescent="0.3">
      <c r="D7905" s="7"/>
    </row>
    <row r="7906" spans="4:4" x14ac:dyDescent="0.3">
      <c r="D7906" s="7"/>
    </row>
    <row r="7907" spans="4:4" x14ac:dyDescent="0.3">
      <c r="D7907" s="7"/>
    </row>
    <row r="7908" spans="4:4" x14ac:dyDescent="0.3">
      <c r="D7908" s="7"/>
    </row>
    <row r="7909" spans="4:4" x14ac:dyDescent="0.3">
      <c r="D7909" s="7"/>
    </row>
    <row r="7910" spans="4:4" x14ac:dyDescent="0.3">
      <c r="D7910" s="7"/>
    </row>
    <row r="7911" spans="4:4" x14ac:dyDescent="0.3">
      <c r="D7911" s="7"/>
    </row>
    <row r="7912" spans="4:4" x14ac:dyDescent="0.3">
      <c r="D7912" s="7"/>
    </row>
    <row r="7913" spans="4:4" x14ac:dyDescent="0.3">
      <c r="D7913" s="7"/>
    </row>
    <row r="7914" spans="4:4" x14ac:dyDescent="0.3">
      <c r="D7914" s="7"/>
    </row>
    <row r="7915" spans="4:4" x14ac:dyDescent="0.3">
      <c r="D7915" s="7"/>
    </row>
    <row r="7916" spans="4:4" x14ac:dyDescent="0.3">
      <c r="D7916" s="7"/>
    </row>
    <row r="7917" spans="4:4" x14ac:dyDescent="0.3">
      <c r="D7917" s="7"/>
    </row>
    <row r="7918" spans="4:4" x14ac:dyDescent="0.3">
      <c r="D7918" s="7"/>
    </row>
    <row r="7919" spans="4:4" x14ac:dyDescent="0.3">
      <c r="D7919" s="7"/>
    </row>
    <row r="7920" spans="4:4" x14ac:dyDescent="0.3">
      <c r="D7920" s="7"/>
    </row>
    <row r="7921" spans="4:4" x14ac:dyDescent="0.3">
      <c r="D7921" s="7"/>
    </row>
    <row r="7922" spans="4:4" x14ac:dyDescent="0.3">
      <c r="D7922" s="7"/>
    </row>
    <row r="7923" spans="4:4" x14ac:dyDescent="0.3">
      <c r="D7923" s="7"/>
    </row>
    <row r="7924" spans="4:4" x14ac:dyDescent="0.3">
      <c r="D7924" s="7"/>
    </row>
    <row r="7925" spans="4:4" x14ac:dyDescent="0.3">
      <c r="D7925" s="7"/>
    </row>
    <row r="7926" spans="4:4" x14ac:dyDescent="0.3">
      <c r="D7926" s="7"/>
    </row>
    <row r="7927" spans="4:4" x14ac:dyDescent="0.3">
      <c r="D7927" s="7"/>
    </row>
    <row r="7928" spans="4:4" x14ac:dyDescent="0.3">
      <c r="D7928" s="7"/>
    </row>
    <row r="7929" spans="4:4" x14ac:dyDescent="0.3">
      <c r="D7929" s="7"/>
    </row>
    <row r="7930" spans="4:4" x14ac:dyDescent="0.3">
      <c r="D7930" s="7"/>
    </row>
    <row r="7931" spans="4:4" x14ac:dyDescent="0.3">
      <c r="D7931" s="7"/>
    </row>
    <row r="7932" spans="4:4" x14ac:dyDescent="0.3">
      <c r="D7932" s="7"/>
    </row>
    <row r="7933" spans="4:4" x14ac:dyDescent="0.3">
      <c r="D7933" s="7"/>
    </row>
    <row r="7934" spans="4:4" x14ac:dyDescent="0.3">
      <c r="D7934" s="7"/>
    </row>
    <row r="7935" spans="4:4" x14ac:dyDescent="0.3">
      <c r="D7935" s="7"/>
    </row>
    <row r="7936" spans="4:4" x14ac:dyDescent="0.3">
      <c r="D7936" s="7"/>
    </row>
    <row r="7937" spans="4:4" x14ac:dyDescent="0.3">
      <c r="D7937" s="7"/>
    </row>
    <row r="7938" spans="4:4" x14ac:dyDescent="0.3">
      <c r="D7938" s="7"/>
    </row>
    <row r="7939" spans="4:4" x14ac:dyDescent="0.3">
      <c r="D7939" s="7"/>
    </row>
    <row r="7940" spans="4:4" x14ac:dyDescent="0.3">
      <c r="D7940" s="7"/>
    </row>
    <row r="7941" spans="4:4" x14ac:dyDescent="0.3">
      <c r="D7941" s="7"/>
    </row>
    <row r="7942" spans="4:4" x14ac:dyDescent="0.3">
      <c r="D7942" s="7"/>
    </row>
    <row r="7943" spans="4:4" x14ac:dyDescent="0.3">
      <c r="D7943" s="7"/>
    </row>
    <row r="7944" spans="4:4" x14ac:dyDescent="0.3">
      <c r="D7944" s="7"/>
    </row>
    <row r="7945" spans="4:4" x14ac:dyDescent="0.3">
      <c r="D7945" s="7"/>
    </row>
    <row r="7946" spans="4:4" x14ac:dyDescent="0.3">
      <c r="D7946" s="7"/>
    </row>
    <row r="7947" spans="4:4" x14ac:dyDescent="0.3">
      <c r="D7947" s="7"/>
    </row>
    <row r="7948" spans="4:4" x14ac:dyDescent="0.3">
      <c r="D7948" s="7"/>
    </row>
    <row r="7949" spans="4:4" x14ac:dyDescent="0.3">
      <c r="D7949" s="7"/>
    </row>
    <row r="7950" spans="4:4" x14ac:dyDescent="0.3">
      <c r="D7950" s="7"/>
    </row>
    <row r="7951" spans="4:4" x14ac:dyDescent="0.3">
      <c r="D7951" s="7"/>
    </row>
    <row r="7952" spans="4:4" x14ac:dyDescent="0.3">
      <c r="D7952" s="7"/>
    </row>
    <row r="7953" spans="4:4" x14ac:dyDescent="0.3">
      <c r="D7953" s="7"/>
    </row>
    <row r="7954" spans="4:4" x14ac:dyDescent="0.3">
      <c r="D7954" s="7"/>
    </row>
    <row r="7955" spans="4:4" x14ac:dyDescent="0.3">
      <c r="D7955" s="7"/>
    </row>
    <row r="7956" spans="4:4" x14ac:dyDescent="0.3">
      <c r="D7956" s="7"/>
    </row>
    <row r="7957" spans="4:4" x14ac:dyDescent="0.3">
      <c r="D7957" s="7"/>
    </row>
    <row r="7958" spans="4:4" x14ac:dyDescent="0.3">
      <c r="D7958" s="7"/>
    </row>
    <row r="7959" spans="4:4" x14ac:dyDescent="0.3">
      <c r="D7959" s="7"/>
    </row>
    <row r="7960" spans="4:4" x14ac:dyDescent="0.3">
      <c r="D7960" s="7"/>
    </row>
    <row r="7961" spans="4:4" x14ac:dyDescent="0.3">
      <c r="D7961" s="7"/>
    </row>
    <row r="7962" spans="4:4" x14ac:dyDescent="0.3">
      <c r="D7962" s="7"/>
    </row>
    <row r="7963" spans="4:4" x14ac:dyDescent="0.3">
      <c r="D7963" s="7"/>
    </row>
    <row r="7964" spans="4:4" x14ac:dyDescent="0.3">
      <c r="D7964" s="7"/>
    </row>
    <row r="7965" spans="4:4" x14ac:dyDescent="0.3">
      <c r="D7965" s="7"/>
    </row>
    <row r="7966" spans="4:4" x14ac:dyDescent="0.3">
      <c r="D7966" s="7"/>
    </row>
    <row r="7967" spans="4:4" x14ac:dyDescent="0.3">
      <c r="D7967" s="7"/>
    </row>
    <row r="7968" spans="4:4" x14ac:dyDescent="0.3">
      <c r="D7968" s="7"/>
    </row>
    <row r="7969" spans="4:4" x14ac:dyDescent="0.3">
      <c r="D7969" s="7"/>
    </row>
    <row r="7970" spans="4:4" x14ac:dyDescent="0.3">
      <c r="D7970" s="7"/>
    </row>
    <row r="7971" spans="4:4" x14ac:dyDescent="0.3">
      <c r="D7971" s="7"/>
    </row>
    <row r="7972" spans="4:4" x14ac:dyDescent="0.3">
      <c r="D7972" s="7"/>
    </row>
    <row r="7973" spans="4:4" x14ac:dyDescent="0.3">
      <c r="D7973" s="7"/>
    </row>
    <row r="7974" spans="4:4" x14ac:dyDescent="0.3">
      <c r="D7974" s="7"/>
    </row>
    <row r="7975" spans="4:4" x14ac:dyDescent="0.3">
      <c r="D7975" s="7"/>
    </row>
    <row r="7976" spans="4:4" x14ac:dyDescent="0.3">
      <c r="D7976" s="7"/>
    </row>
    <row r="7977" spans="4:4" x14ac:dyDescent="0.3">
      <c r="D7977" s="7"/>
    </row>
    <row r="7978" spans="4:4" x14ac:dyDescent="0.3">
      <c r="D7978" s="7"/>
    </row>
    <row r="7979" spans="4:4" x14ac:dyDescent="0.3">
      <c r="D7979" s="7"/>
    </row>
    <row r="7980" spans="4:4" x14ac:dyDescent="0.3">
      <c r="D7980" s="7"/>
    </row>
    <row r="7981" spans="4:4" x14ac:dyDescent="0.3">
      <c r="D7981" s="7"/>
    </row>
    <row r="7982" spans="4:4" x14ac:dyDescent="0.3">
      <c r="D7982" s="7"/>
    </row>
    <row r="7983" spans="4:4" x14ac:dyDescent="0.3">
      <c r="D7983" s="7"/>
    </row>
    <row r="7984" spans="4:4" x14ac:dyDescent="0.3">
      <c r="D7984" s="7"/>
    </row>
    <row r="7985" spans="4:4" x14ac:dyDescent="0.3">
      <c r="D7985" s="7"/>
    </row>
    <row r="7986" spans="4:4" x14ac:dyDescent="0.3">
      <c r="D7986" s="7"/>
    </row>
    <row r="7987" spans="4:4" x14ac:dyDescent="0.3">
      <c r="D7987" s="7"/>
    </row>
    <row r="7988" spans="4:4" x14ac:dyDescent="0.3">
      <c r="D7988" s="7"/>
    </row>
    <row r="7989" spans="4:4" x14ac:dyDescent="0.3">
      <c r="D7989" s="7"/>
    </row>
    <row r="7990" spans="4:4" x14ac:dyDescent="0.3">
      <c r="D7990" s="7"/>
    </row>
    <row r="7991" spans="4:4" x14ac:dyDescent="0.3">
      <c r="D7991" s="7"/>
    </row>
    <row r="7992" spans="4:4" x14ac:dyDescent="0.3">
      <c r="D7992" s="7"/>
    </row>
    <row r="7993" spans="4:4" x14ac:dyDescent="0.3">
      <c r="D7993" s="7"/>
    </row>
    <row r="7994" spans="4:4" x14ac:dyDescent="0.3">
      <c r="D7994" s="7"/>
    </row>
    <row r="7995" spans="4:4" x14ac:dyDescent="0.3">
      <c r="D7995" s="7"/>
    </row>
    <row r="7996" spans="4:4" x14ac:dyDescent="0.3">
      <c r="D7996" s="7"/>
    </row>
    <row r="7997" spans="4:4" x14ac:dyDescent="0.3">
      <c r="D7997" s="7"/>
    </row>
    <row r="7998" spans="4:4" x14ac:dyDescent="0.3">
      <c r="D7998" s="7"/>
    </row>
    <row r="7999" spans="4:4" x14ac:dyDescent="0.3">
      <c r="D7999" s="7"/>
    </row>
    <row r="8000" spans="4:4" x14ac:dyDescent="0.3">
      <c r="D8000" s="7"/>
    </row>
    <row r="8001" spans="4:4" x14ac:dyDescent="0.3">
      <c r="D8001" s="7"/>
    </row>
    <row r="8002" spans="4:4" x14ac:dyDescent="0.3">
      <c r="D8002" s="7"/>
    </row>
    <row r="8003" spans="4:4" x14ac:dyDescent="0.3">
      <c r="D8003" s="7"/>
    </row>
    <row r="8004" spans="4:4" x14ac:dyDescent="0.3">
      <c r="D8004" s="7"/>
    </row>
    <row r="8005" spans="4:4" x14ac:dyDescent="0.3">
      <c r="D8005" s="7"/>
    </row>
    <row r="8006" spans="4:4" x14ac:dyDescent="0.3">
      <c r="D8006" s="7"/>
    </row>
    <row r="8007" spans="4:4" x14ac:dyDescent="0.3">
      <c r="D8007" s="7"/>
    </row>
    <row r="8008" spans="4:4" x14ac:dyDescent="0.3">
      <c r="D8008" s="7"/>
    </row>
    <row r="8009" spans="4:4" x14ac:dyDescent="0.3">
      <c r="D8009" s="7"/>
    </row>
    <row r="8010" spans="4:4" x14ac:dyDescent="0.3">
      <c r="D8010" s="7"/>
    </row>
    <row r="8011" spans="4:4" x14ac:dyDescent="0.3">
      <c r="D8011" s="7"/>
    </row>
    <row r="8012" spans="4:4" x14ac:dyDescent="0.3">
      <c r="D8012" s="7"/>
    </row>
    <row r="8013" spans="4:4" x14ac:dyDescent="0.3">
      <c r="D8013" s="7"/>
    </row>
    <row r="8014" spans="4:4" x14ac:dyDescent="0.3">
      <c r="D8014" s="7"/>
    </row>
    <row r="8015" spans="4:4" x14ac:dyDescent="0.3">
      <c r="D8015" s="7"/>
    </row>
    <row r="8016" spans="4:4" x14ac:dyDescent="0.3">
      <c r="D8016" s="7"/>
    </row>
    <row r="8017" spans="4:4" x14ac:dyDescent="0.3">
      <c r="D8017" s="7"/>
    </row>
    <row r="8018" spans="4:4" x14ac:dyDescent="0.3">
      <c r="D8018" s="7"/>
    </row>
    <row r="8019" spans="4:4" x14ac:dyDescent="0.3">
      <c r="D8019" s="7"/>
    </row>
    <row r="8020" spans="4:4" x14ac:dyDescent="0.3">
      <c r="D8020" s="7"/>
    </row>
    <row r="8021" spans="4:4" x14ac:dyDescent="0.3">
      <c r="D8021" s="7"/>
    </row>
    <row r="8022" spans="4:4" x14ac:dyDescent="0.3">
      <c r="D8022" s="7"/>
    </row>
    <row r="8023" spans="4:4" x14ac:dyDescent="0.3">
      <c r="D8023" s="7"/>
    </row>
    <row r="8024" spans="4:4" x14ac:dyDescent="0.3">
      <c r="D8024" s="7"/>
    </row>
    <row r="8025" spans="4:4" x14ac:dyDescent="0.3">
      <c r="D8025" s="7"/>
    </row>
    <row r="8026" spans="4:4" x14ac:dyDescent="0.3">
      <c r="D8026" s="7"/>
    </row>
    <row r="8027" spans="4:4" x14ac:dyDescent="0.3">
      <c r="D8027" s="7"/>
    </row>
    <row r="8028" spans="4:4" x14ac:dyDescent="0.3">
      <c r="D8028" s="7"/>
    </row>
    <row r="8029" spans="4:4" x14ac:dyDescent="0.3">
      <c r="D8029" s="7"/>
    </row>
    <row r="8030" spans="4:4" x14ac:dyDescent="0.3">
      <c r="D8030" s="7"/>
    </row>
    <row r="8031" spans="4:4" x14ac:dyDescent="0.3">
      <c r="D8031" s="7"/>
    </row>
    <row r="8032" spans="4:4" x14ac:dyDescent="0.3">
      <c r="D8032" s="7"/>
    </row>
    <row r="8033" spans="4:4" x14ac:dyDescent="0.3">
      <c r="D8033" s="7"/>
    </row>
    <row r="8034" spans="4:4" x14ac:dyDescent="0.3">
      <c r="D8034" s="7"/>
    </row>
    <row r="8035" spans="4:4" x14ac:dyDescent="0.3">
      <c r="D8035" s="7"/>
    </row>
    <row r="8036" spans="4:4" x14ac:dyDescent="0.3">
      <c r="D8036" s="7"/>
    </row>
    <row r="8037" spans="4:4" x14ac:dyDescent="0.3">
      <c r="D8037" s="7"/>
    </row>
    <row r="8038" spans="4:4" x14ac:dyDescent="0.3">
      <c r="D8038" s="7"/>
    </row>
    <row r="8039" spans="4:4" x14ac:dyDescent="0.3">
      <c r="D8039" s="7"/>
    </row>
    <row r="8040" spans="4:4" x14ac:dyDescent="0.3">
      <c r="D8040" s="7"/>
    </row>
    <row r="8041" spans="4:4" x14ac:dyDescent="0.3">
      <c r="D8041" s="7"/>
    </row>
    <row r="8042" spans="4:4" x14ac:dyDescent="0.3">
      <c r="D8042" s="7"/>
    </row>
    <row r="8043" spans="4:4" x14ac:dyDescent="0.3">
      <c r="D8043" s="7"/>
    </row>
    <row r="8044" spans="4:4" x14ac:dyDescent="0.3">
      <c r="D8044" s="7"/>
    </row>
    <row r="8045" spans="4:4" x14ac:dyDescent="0.3">
      <c r="D8045" s="7"/>
    </row>
    <row r="8046" spans="4:4" x14ac:dyDescent="0.3">
      <c r="D8046" s="7"/>
    </row>
    <row r="8047" spans="4:4" x14ac:dyDescent="0.3">
      <c r="D8047" s="7"/>
    </row>
    <row r="8048" spans="4:4" x14ac:dyDescent="0.3">
      <c r="D8048" s="7"/>
    </row>
    <row r="8049" spans="4:4" x14ac:dyDescent="0.3">
      <c r="D8049" s="7"/>
    </row>
    <row r="8050" spans="4:4" x14ac:dyDescent="0.3">
      <c r="D8050" s="7"/>
    </row>
    <row r="8051" spans="4:4" x14ac:dyDescent="0.3">
      <c r="D8051" s="7"/>
    </row>
    <row r="8052" spans="4:4" x14ac:dyDescent="0.3">
      <c r="D8052" s="7"/>
    </row>
    <row r="8053" spans="4:4" x14ac:dyDescent="0.3">
      <c r="D8053" s="7"/>
    </row>
    <row r="8054" spans="4:4" x14ac:dyDescent="0.3">
      <c r="D8054" s="7"/>
    </row>
    <row r="8055" spans="4:4" x14ac:dyDescent="0.3">
      <c r="D8055" s="7"/>
    </row>
    <row r="8056" spans="4:4" x14ac:dyDescent="0.3">
      <c r="D8056" s="7"/>
    </row>
    <row r="8057" spans="4:4" x14ac:dyDescent="0.3">
      <c r="D8057" s="7"/>
    </row>
    <row r="8058" spans="4:4" x14ac:dyDescent="0.3">
      <c r="D8058" s="7"/>
    </row>
    <row r="8059" spans="4:4" x14ac:dyDescent="0.3">
      <c r="D8059" s="7"/>
    </row>
    <row r="8060" spans="4:4" x14ac:dyDescent="0.3">
      <c r="D8060" s="7"/>
    </row>
    <row r="8061" spans="4:4" x14ac:dyDescent="0.3">
      <c r="D8061" s="7"/>
    </row>
    <row r="8062" spans="4:4" x14ac:dyDescent="0.3">
      <c r="D8062" s="7"/>
    </row>
    <row r="8063" spans="4:4" x14ac:dyDescent="0.3">
      <c r="D8063" s="7"/>
    </row>
    <row r="8064" spans="4:4" x14ac:dyDescent="0.3">
      <c r="D8064" s="7"/>
    </row>
    <row r="8065" spans="4:4" x14ac:dyDescent="0.3">
      <c r="D8065" s="7"/>
    </row>
    <row r="8066" spans="4:4" x14ac:dyDescent="0.3">
      <c r="D8066" s="7"/>
    </row>
    <row r="8067" spans="4:4" x14ac:dyDescent="0.3">
      <c r="D8067" s="7"/>
    </row>
    <row r="8068" spans="4:4" x14ac:dyDescent="0.3">
      <c r="D8068" s="7"/>
    </row>
    <row r="8069" spans="4:4" x14ac:dyDescent="0.3">
      <c r="D8069" s="7"/>
    </row>
    <row r="8070" spans="4:4" x14ac:dyDescent="0.3">
      <c r="D8070" s="7"/>
    </row>
    <row r="8071" spans="4:4" x14ac:dyDescent="0.3">
      <c r="D8071" s="7"/>
    </row>
    <row r="8072" spans="4:4" x14ac:dyDescent="0.3">
      <c r="D8072" s="7"/>
    </row>
    <row r="8073" spans="4:4" x14ac:dyDescent="0.3">
      <c r="D8073" s="7"/>
    </row>
    <row r="8074" spans="4:4" x14ac:dyDescent="0.3">
      <c r="D8074" s="7"/>
    </row>
    <row r="8075" spans="4:4" x14ac:dyDescent="0.3">
      <c r="D8075" s="7"/>
    </row>
    <row r="8076" spans="4:4" x14ac:dyDescent="0.3">
      <c r="D8076" s="7"/>
    </row>
    <row r="8077" spans="4:4" x14ac:dyDescent="0.3">
      <c r="D8077" s="7"/>
    </row>
    <row r="8078" spans="4:4" x14ac:dyDescent="0.3">
      <c r="D8078" s="7"/>
    </row>
    <row r="8079" spans="4:4" x14ac:dyDescent="0.3">
      <c r="D8079" s="7"/>
    </row>
    <row r="8080" spans="4:4" x14ac:dyDescent="0.3">
      <c r="D8080" s="7"/>
    </row>
    <row r="8081" spans="4:4" x14ac:dyDescent="0.3">
      <c r="D8081" s="7"/>
    </row>
    <row r="8082" spans="4:4" x14ac:dyDescent="0.3">
      <c r="D8082" s="7"/>
    </row>
    <row r="8083" spans="4:4" x14ac:dyDescent="0.3">
      <c r="D8083" s="7"/>
    </row>
    <row r="8084" spans="4:4" x14ac:dyDescent="0.3">
      <c r="D8084" s="7"/>
    </row>
    <row r="8085" spans="4:4" x14ac:dyDescent="0.3">
      <c r="D8085" s="7"/>
    </row>
    <row r="8086" spans="4:4" x14ac:dyDescent="0.3">
      <c r="D8086" s="7"/>
    </row>
    <row r="8087" spans="4:4" x14ac:dyDescent="0.3">
      <c r="D8087" s="7"/>
    </row>
    <row r="8088" spans="4:4" x14ac:dyDescent="0.3">
      <c r="D8088" s="7"/>
    </row>
    <row r="8089" spans="4:4" x14ac:dyDescent="0.3">
      <c r="D8089" s="7"/>
    </row>
    <row r="8090" spans="4:4" x14ac:dyDescent="0.3">
      <c r="D8090" s="7"/>
    </row>
    <row r="8091" spans="4:4" x14ac:dyDescent="0.3">
      <c r="D8091" s="7"/>
    </row>
    <row r="8092" spans="4:4" x14ac:dyDescent="0.3">
      <c r="D8092" s="7"/>
    </row>
    <row r="8093" spans="4:4" x14ac:dyDescent="0.3">
      <c r="D8093" s="7"/>
    </row>
    <row r="8094" spans="4:4" x14ac:dyDescent="0.3">
      <c r="D8094" s="7"/>
    </row>
    <row r="8095" spans="4:4" x14ac:dyDescent="0.3">
      <c r="D8095" s="7"/>
    </row>
    <row r="8096" spans="4:4" x14ac:dyDescent="0.3">
      <c r="D8096" s="7"/>
    </row>
    <row r="8097" spans="4:4" x14ac:dyDescent="0.3">
      <c r="D8097" s="7"/>
    </row>
    <row r="8098" spans="4:4" x14ac:dyDescent="0.3">
      <c r="D8098" s="7"/>
    </row>
    <row r="8099" spans="4:4" x14ac:dyDescent="0.3">
      <c r="D8099" s="7"/>
    </row>
    <row r="8100" spans="4:4" x14ac:dyDescent="0.3">
      <c r="D8100" s="7"/>
    </row>
    <row r="8101" spans="4:4" x14ac:dyDescent="0.3">
      <c r="D8101" s="7"/>
    </row>
    <row r="8102" spans="4:4" x14ac:dyDescent="0.3">
      <c r="D8102" s="7"/>
    </row>
    <row r="8103" spans="4:4" x14ac:dyDescent="0.3">
      <c r="D8103" s="7"/>
    </row>
    <row r="8104" spans="4:4" x14ac:dyDescent="0.3">
      <c r="D8104" s="7"/>
    </row>
    <row r="8105" spans="4:4" x14ac:dyDescent="0.3">
      <c r="D8105" s="7"/>
    </row>
    <row r="8106" spans="4:4" x14ac:dyDescent="0.3">
      <c r="D8106" s="7"/>
    </row>
    <row r="8107" spans="4:4" x14ac:dyDescent="0.3">
      <c r="D8107" s="7"/>
    </row>
    <row r="8108" spans="4:4" x14ac:dyDescent="0.3">
      <c r="D8108" s="7"/>
    </row>
    <row r="8109" spans="4:4" x14ac:dyDescent="0.3">
      <c r="D8109" s="7"/>
    </row>
    <row r="8110" spans="4:4" x14ac:dyDescent="0.3">
      <c r="D8110" s="7"/>
    </row>
    <row r="8111" spans="4:4" x14ac:dyDescent="0.3">
      <c r="D8111" s="7"/>
    </row>
    <row r="8112" spans="4:4" x14ac:dyDescent="0.3">
      <c r="D8112" s="7"/>
    </row>
    <row r="8113" spans="4:4" x14ac:dyDescent="0.3">
      <c r="D8113" s="7"/>
    </row>
    <row r="8114" spans="4:4" x14ac:dyDescent="0.3">
      <c r="D8114" s="7"/>
    </row>
    <row r="8115" spans="4:4" x14ac:dyDescent="0.3">
      <c r="D8115" s="7"/>
    </row>
    <row r="8116" spans="4:4" x14ac:dyDescent="0.3">
      <c r="D8116" s="7"/>
    </row>
    <row r="8117" spans="4:4" x14ac:dyDescent="0.3">
      <c r="D8117" s="7"/>
    </row>
    <row r="8118" spans="4:4" x14ac:dyDescent="0.3">
      <c r="D8118" s="7"/>
    </row>
    <row r="8119" spans="4:4" x14ac:dyDescent="0.3">
      <c r="D8119" s="7"/>
    </row>
    <row r="8120" spans="4:4" x14ac:dyDescent="0.3">
      <c r="D8120" s="7"/>
    </row>
    <row r="8121" spans="4:4" x14ac:dyDescent="0.3">
      <c r="D8121" s="7"/>
    </row>
    <row r="8122" spans="4:4" x14ac:dyDescent="0.3">
      <c r="D8122" s="7"/>
    </row>
    <row r="8123" spans="4:4" x14ac:dyDescent="0.3">
      <c r="D8123" s="7"/>
    </row>
    <row r="8124" spans="4:4" x14ac:dyDescent="0.3">
      <c r="D8124" s="7"/>
    </row>
    <row r="8125" spans="4:4" x14ac:dyDescent="0.3">
      <c r="D8125" s="7"/>
    </row>
    <row r="8126" spans="4:4" x14ac:dyDescent="0.3">
      <c r="D8126" s="7"/>
    </row>
    <row r="8127" spans="4:4" x14ac:dyDescent="0.3">
      <c r="D8127" s="7"/>
    </row>
    <row r="8128" spans="4:4" x14ac:dyDescent="0.3">
      <c r="D8128" s="7"/>
    </row>
    <row r="8129" spans="4:4" x14ac:dyDescent="0.3">
      <c r="D8129" s="7"/>
    </row>
    <row r="8130" spans="4:4" x14ac:dyDescent="0.3">
      <c r="D8130" s="7"/>
    </row>
    <row r="8131" spans="4:4" x14ac:dyDescent="0.3">
      <c r="D8131" s="7"/>
    </row>
    <row r="8132" spans="4:4" x14ac:dyDescent="0.3">
      <c r="D8132" s="7"/>
    </row>
    <row r="8133" spans="4:4" x14ac:dyDescent="0.3">
      <c r="D8133" s="7"/>
    </row>
    <row r="8134" spans="4:4" x14ac:dyDescent="0.3">
      <c r="D8134" s="7"/>
    </row>
    <row r="8135" spans="4:4" x14ac:dyDescent="0.3">
      <c r="D8135" s="7"/>
    </row>
    <row r="8136" spans="4:4" x14ac:dyDescent="0.3">
      <c r="D8136" s="7"/>
    </row>
    <row r="8137" spans="4:4" x14ac:dyDescent="0.3">
      <c r="D8137" s="7"/>
    </row>
    <row r="8138" spans="4:4" x14ac:dyDescent="0.3">
      <c r="D8138" s="7"/>
    </row>
    <row r="8139" spans="4:4" x14ac:dyDescent="0.3">
      <c r="D8139" s="7"/>
    </row>
    <row r="8140" spans="4:4" x14ac:dyDescent="0.3">
      <c r="D8140" s="7"/>
    </row>
    <row r="8141" spans="4:4" x14ac:dyDescent="0.3">
      <c r="D8141" s="7"/>
    </row>
    <row r="8142" spans="4:4" x14ac:dyDescent="0.3">
      <c r="D8142" s="7"/>
    </row>
    <row r="8143" spans="4:4" x14ac:dyDescent="0.3">
      <c r="D8143" s="7"/>
    </row>
    <row r="8144" spans="4:4" x14ac:dyDescent="0.3">
      <c r="D8144" s="7"/>
    </row>
    <row r="8145" spans="4:4" x14ac:dyDescent="0.3">
      <c r="D8145" s="7"/>
    </row>
    <row r="8146" spans="4:4" x14ac:dyDescent="0.3">
      <c r="D8146" s="7"/>
    </row>
    <row r="8147" spans="4:4" x14ac:dyDescent="0.3">
      <c r="D8147" s="7"/>
    </row>
    <row r="8148" spans="4:4" x14ac:dyDescent="0.3">
      <c r="D8148" s="7"/>
    </row>
    <row r="8149" spans="4:4" x14ac:dyDescent="0.3">
      <c r="D8149" s="7"/>
    </row>
    <row r="8150" spans="4:4" x14ac:dyDescent="0.3">
      <c r="D8150" s="7"/>
    </row>
    <row r="8151" spans="4:4" x14ac:dyDescent="0.3">
      <c r="D8151" s="7"/>
    </row>
    <row r="8152" spans="4:4" x14ac:dyDescent="0.3">
      <c r="D8152" s="7"/>
    </row>
    <row r="8153" spans="4:4" x14ac:dyDescent="0.3">
      <c r="D8153" s="7"/>
    </row>
    <row r="8154" spans="4:4" x14ac:dyDescent="0.3">
      <c r="D8154" s="7"/>
    </row>
    <row r="8155" spans="4:4" x14ac:dyDescent="0.3">
      <c r="D8155" s="7"/>
    </row>
    <row r="8156" spans="4:4" x14ac:dyDescent="0.3">
      <c r="D8156" s="7"/>
    </row>
    <row r="8157" spans="4:4" x14ac:dyDescent="0.3">
      <c r="D8157" s="7"/>
    </row>
    <row r="8158" spans="4:4" x14ac:dyDescent="0.3">
      <c r="D8158" s="7"/>
    </row>
    <row r="8159" spans="4:4" x14ac:dyDescent="0.3">
      <c r="D8159" s="7"/>
    </row>
    <row r="8160" spans="4:4" x14ac:dyDescent="0.3">
      <c r="D8160" s="7"/>
    </row>
    <row r="8161" spans="4:4" x14ac:dyDescent="0.3">
      <c r="D8161" s="7"/>
    </row>
    <row r="8162" spans="4:4" x14ac:dyDescent="0.3">
      <c r="D8162" s="7"/>
    </row>
    <row r="8163" spans="4:4" x14ac:dyDescent="0.3">
      <c r="D8163" s="7"/>
    </row>
    <row r="8164" spans="4:4" x14ac:dyDescent="0.3">
      <c r="D8164" s="7"/>
    </row>
    <row r="8165" spans="4:4" x14ac:dyDescent="0.3">
      <c r="D8165" s="7"/>
    </row>
    <row r="8166" spans="4:4" x14ac:dyDescent="0.3">
      <c r="D8166" s="7"/>
    </row>
    <row r="8167" spans="4:4" x14ac:dyDescent="0.3">
      <c r="D8167" s="7"/>
    </row>
    <row r="8168" spans="4:4" x14ac:dyDescent="0.3">
      <c r="D8168" s="7"/>
    </row>
    <row r="8169" spans="4:4" x14ac:dyDescent="0.3">
      <c r="D8169" s="7"/>
    </row>
    <row r="8170" spans="4:4" x14ac:dyDescent="0.3">
      <c r="D8170" s="7"/>
    </row>
    <row r="8171" spans="4:4" x14ac:dyDescent="0.3">
      <c r="D8171" s="7"/>
    </row>
    <row r="8172" spans="4:4" x14ac:dyDescent="0.3">
      <c r="D8172" s="7"/>
    </row>
    <row r="8173" spans="4:4" x14ac:dyDescent="0.3">
      <c r="D8173" s="7"/>
    </row>
    <row r="8174" spans="4:4" x14ac:dyDescent="0.3">
      <c r="D8174" s="7"/>
    </row>
    <row r="8175" spans="4:4" x14ac:dyDescent="0.3">
      <c r="D8175" s="7"/>
    </row>
    <row r="8176" spans="4:4" x14ac:dyDescent="0.3">
      <c r="D8176" s="7"/>
    </row>
    <row r="8177" spans="4:4" x14ac:dyDescent="0.3">
      <c r="D8177" s="7"/>
    </row>
    <row r="8178" spans="4:4" x14ac:dyDescent="0.3">
      <c r="D8178" s="7"/>
    </row>
    <row r="8179" spans="4:4" x14ac:dyDescent="0.3">
      <c r="D8179" s="7"/>
    </row>
    <row r="8180" spans="4:4" x14ac:dyDescent="0.3">
      <c r="D8180" s="7"/>
    </row>
    <row r="8181" spans="4:4" x14ac:dyDescent="0.3">
      <c r="D8181" s="7"/>
    </row>
    <row r="8182" spans="4:4" x14ac:dyDescent="0.3">
      <c r="D8182" s="7"/>
    </row>
    <row r="8183" spans="4:4" x14ac:dyDescent="0.3">
      <c r="D8183" s="7"/>
    </row>
    <row r="8184" spans="4:4" x14ac:dyDescent="0.3">
      <c r="D8184" s="7"/>
    </row>
    <row r="8185" spans="4:4" x14ac:dyDescent="0.3">
      <c r="D8185" s="7"/>
    </row>
    <row r="8186" spans="4:4" x14ac:dyDescent="0.3">
      <c r="D8186" s="7"/>
    </row>
    <row r="8187" spans="4:4" x14ac:dyDescent="0.3">
      <c r="D8187" s="7"/>
    </row>
    <row r="8188" spans="4:4" x14ac:dyDescent="0.3">
      <c r="D8188" s="7"/>
    </row>
    <row r="8189" spans="4:4" x14ac:dyDescent="0.3">
      <c r="D8189" s="7"/>
    </row>
    <row r="8190" spans="4:4" x14ac:dyDescent="0.3">
      <c r="D8190" s="7"/>
    </row>
    <row r="8191" spans="4:4" x14ac:dyDescent="0.3">
      <c r="D8191" s="7"/>
    </row>
    <row r="8192" spans="4:4" x14ac:dyDescent="0.3">
      <c r="D8192" s="7"/>
    </row>
    <row r="8193" spans="4:4" x14ac:dyDescent="0.3">
      <c r="D8193" s="7"/>
    </row>
    <row r="8194" spans="4:4" x14ac:dyDescent="0.3">
      <c r="D8194" s="7"/>
    </row>
    <row r="8195" spans="4:4" x14ac:dyDescent="0.3">
      <c r="D8195" s="7"/>
    </row>
    <row r="8196" spans="4:4" x14ac:dyDescent="0.3">
      <c r="D8196" s="7"/>
    </row>
    <row r="8197" spans="4:4" x14ac:dyDescent="0.3">
      <c r="D8197" s="7"/>
    </row>
    <row r="8198" spans="4:4" x14ac:dyDescent="0.3">
      <c r="D8198" s="7"/>
    </row>
    <row r="8199" spans="4:4" x14ac:dyDescent="0.3">
      <c r="D8199" s="7"/>
    </row>
    <row r="8200" spans="4:4" x14ac:dyDescent="0.3">
      <c r="D8200" s="7"/>
    </row>
    <row r="8201" spans="4:4" x14ac:dyDescent="0.3">
      <c r="D8201" s="7"/>
    </row>
    <row r="8202" spans="4:4" x14ac:dyDescent="0.3">
      <c r="D8202" s="7"/>
    </row>
    <row r="8203" spans="4:4" x14ac:dyDescent="0.3">
      <c r="D8203" s="7"/>
    </row>
    <row r="8204" spans="4:4" x14ac:dyDescent="0.3">
      <c r="D8204" s="7"/>
    </row>
    <row r="8205" spans="4:4" x14ac:dyDescent="0.3">
      <c r="D8205" s="7"/>
    </row>
    <row r="8206" spans="4:4" x14ac:dyDescent="0.3">
      <c r="D8206" s="7"/>
    </row>
    <row r="8207" spans="4:4" x14ac:dyDescent="0.3">
      <c r="D8207" s="7"/>
    </row>
    <row r="8208" spans="4:4" x14ac:dyDescent="0.3">
      <c r="D8208" s="7"/>
    </row>
    <row r="8209" spans="4:4" x14ac:dyDescent="0.3">
      <c r="D8209" s="7"/>
    </row>
    <row r="8210" spans="4:4" x14ac:dyDescent="0.3">
      <c r="D8210" s="7"/>
    </row>
    <row r="8211" spans="4:4" x14ac:dyDescent="0.3">
      <c r="D8211" s="7"/>
    </row>
    <row r="8212" spans="4:4" x14ac:dyDescent="0.3">
      <c r="D8212" s="7"/>
    </row>
    <row r="8213" spans="4:4" x14ac:dyDescent="0.3">
      <c r="D8213" s="7"/>
    </row>
    <row r="8214" spans="4:4" x14ac:dyDescent="0.3">
      <c r="D8214" s="7"/>
    </row>
    <row r="8215" spans="4:4" x14ac:dyDescent="0.3">
      <c r="D8215" s="7"/>
    </row>
    <row r="8216" spans="4:4" x14ac:dyDescent="0.3">
      <c r="D8216" s="7"/>
    </row>
    <row r="8217" spans="4:4" x14ac:dyDescent="0.3">
      <c r="D8217" s="7"/>
    </row>
    <row r="8218" spans="4:4" x14ac:dyDescent="0.3">
      <c r="D8218" s="7"/>
    </row>
    <row r="8219" spans="4:4" x14ac:dyDescent="0.3">
      <c r="D8219" s="7"/>
    </row>
    <row r="8220" spans="4:4" x14ac:dyDescent="0.3">
      <c r="D8220" s="7"/>
    </row>
    <row r="8221" spans="4:4" x14ac:dyDescent="0.3">
      <c r="D8221" s="7"/>
    </row>
    <row r="8222" spans="4:4" x14ac:dyDescent="0.3">
      <c r="D8222" s="7"/>
    </row>
    <row r="8223" spans="4:4" x14ac:dyDescent="0.3">
      <c r="D8223" s="7"/>
    </row>
    <row r="8224" spans="4:4" x14ac:dyDescent="0.3">
      <c r="D8224" s="7"/>
    </row>
    <row r="8225" spans="4:4" x14ac:dyDescent="0.3">
      <c r="D8225" s="7"/>
    </row>
    <row r="8226" spans="4:4" x14ac:dyDescent="0.3">
      <c r="D8226" s="7"/>
    </row>
    <row r="8227" spans="4:4" x14ac:dyDescent="0.3">
      <c r="D8227" s="7"/>
    </row>
    <row r="8228" spans="4:4" x14ac:dyDescent="0.3">
      <c r="D8228" s="7"/>
    </row>
    <row r="8229" spans="4:4" x14ac:dyDescent="0.3">
      <c r="D8229" s="7"/>
    </row>
    <row r="8230" spans="4:4" x14ac:dyDescent="0.3">
      <c r="D8230" s="7"/>
    </row>
    <row r="8231" spans="4:4" x14ac:dyDescent="0.3">
      <c r="D8231" s="7"/>
    </row>
    <row r="8232" spans="4:4" x14ac:dyDescent="0.3">
      <c r="D8232" s="7"/>
    </row>
    <row r="8233" spans="4:4" x14ac:dyDescent="0.3">
      <c r="D8233" s="7"/>
    </row>
    <row r="8234" spans="4:4" x14ac:dyDescent="0.3">
      <c r="D8234" s="7"/>
    </row>
    <row r="8235" spans="4:4" x14ac:dyDescent="0.3">
      <c r="D8235" s="7"/>
    </row>
    <row r="8236" spans="4:4" x14ac:dyDescent="0.3">
      <c r="D8236" s="7"/>
    </row>
    <row r="8237" spans="4:4" x14ac:dyDescent="0.3">
      <c r="D8237" s="7"/>
    </row>
    <row r="8238" spans="4:4" x14ac:dyDescent="0.3">
      <c r="D8238" s="7"/>
    </row>
    <row r="8239" spans="4:4" x14ac:dyDescent="0.3">
      <c r="D8239" s="7"/>
    </row>
    <row r="8240" spans="4:4" x14ac:dyDescent="0.3">
      <c r="D8240" s="7"/>
    </row>
    <row r="8241" spans="4:4" x14ac:dyDescent="0.3">
      <c r="D8241" s="7"/>
    </row>
    <row r="8242" spans="4:4" x14ac:dyDescent="0.3">
      <c r="D8242" s="7"/>
    </row>
    <row r="8243" spans="4:4" x14ac:dyDescent="0.3">
      <c r="D8243" s="7"/>
    </row>
    <row r="8244" spans="4:4" x14ac:dyDescent="0.3">
      <c r="D8244" s="7"/>
    </row>
    <row r="8245" spans="4:4" x14ac:dyDescent="0.3">
      <c r="D8245" s="7"/>
    </row>
    <row r="8246" spans="4:4" x14ac:dyDescent="0.3">
      <c r="D8246" s="7"/>
    </row>
    <row r="8247" spans="4:4" x14ac:dyDescent="0.3">
      <c r="D8247" s="7"/>
    </row>
    <row r="8248" spans="4:4" x14ac:dyDescent="0.3">
      <c r="D8248" s="7"/>
    </row>
    <row r="8249" spans="4:4" x14ac:dyDescent="0.3">
      <c r="D8249" s="7"/>
    </row>
    <row r="8250" spans="4:4" x14ac:dyDescent="0.3">
      <c r="D8250" s="7"/>
    </row>
    <row r="8251" spans="4:4" x14ac:dyDescent="0.3">
      <c r="D8251" s="7"/>
    </row>
    <row r="8252" spans="4:4" x14ac:dyDescent="0.3">
      <c r="D8252" s="7"/>
    </row>
    <row r="8253" spans="4:4" x14ac:dyDescent="0.3">
      <c r="D8253" s="7"/>
    </row>
    <row r="8254" spans="4:4" x14ac:dyDescent="0.3">
      <c r="D8254" s="7"/>
    </row>
    <row r="8255" spans="4:4" x14ac:dyDescent="0.3">
      <c r="D8255" s="7"/>
    </row>
    <row r="8256" spans="4:4" x14ac:dyDescent="0.3">
      <c r="D8256" s="7"/>
    </row>
    <row r="8257" spans="4:4" x14ac:dyDescent="0.3">
      <c r="D8257" s="7"/>
    </row>
    <row r="8258" spans="4:4" x14ac:dyDescent="0.3">
      <c r="D8258" s="7"/>
    </row>
    <row r="8259" spans="4:4" x14ac:dyDescent="0.3">
      <c r="D8259" s="7"/>
    </row>
    <row r="8260" spans="4:4" x14ac:dyDescent="0.3">
      <c r="D8260" s="7"/>
    </row>
    <row r="8261" spans="4:4" x14ac:dyDescent="0.3">
      <c r="D8261" s="7"/>
    </row>
    <row r="8262" spans="4:4" x14ac:dyDescent="0.3">
      <c r="D8262" s="7"/>
    </row>
    <row r="8263" spans="4:4" x14ac:dyDescent="0.3">
      <c r="D8263" s="7"/>
    </row>
    <row r="8264" spans="4:4" x14ac:dyDescent="0.3">
      <c r="D8264" s="7"/>
    </row>
    <row r="8265" spans="4:4" x14ac:dyDescent="0.3">
      <c r="D8265" s="7"/>
    </row>
    <row r="8266" spans="4:4" x14ac:dyDescent="0.3">
      <c r="D8266" s="7"/>
    </row>
    <row r="8267" spans="4:4" x14ac:dyDescent="0.3">
      <c r="D8267" s="7"/>
    </row>
    <row r="8268" spans="4:4" x14ac:dyDescent="0.3">
      <c r="D8268" s="7"/>
    </row>
    <row r="8269" spans="4:4" x14ac:dyDescent="0.3">
      <c r="D8269" s="7"/>
    </row>
    <row r="8270" spans="4:4" x14ac:dyDescent="0.3">
      <c r="D8270" s="7"/>
    </row>
    <row r="8271" spans="4:4" x14ac:dyDescent="0.3">
      <c r="D8271" s="7"/>
    </row>
    <row r="8272" spans="4:4" x14ac:dyDescent="0.3">
      <c r="D8272" s="7"/>
    </row>
    <row r="8273" spans="4:4" x14ac:dyDescent="0.3">
      <c r="D8273" s="7"/>
    </row>
    <row r="8274" spans="4:4" x14ac:dyDescent="0.3">
      <c r="D8274" s="7"/>
    </row>
    <row r="8275" spans="4:4" x14ac:dyDescent="0.3">
      <c r="D8275" s="7"/>
    </row>
    <row r="8276" spans="4:4" x14ac:dyDescent="0.3">
      <c r="D8276" s="7"/>
    </row>
    <row r="8277" spans="4:4" x14ac:dyDescent="0.3">
      <c r="D8277" s="7"/>
    </row>
    <row r="8278" spans="4:4" x14ac:dyDescent="0.3">
      <c r="D8278" s="7"/>
    </row>
    <row r="8279" spans="4:4" x14ac:dyDescent="0.3">
      <c r="D8279" s="7"/>
    </row>
    <row r="8280" spans="4:4" x14ac:dyDescent="0.3">
      <c r="D8280" s="7"/>
    </row>
    <row r="8281" spans="4:4" x14ac:dyDescent="0.3">
      <c r="D8281" s="7"/>
    </row>
    <row r="8282" spans="4:4" x14ac:dyDescent="0.3">
      <c r="D8282" s="7"/>
    </row>
    <row r="8283" spans="4:4" x14ac:dyDescent="0.3">
      <c r="D8283" s="7"/>
    </row>
    <row r="8284" spans="4:4" x14ac:dyDescent="0.3">
      <c r="D8284" s="7"/>
    </row>
    <row r="8285" spans="4:4" x14ac:dyDescent="0.3">
      <c r="D8285" s="7"/>
    </row>
    <row r="8286" spans="4:4" x14ac:dyDescent="0.3">
      <c r="D8286" s="7"/>
    </row>
    <row r="8287" spans="4:4" x14ac:dyDescent="0.3">
      <c r="D8287" s="7"/>
    </row>
    <row r="8288" spans="4:4" x14ac:dyDescent="0.3">
      <c r="D8288" s="7"/>
    </row>
    <row r="8289" spans="4:4" x14ac:dyDescent="0.3">
      <c r="D8289" s="7"/>
    </row>
    <row r="8290" spans="4:4" x14ac:dyDescent="0.3">
      <c r="D8290" s="7"/>
    </row>
    <row r="8291" spans="4:4" x14ac:dyDescent="0.3">
      <c r="D8291" s="7"/>
    </row>
    <row r="8292" spans="4:4" x14ac:dyDescent="0.3">
      <c r="D8292" s="7"/>
    </row>
    <row r="8293" spans="4:4" x14ac:dyDescent="0.3">
      <c r="D8293" s="7"/>
    </row>
    <row r="8294" spans="4:4" x14ac:dyDescent="0.3">
      <c r="D8294" s="7"/>
    </row>
    <row r="8295" spans="4:4" x14ac:dyDescent="0.3">
      <c r="D8295" s="7"/>
    </row>
    <row r="8296" spans="4:4" x14ac:dyDescent="0.3">
      <c r="D8296" s="7"/>
    </row>
    <row r="8297" spans="4:4" x14ac:dyDescent="0.3">
      <c r="D8297" s="7"/>
    </row>
    <row r="8298" spans="4:4" x14ac:dyDescent="0.3">
      <c r="D8298" s="7"/>
    </row>
    <row r="8299" spans="4:4" x14ac:dyDescent="0.3">
      <c r="D8299" s="7"/>
    </row>
    <row r="8300" spans="4:4" x14ac:dyDescent="0.3">
      <c r="D8300" s="7"/>
    </row>
    <row r="8301" spans="4:4" x14ac:dyDescent="0.3">
      <c r="D8301" s="7"/>
    </row>
    <row r="8302" spans="4:4" x14ac:dyDescent="0.3">
      <c r="D8302" s="7"/>
    </row>
    <row r="8303" spans="4:4" x14ac:dyDescent="0.3">
      <c r="D8303" s="7"/>
    </row>
    <row r="8304" spans="4:4" x14ac:dyDescent="0.3">
      <c r="D8304" s="7"/>
    </row>
    <row r="8305" spans="4:4" x14ac:dyDescent="0.3">
      <c r="D8305" s="7"/>
    </row>
    <row r="8306" spans="4:4" x14ac:dyDescent="0.3">
      <c r="D8306" s="7"/>
    </row>
    <row r="8307" spans="4:4" x14ac:dyDescent="0.3">
      <c r="D8307" s="7"/>
    </row>
    <row r="8308" spans="4:4" x14ac:dyDescent="0.3">
      <c r="D8308" s="7"/>
    </row>
    <row r="8309" spans="4:4" x14ac:dyDescent="0.3">
      <c r="D8309" s="7"/>
    </row>
    <row r="8310" spans="4:4" x14ac:dyDescent="0.3">
      <c r="D8310" s="7"/>
    </row>
    <row r="8311" spans="4:4" x14ac:dyDescent="0.3">
      <c r="D8311" s="7"/>
    </row>
    <row r="8312" spans="4:4" x14ac:dyDescent="0.3">
      <c r="D8312" s="7"/>
    </row>
    <row r="8313" spans="4:4" x14ac:dyDescent="0.3">
      <c r="D8313" s="7"/>
    </row>
    <row r="8314" spans="4:4" x14ac:dyDescent="0.3">
      <c r="D8314" s="7"/>
    </row>
    <row r="8315" spans="4:4" x14ac:dyDescent="0.3">
      <c r="D8315" s="7"/>
    </row>
    <row r="8316" spans="4:4" x14ac:dyDescent="0.3">
      <c r="D8316" s="7"/>
    </row>
    <row r="8317" spans="4:4" x14ac:dyDescent="0.3">
      <c r="D8317" s="7"/>
    </row>
    <row r="8318" spans="4:4" x14ac:dyDescent="0.3">
      <c r="D8318" s="7"/>
    </row>
    <row r="8319" spans="4:4" x14ac:dyDescent="0.3">
      <c r="D8319" s="7"/>
    </row>
    <row r="8320" spans="4:4" x14ac:dyDescent="0.3">
      <c r="D8320" s="7"/>
    </row>
    <row r="8321" spans="4:4" x14ac:dyDescent="0.3">
      <c r="D8321" s="7"/>
    </row>
    <row r="8322" spans="4:4" x14ac:dyDescent="0.3">
      <c r="D8322" s="7"/>
    </row>
    <row r="8323" spans="4:4" x14ac:dyDescent="0.3">
      <c r="D8323" s="7"/>
    </row>
    <row r="8324" spans="4:4" x14ac:dyDescent="0.3">
      <c r="D8324" s="7"/>
    </row>
    <row r="8325" spans="4:4" x14ac:dyDescent="0.3">
      <c r="D8325" s="7"/>
    </row>
    <row r="8326" spans="4:4" x14ac:dyDescent="0.3">
      <c r="D8326" s="7"/>
    </row>
    <row r="8327" spans="4:4" x14ac:dyDescent="0.3">
      <c r="D8327" s="7"/>
    </row>
    <row r="8328" spans="4:4" x14ac:dyDescent="0.3">
      <c r="D8328" s="7"/>
    </row>
    <row r="8329" spans="4:4" x14ac:dyDescent="0.3">
      <c r="D8329" s="7"/>
    </row>
    <row r="8330" spans="4:4" x14ac:dyDescent="0.3">
      <c r="D8330" s="7"/>
    </row>
    <row r="8331" spans="4:4" x14ac:dyDescent="0.3">
      <c r="D8331" s="7"/>
    </row>
    <row r="8332" spans="4:4" x14ac:dyDescent="0.3">
      <c r="D8332" s="7"/>
    </row>
    <row r="8333" spans="4:4" x14ac:dyDescent="0.3">
      <c r="D8333" s="7"/>
    </row>
    <row r="8334" spans="4:4" x14ac:dyDescent="0.3">
      <c r="D8334" s="7"/>
    </row>
    <row r="8335" spans="4:4" x14ac:dyDescent="0.3">
      <c r="D8335" s="7"/>
    </row>
    <row r="8336" spans="4:4" x14ac:dyDescent="0.3">
      <c r="D8336" s="7"/>
    </row>
    <row r="8337" spans="4:4" x14ac:dyDescent="0.3">
      <c r="D8337" s="7"/>
    </row>
    <row r="8338" spans="4:4" x14ac:dyDescent="0.3">
      <c r="D8338" s="7"/>
    </row>
    <row r="8339" spans="4:4" x14ac:dyDescent="0.3">
      <c r="D8339" s="7"/>
    </row>
    <row r="8340" spans="4:4" x14ac:dyDescent="0.3">
      <c r="D8340" s="7"/>
    </row>
    <row r="8341" spans="4:4" x14ac:dyDescent="0.3">
      <c r="D8341" s="7"/>
    </row>
    <row r="8342" spans="4:4" x14ac:dyDescent="0.3">
      <c r="D8342" s="7"/>
    </row>
    <row r="8343" spans="4:4" x14ac:dyDescent="0.3">
      <c r="D8343" s="7"/>
    </row>
    <row r="8344" spans="4:4" x14ac:dyDescent="0.3">
      <c r="D8344" s="7"/>
    </row>
    <row r="8345" spans="4:4" x14ac:dyDescent="0.3">
      <c r="D8345" s="7"/>
    </row>
    <row r="8346" spans="4:4" x14ac:dyDescent="0.3">
      <c r="D8346" s="7"/>
    </row>
    <row r="8347" spans="4:4" x14ac:dyDescent="0.3">
      <c r="D8347" s="7"/>
    </row>
    <row r="8348" spans="4:4" x14ac:dyDescent="0.3">
      <c r="D8348" s="7"/>
    </row>
    <row r="8349" spans="4:4" x14ac:dyDescent="0.3">
      <c r="D8349" s="7"/>
    </row>
    <row r="8350" spans="4:4" x14ac:dyDescent="0.3">
      <c r="D8350" s="7"/>
    </row>
    <row r="8351" spans="4:4" x14ac:dyDescent="0.3">
      <c r="D8351" s="7"/>
    </row>
    <row r="8352" spans="4:4" x14ac:dyDescent="0.3">
      <c r="D8352" s="7"/>
    </row>
    <row r="8353" spans="4:4" x14ac:dyDescent="0.3">
      <c r="D8353" s="7"/>
    </row>
    <row r="8354" spans="4:4" x14ac:dyDescent="0.3">
      <c r="D8354" s="7"/>
    </row>
    <row r="8355" spans="4:4" x14ac:dyDescent="0.3">
      <c r="D8355" s="7"/>
    </row>
    <row r="8356" spans="4:4" x14ac:dyDescent="0.3">
      <c r="D8356" s="7"/>
    </row>
    <row r="8357" spans="4:4" x14ac:dyDescent="0.3">
      <c r="D8357" s="7"/>
    </row>
    <row r="8358" spans="4:4" x14ac:dyDescent="0.3">
      <c r="D8358" s="7"/>
    </row>
    <row r="8359" spans="4:4" x14ac:dyDescent="0.3">
      <c r="D8359" s="7"/>
    </row>
    <row r="8360" spans="4:4" x14ac:dyDescent="0.3">
      <c r="D8360" s="7"/>
    </row>
    <row r="8361" spans="4:4" x14ac:dyDescent="0.3">
      <c r="D8361" s="7"/>
    </row>
    <row r="8362" spans="4:4" x14ac:dyDescent="0.3">
      <c r="D8362" s="7"/>
    </row>
    <row r="8363" spans="4:4" x14ac:dyDescent="0.3">
      <c r="D8363" s="7"/>
    </row>
    <row r="8364" spans="4:4" x14ac:dyDescent="0.3">
      <c r="D8364" s="7"/>
    </row>
    <row r="8365" spans="4:4" x14ac:dyDescent="0.3">
      <c r="D8365" s="7"/>
    </row>
    <row r="8366" spans="4:4" x14ac:dyDescent="0.3">
      <c r="D8366" s="7"/>
    </row>
    <row r="8367" spans="4:4" x14ac:dyDescent="0.3">
      <c r="D8367" s="7"/>
    </row>
    <row r="8368" spans="4:4" x14ac:dyDescent="0.3">
      <c r="D8368" s="7"/>
    </row>
    <row r="8369" spans="4:4" x14ac:dyDescent="0.3">
      <c r="D8369" s="7"/>
    </row>
    <row r="8370" spans="4:4" x14ac:dyDescent="0.3">
      <c r="D8370" s="7"/>
    </row>
    <row r="8371" spans="4:4" x14ac:dyDescent="0.3">
      <c r="D8371" s="7"/>
    </row>
    <row r="8372" spans="4:4" x14ac:dyDescent="0.3">
      <c r="D8372" s="7"/>
    </row>
    <row r="8373" spans="4:4" x14ac:dyDescent="0.3">
      <c r="D8373" s="7"/>
    </row>
    <row r="8374" spans="4:4" x14ac:dyDescent="0.3">
      <c r="D8374" s="7"/>
    </row>
    <row r="8375" spans="4:4" x14ac:dyDescent="0.3">
      <c r="D8375" s="7"/>
    </row>
    <row r="8376" spans="4:4" x14ac:dyDescent="0.3">
      <c r="D8376" s="7"/>
    </row>
    <row r="8377" spans="4:4" x14ac:dyDescent="0.3">
      <c r="D8377" s="7"/>
    </row>
    <row r="8378" spans="4:4" x14ac:dyDescent="0.3">
      <c r="D8378" s="7"/>
    </row>
    <row r="8379" spans="4:4" x14ac:dyDescent="0.3">
      <c r="D8379" s="7"/>
    </row>
    <row r="8380" spans="4:4" x14ac:dyDescent="0.3">
      <c r="D8380" s="7"/>
    </row>
    <row r="8381" spans="4:4" x14ac:dyDescent="0.3">
      <c r="D8381" s="7"/>
    </row>
    <row r="8382" spans="4:4" x14ac:dyDescent="0.3">
      <c r="D8382" s="7"/>
    </row>
    <row r="8383" spans="4:4" x14ac:dyDescent="0.3">
      <c r="D8383" s="7"/>
    </row>
    <row r="8384" spans="4:4" x14ac:dyDescent="0.3">
      <c r="D8384" s="7"/>
    </row>
    <row r="8385" spans="4:4" x14ac:dyDescent="0.3">
      <c r="D8385" s="7"/>
    </row>
    <row r="8386" spans="4:4" x14ac:dyDescent="0.3">
      <c r="D8386" s="7"/>
    </row>
    <row r="8387" spans="4:4" x14ac:dyDescent="0.3">
      <c r="D8387" s="7"/>
    </row>
    <row r="8388" spans="4:4" x14ac:dyDescent="0.3">
      <c r="D8388" s="7"/>
    </row>
    <row r="8389" spans="4:4" x14ac:dyDescent="0.3">
      <c r="D8389" s="7"/>
    </row>
    <row r="8390" spans="4:4" x14ac:dyDescent="0.3">
      <c r="D8390" s="7"/>
    </row>
    <row r="8391" spans="4:4" x14ac:dyDescent="0.3">
      <c r="D8391" s="7"/>
    </row>
    <row r="8392" spans="4:4" x14ac:dyDescent="0.3">
      <c r="D8392" s="7"/>
    </row>
    <row r="8393" spans="4:4" x14ac:dyDescent="0.3">
      <c r="D8393" s="7"/>
    </row>
    <row r="8394" spans="4:4" x14ac:dyDescent="0.3">
      <c r="D8394" s="7"/>
    </row>
    <row r="8395" spans="4:4" x14ac:dyDescent="0.3">
      <c r="D8395" s="7"/>
    </row>
    <row r="8396" spans="4:4" x14ac:dyDescent="0.3">
      <c r="D8396" s="7"/>
    </row>
    <row r="8397" spans="4:4" x14ac:dyDescent="0.3">
      <c r="D8397" s="7"/>
    </row>
    <row r="8398" spans="4:4" x14ac:dyDescent="0.3">
      <c r="D8398" s="7"/>
    </row>
    <row r="8399" spans="4:4" x14ac:dyDescent="0.3">
      <c r="D8399" s="7"/>
    </row>
    <row r="8400" spans="4:4" x14ac:dyDescent="0.3">
      <c r="D8400" s="7"/>
    </row>
    <row r="8401" spans="4:4" x14ac:dyDescent="0.3">
      <c r="D8401" s="7"/>
    </row>
    <row r="8402" spans="4:4" x14ac:dyDescent="0.3">
      <c r="D8402" s="7"/>
    </row>
    <row r="8403" spans="4:4" x14ac:dyDescent="0.3">
      <c r="D8403" s="7"/>
    </row>
    <row r="8404" spans="4:4" x14ac:dyDescent="0.3">
      <c r="D8404" s="7"/>
    </row>
    <row r="8405" spans="4:4" x14ac:dyDescent="0.3">
      <c r="D8405" s="7"/>
    </row>
    <row r="8406" spans="4:4" x14ac:dyDescent="0.3">
      <c r="D8406" s="7"/>
    </row>
    <row r="8407" spans="4:4" x14ac:dyDescent="0.3">
      <c r="D8407" s="7"/>
    </row>
    <row r="8408" spans="4:4" x14ac:dyDescent="0.3">
      <c r="D8408" s="7"/>
    </row>
    <row r="8409" spans="4:4" x14ac:dyDescent="0.3">
      <c r="D8409" s="7"/>
    </row>
    <row r="8410" spans="4:4" x14ac:dyDescent="0.3">
      <c r="D8410" s="7"/>
    </row>
    <row r="8411" spans="4:4" x14ac:dyDescent="0.3">
      <c r="D8411" s="7"/>
    </row>
    <row r="8412" spans="4:4" x14ac:dyDescent="0.3">
      <c r="D8412" s="7"/>
    </row>
    <row r="8413" spans="4:4" x14ac:dyDescent="0.3">
      <c r="D8413" s="7"/>
    </row>
    <row r="8414" spans="4:4" x14ac:dyDescent="0.3">
      <c r="D8414" s="7"/>
    </row>
    <row r="8415" spans="4:4" x14ac:dyDescent="0.3">
      <c r="D8415" s="7"/>
    </row>
    <row r="8416" spans="4:4" x14ac:dyDescent="0.3">
      <c r="D8416" s="7"/>
    </row>
    <row r="8417" spans="4:4" x14ac:dyDescent="0.3">
      <c r="D8417" s="7"/>
    </row>
    <row r="8418" spans="4:4" x14ac:dyDescent="0.3">
      <c r="D8418" s="7"/>
    </row>
    <row r="8419" spans="4:4" x14ac:dyDescent="0.3">
      <c r="D8419" s="7"/>
    </row>
    <row r="8420" spans="4:4" x14ac:dyDescent="0.3">
      <c r="D8420" s="7"/>
    </row>
    <row r="8421" spans="4:4" x14ac:dyDescent="0.3">
      <c r="D8421" s="7"/>
    </row>
    <row r="8422" spans="4:4" x14ac:dyDescent="0.3">
      <c r="D8422" s="7"/>
    </row>
    <row r="8423" spans="4:4" x14ac:dyDescent="0.3">
      <c r="D8423" s="7"/>
    </row>
    <row r="8424" spans="4:4" x14ac:dyDescent="0.3">
      <c r="D8424" s="7"/>
    </row>
    <row r="8425" spans="4:4" x14ac:dyDescent="0.3">
      <c r="D8425" s="7"/>
    </row>
    <row r="8426" spans="4:4" x14ac:dyDescent="0.3">
      <c r="D8426" s="7"/>
    </row>
    <row r="8427" spans="4:4" x14ac:dyDescent="0.3">
      <c r="D8427" s="7"/>
    </row>
    <row r="8428" spans="4:4" x14ac:dyDescent="0.3">
      <c r="D8428" s="7"/>
    </row>
    <row r="8429" spans="4:4" x14ac:dyDescent="0.3">
      <c r="D8429" s="7"/>
    </row>
    <row r="8430" spans="4:4" x14ac:dyDescent="0.3">
      <c r="D8430" s="7"/>
    </row>
    <row r="8431" spans="4:4" x14ac:dyDescent="0.3">
      <c r="D8431" s="7"/>
    </row>
    <row r="8432" spans="4:4" x14ac:dyDescent="0.3">
      <c r="D8432" s="7"/>
    </row>
    <row r="8433" spans="4:4" x14ac:dyDescent="0.3">
      <c r="D8433" s="7"/>
    </row>
    <row r="8434" spans="4:4" x14ac:dyDescent="0.3">
      <c r="D8434" s="7"/>
    </row>
    <row r="8435" spans="4:4" x14ac:dyDescent="0.3">
      <c r="D8435" s="7"/>
    </row>
    <row r="8436" spans="4:4" x14ac:dyDescent="0.3">
      <c r="D8436" s="7"/>
    </row>
    <row r="8437" spans="4:4" x14ac:dyDescent="0.3">
      <c r="D8437" s="7"/>
    </row>
    <row r="8438" spans="4:4" x14ac:dyDescent="0.3">
      <c r="D8438" s="7"/>
    </row>
    <row r="8439" spans="4:4" x14ac:dyDescent="0.3">
      <c r="D8439" s="7"/>
    </row>
    <row r="8440" spans="4:4" x14ac:dyDescent="0.3">
      <c r="D8440" s="7"/>
    </row>
    <row r="8441" spans="4:4" x14ac:dyDescent="0.3">
      <c r="D8441" s="7"/>
    </row>
    <row r="8442" spans="4:4" x14ac:dyDescent="0.3">
      <c r="D8442" s="7"/>
    </row>
    <row r="8443" spans="4:4" x14ac:dyDescent="0.3">
      <c r="D8443" s="7"/>
    </row>
    <row r="8444" spans="4:4" x14ac:dyDescent="0.3">
      <c r="D8444" s="7"/>
    </row>
    <row r="8445" spans="4:4" x14ac:dyDescent="0.3">
      <c r="D8445" s="7"/>
    </row>
    <row r="8446" spans="4:4" x14ac:dyDescent="0.3">
      <c r="D8446" s="7"/>
    </row>
    <row r="8447" spans="4:4" x14ac:dyDescent="0.3">
      <c r="D8447" s="7"/>
    </row>
    <row r="8448" spans="4:4" x14ac:dyDescent="0.3">
      <c r="D8448" s="7"/>
    </row>
    <row r="8449" spans="4:4" x14ac:dyDescent="0.3">
      <c r="D8449" s="7"/>
    </row>
    <row r="8450" spans="4:4" x14ac:dyDescent="0.3">
      <c r="D8450" s="7"/>
    </row>
    <row r="8451" spans="4:4" x14ac:dyDescent="0.3">
      <c r="D8451" s="7"/>
    </row>
    <row r="8452" spans="4:4" x14ac:dyDescent="0.3">
      <c r="D8452" s="7"/>
    </row>
    <row r="8453" spans="4:4" x14ac:dyDescent="0.3">
      <c r="D8453" s="7"/>
    </row>
    <row r="8454" spans="4:4" x14ac:dyDescent="0.3">
      <c r="D8454" s="7"/>
    </row>
    <row r="8455" spans="4:4" x14ac:dyDescent="0.3">
      <c r="D8455" s="7"/>
    </row>
    <row r="8456" spans="4:4" x14ac:dyDescent="0.3">
      <c r="D8456" s="7"/>
    </row>
    <row r="8457" spans="4:4" x14ac:dyDescent="0.3">
      <c r="D8457" s="7"/>
    </row>
    <row r="8458" spans="4:4" x14ac:dyDescent="0.3">
      <c r="D8458" s="7"/>
    </row>
    <row r="8459" spans="4:4" x14ac:dyDescent="0.3">
      <c r="D8459" s="7"/>
    </row>
    <row r="8460" spans="4:4" x14ac:dyDescent="0.3">
      <c r="D8460" s="7"/>
    </row>
    <row r="8461" spans="4:4" x14ac:dyDescent="0.3">
      <c r="D8461" s="7"/>
    </row>
    <row r="8462" spans="4:4" x14ac:dyDescent="0.3">
      <c r="D8462" s="7"/>
    </row>
    <row r="8463" spans="4:4" x14ac:dyDescent="0.3">
      <c r="D8463" s="7"/>
    </row>
    <row r="8464" spans="4:4" x14ac:dyDescent="0.3">
      <c r="D8464" s="7"/>
    </row>
    <row r="8465" spans="4:4" x14ac:dyDescent="0.3">
      <c r="D8465" s="7"/>
    </row>
    <row r="8466" spans="4:4" x14ac:dyDescent="0.3">
      <c r="D8466" s="7"/>
    </row>
    <row r="8467" spans="4:4" x14ac:dyDescent="0.3">
      <c r="D8467" s="7"/>
    </row>
    <row r="8468" spans="4:4" x14ac:dyDescent="0.3">
      <c r="D8468" s="7"/>
    </row>
    <row r="8469" spans="4:4" x14ac:dyDescent="0.3">
      <c r="D8469" s="7"/>
    </row>
    <row r="8470" spans="4:4" x14ac:dyDescent="0.3">
      <c r="D8470" s="7"/>
    </row>
    <row r="8471" spans="4:4" x14ac:dyDescent="0.3">
      <c r="D8471" s="7"/>
    </row>
    <row r="8472" spans="4:4" x14ac:dyDescent="0.3">
      <c r="D8472" s="7"/>
    </row>
    <row r="8473" spans="4:4" x14ac:dyDescent="0.3">
      <c r="D8473" s="7"/>
    </row>
    <row r="8474" spans="4:4" x14ac:dyDescent="0.3">
      <c r="D8474" s="7"/>
    </row>
    <row r="8475" spans="4:4" x14ac:dyDescent="0.3">
      <c r="D8475" s="7"/>
    </row>
    <row r="8476" spans="4:4" x14ac:dyDescent="0.3">
      <c r="D8476" s="7"/>
    </row>
    <row r="8477" spans="4:4" x14ac:dyDescent="0.3">
      <c r="D8477" s="7"/>
    </row>
    <row r="8478" spans="4:4" x14ac:dyDescent="0.3">
      <c r="D8478" s="7"/>
    </row>
    <row r="8479" spans="4:4" x14ac:dyDescent="0.3">
      <c r="D8479" s="7"/>
    </row>
    <row r="8480" spans="4:4" x14ac:dyDescent="0.3">
      <c r="D8480" s="7"/>
    </row>
    <row r="8481" spans="4:4" x14ac:dyDescent="0.3">
      <c r="D8481" s="7"/>
    </row>
    <row r="8482" spans="4:4" x14ac:dyDescent="0.3">
      <c r="D8482" s="7"/>
    </row>
    <row r="8483" spans="4:4" x14ac:dyDescent="0.3">
      <c r="D8483" s="7"/>
    </row>
    <row r="8484" spans="4:4" x14ac:dyDescent="0.3">
      <c r="D8484" s="7"/>
    </row>
    <row r="8485" spans="4:4" x14ac:dyDescent="0.3">
      <c r="D8485" s="7"/>
    </row>
    <row r="8486" spans="4:4" x14ac:dyDescent="0.3">
      <c r="D8486" s="7"/>
    </row>
    <row r="8487" spans="4:4" x14ac:dyDescent="0.3">
      <c r="D8487" s="7"/>
    </row>
    <row r="8488" spans="4:4" x14ac:dyDescent="0.3">
      <c r="D8488" s="7"/>
    </row>
    <row r="8489" spans="4:4" x14ac:dyDescent="0.3">
      <c r="D8489" s="7"/>
    </row>
    <row r="8490" spans="4:4" x14ac:dyDescent="0.3">
      <c r="D8490" s="7"/>
    </row>
    <row r="8491" spans="4:4" x14ac:dyDescent="0.3">
      <c r="D8491" s="7"/>
    </row>
    <row r="8492" spans="4:4" x14ac:dyDescent="0.3">
      <c r="D8492" s="7"/>
    </row>
    <row r="8493" spans="4:4" x14ac:dyDescent="0.3">
      <c r="D8493" s="7"/>
    </row>
    <row r="8494" spans="4:4" x14ac:dyDescent="0.3">
      <c r="D8494" s="7"/>
    </row>
    <row r="8495" spans="4:4" x14ac:dyDescent="0.3">
      <c r="D8495" s="7"/>
    </row>
    <row r="8496" spans="4:4" x14ac:dyDescent="0.3">
      <c r="D8496" s="7"/>
    </row>
    <row r="8497" spans="4:4" x14ac:dyDescent="0.3">
      <c r="D8497" s="7"/>
    </row>
    <row r="8498" spans="4:4" x14ac:dyDescent="0.3">
      <c r="D8498" s="7"/>
    </row>
    <row r="8499" spans="4:4" x14ac:dyDescent="0.3">
      <c r="D8499" s="7"/>
    </row>
    <row r="8500" spans="4:4" x14ac:dyDescent="0.3">
      <c r="D8500" s="7"/>
    </row>
    <row r="8501" spans="4:4" x14ac:dyDescent="0.3">
      <c r="D8501" s="7"/>
    </row>
    <row r="8502" spans="4:4" x14ac:dyDescent="0.3">
      <c r="D8502" s="7"/>
    </row>
    <row r="8503" spans="4:4" x14ac:dyDescent="0.3">
      <c r="D8503" s="7"/>
    </row>
    <row r="8504" spans="4:4" x14ac:dyDescent="0.3">
      <c r="D8504" s="7"/>
    </row>
    <row r="8505" spans="4:4" x14ac:dyDescent="0.3">
      <c r="D8505" s="7"/>
    </row>
    <row r="8506" spans="4:4" x14ac:dyDescent="0.3">
      <c r="D8506" s="7"/>
    </row>
    <row r="8507" spans="4:4" x14ac:dyDescent="0.3">
      <c r="D8507" s="7"/>
    </row>
    <row r="8508" spans="4:4" x14ac:dyDescent="0.3">
      <c r="D8508" s="7"/>
    </row>
    <row r="8509" spans="4:4" x14ac:dyDescent="0.3">
      <c r="D8509" s="7"/>
    </row>
    <row r="8510" spans="4:4" x14ac:dyDescent="0.3">
      <c r="D8510" s="7"/>
    </row>
    <row r="8511" spans="4:4" x14ac:dyDescent="0.3">
      <c r="D8511" s="7"/>
    </row>
    <row r="8512" spans="4:4" x14ac:dyDescent="0.3">
      <c r="D8512" s="7"/>
    </row>
    <row r="8513" spans="4:4" x14ac:dyDescent="0.3">
      <c r="D8513" s="7"/>
    </row>
    <row r="8514" spans="4:4" x14ac:dyDescent="0.3">
      <c r="D8514" s="7"/>
    </row>
    <row r="8515" spans="4:4" x14ac:dyDescent="0.3">
      <c r="D8515" s="7"/>
    </row>
    <row r="8516" spans="4:4" x14ac:dyDescent="0.3">
      <c r="D8516" s="7"/>
    </row>
    <row r="8517" spans="4:4" x14ac:dyDescent="0.3">
      <c r="D8517" s="7"/>
    </row>
    <row r="8518" spans="4:4" x14ac:dyDescent="0.3">
      <c r="D8518" s="7"/>
    </row>
    <row r="8519" spans="4:4" x14ac:dyDescent="0.3">
      <c r="D8519" s="7"/>
    </row>
    <row r="8520" spans="4:4" x14ac:dyDescent="0.3">
      <c r="D8520" s="7"/>
    </row>
    <row r="8521" spans="4:4" x14ac:dyDescent="0.3">
      <c r="D8521" s="7"/>
    </row>
    <row r="8522" spans="4:4" x14ac:dyDescent="0.3">
      <c r="D8522" s="7"/>
    </row>
    <row r="8523" spans="4:4" x14ac:dyDescent="0.3">
      <c r="D8523" s="7"/>
    </row>
    <row r="8524" spans="4:4" x14ac:dyDescent="0.3">
      <c r="D8524" s="7"/>
    </row>
    <row r="8525" spans="4:4" x14ac:dyDescent="0.3">
      <c r="D8525" s="7"/>
    </row>
    <row r="8526" spans="4:4" x14ac:dyDescent="0.3">
      <c r="D8526" s="7"/>
    </row>
    <row r="8527" spans="4:4" x14ac:dyDescent="0.3">
      <c r="D8527" s="7"/>
    </row>
    <row r="8528" spans="4:4" x14ac:dyDescent="0.3">
      <c r="D8528" s="7"/>
    </row>
    <row r="8529" spans="4:4" x14ac:dyDescent="0.3">
      <c r="D8529" s="7"/>
    </row>
    <row r="8530" spans="4:4" x14ac:dyDescent="0.3">
      <c r="D8530" s="7"/>
    </row>
    <row r="8531" spans="4:4" x14ac:dyDescent="0.3">
      <c r="D8531" s="7"/>
    </row>
    <row r="8532" spans="4:4" x14ac:dyDescent="0.3">
      <c r="D8532" s="7"/>
    </row>
    <row r="8533" spans="4:4" x14ac:dyDescent="0.3">
      <c r="D8533" s="7"/>
    </row>
    <row r="8534" spans="4:4" x14ac:dyDescent="0.3">
      <c r="D8534" s="7"/>
    </row>
    <row r="8535" spans="4:4" x14ac:dyDescent="0.3">
      <c r="D8535" s="7"/>
    </row>
    <row r="8536" spans="4:4" x14ac:dyDescent="0.3">
      <c r="D8536" s="7"/>
    </row>
    <row r="8537" spans="4:4" x14ac:dyDescent="0.3">
      <c r="D8537" s="7"/>
    </row>
    <row r="8538" spans="4:4" x14ac:dyDescent="0.3">
      <c r="D8538" s="7"/>
    </row>
    <row r="8539" spans="4:4" x14ac:dyDescent="0.3">
      <c r="D8539" s="7"/>
    </row>
    <row r="8540" spans="4:4" x14ac:dyDescent="0.3">
      <c r="D8540" s="7"/>
    </row>
    <row r="8541" spans="4:4" x14ac:dyDescent="0.3">
      <c r="D8541" s="7"/>
    </row>
    <row r="8542" spans="4:4" x14ac:dyDescent="0.3">
      <c r="D8542" s="7"/>
    </row>
    <row r="8543" spans="4:4" x14ac:dyDescent="0.3">
      <c r="D8543" s="7"/>
    </row>
    <row r="8544" spans="4:4" x14ac:dyDescent="0.3">
      <c r="D8544" s="7"/>
    </row>
    <row r="8545" spans="4:4" x14ac:dyDescent="0.3">
      <c r="D8545" s="7"/>
    </row>
    <row r="8546" spans="4:4" x14ac:dyDescent="0.3">
      <c r="D8546" s="7"/>
    </row>
    <row r="8547" spans="4:4" x14ac:dyDescent="0.3">
      <c r="D8547" s="7"/>
    </row>
    <row r="8548" spans="4:4" x14ac:dyDescent="0.3">
      <c r="D8548" s="7"/>
    </row>
    <row r="8549" spans="4:4" x14ac:dyDescent="0.3">
      <c r="D8549" s="7"/>
    </row>
    <row r="8550" spans="4:4" x14ac:dyDescent="0.3">
      <c r="D8550" s="7"/>
    </row>
    <row r="8551" spans="4:4" x14ac:dyDescent="0.3">
      <c r="D8551" s="7"/>
    </row>
    <row r="8552" spans="4:4" x14ac:dyDescent="0.3">
      <c r="D8552" s="7"/>
    </row>
    <row r="8553" spans="4:4" x14ac:dyDescent="0.3">
      <c r="D8553" s="7"/>
    </row>
    <row r="8554" spans="4:4" x14ac:dyDescent="0.3">
      <c r="D8554" s="7"/>
    </row>
    <row r="8555" spans="4:4" x14ac:dyDescent="0.3">
      <c r="D8555" s="7"/>
    </row>
    <row r="8556" spans="4:4" x14ac:dyDescent="0.3">
      <c r="D8556" s="7"/>
    </row>
    <row r="8557" spans="4:4" x14ac:dyDescent="0.3">
      <c r="D8557" s="7"/>
    </row>
    <row r="8558" spans="4:4" x14ac:dyDescent="0.3">
      <c r="D8558" s="7"/>
    </row>
    <row r="8559" spans="4:4" x14ac:dyDescent="0.3">
      <c r="D8559" s="7"/>
    </row>
    <row r="8560" spans="4:4" x14ac:dyDescent="0.3">
      <c r="D8560" s="7"/>
    </row>
    <row r="8561" spans="4:4" x14ac:dyDescent="0.3">
      <c r="D8561" s="7"/>
    </row>
    <row r="8562" spans="4:4" x14ac:dyDescent="0.3">
      <c r="D8562" s="7"/>
    </row>
    <row r="8563" spans="4:4" x14ac:dyDescent="0.3">
      <c r="D8563" s="7"/>
    </row>
    <row r="8564" spans="4:4" x14ac:dyDescent="0.3">
      <c r="D8564" s="7"/>
    </row>
    <row r="8565" spans="4:4" x14ac:dyDescent="0.3">
      <c r="D8565" s="7"/>
    </row>
    <row r="8566" spans="4:4" x14ac:dyDescent="0.3">
      <c r="D8566" s="7"/>
    </row>
    <row r="8567" spans="4:4" x14ac:dyDescent="0.3">
      <c r="D8567" s="7"/>
    </row>
    <row r="8568" spans="4:4" x14ac:dyDescent="0.3">
      <c r="D8568" s="7"/>
    </row>
    <row r="8569" spans="4:4" x14ac:dyDescent="0.3">
      <c r="D8569" s="7"/>
    </row>
    <row r="8570" spans="4:4" x14ac:dyDescent="0.3">
      <c r="D8570" s="7"/>
    </row>
    <row r="8571" spans="4:4" x14ac:dyDescent="0.3">
      <c r="D8571" s="7"/>
    </row>
    <row r="8572" spans="4:4" x14ac:dyDescent="0.3">
      <c r="D8572" s="7"/>
    </row>
    <row r="8573" spans="4:4" x14ac:dyDescent="0.3">
      <c r="D8573" s="7"/>
    </row>
    <row r="8574" spans="4:4" x14ac:dyDescent="0.3">
      <c r="D8574" s="7"/>
    </row>
    <row r="8575" spans="4:4" x14ac:dyDescent="0.3">
      <c r="D8575" s="7"/>
    </row>
    <row r="8576" spans="4:4" x14ac:dyDescent="0.3">
      <c r="D8576" s="7"/>
    </row>
    <row r="8577" spans="4:4" x14ac:dyDescent="0.3">
      <c r="D8577" s="7"/>
    </row>
    <row r="8578" spans="4:4" x14ac:dyDescent="0.3">
      <c r="D8578" s="7"/>
    </row>
    <row r="8579" spans="4:4" x14ac:dyDescent="0.3">
      <c r="D8579" s="7"/>
    </row>
    <row r="8580" spans="4:4" x14ac:dyDescent="0.3">
      <c r="D8580" s="7"/>
    </row>
    <row r="8581" spans="4:4" x14ac:dyDescent="0.3">
      <c r="D8581" s="7"/>
    </row>
    <row r="8582" spans="4:4" x14ac:dyDescent="0.3">
      <c r="D8582" s="7"/>
    </row>
    <row r="8583" spans="4:4" x14ac:dyDescent="0.3">
      <c r="D8583" s="7"/>
    </row>
    <row r="8584" spans="4:4" x14ac:dyDescent="0.3">
      <c r="D8584" s="7"/>
    </row>
    <row r="8585" spans="4:4" x14ac:dyDescent="0.3">
      <c r="D8585" s="7"/>
    </row>
    <row r="8586" spans="4:4" x14ac:dyDescent="0.3">
      <c r="D8586" s="7"/>
    </row>
    <row r="8587" spans="4:4" x14ac:dyDescent="0.3">
      <c r="D8587" s="7"/>
    </row>
    <row r="8588" spans="4:4" x14ac:dyDescent="0.3">
      <c r="D8588" s="7"/>
    </row>
    <row r="8589" spans="4:4" x14ac:dyDescent="0.3">
      <c r="D8589" s="7"/>
    </row>
    <row r="8590" spans="4:4" x14ac:dyDescent="0.3">
      <c r="D8590" s="7"/>
    </row>
    <row r="8591" spans="4:4" x14ac:dyDescent="0.3">
      <c r="D8591" s="7"/>
    </row>
    <row r="8592" spans="4:4" x14ac:dyDescent="0.3">
      <c r="D8592" s="7"/>
    </row>
    <row r="8593" spans="4:4" x14ac:dyDescent="0.3">
      <c r="D8593" s="7"/>
    </row>
    <row r="8594" spans="4:4" x14ac:dyDescent="0.3">
      <c r="D8594" s="7"/>
    </row>
    <row r="8595" spans="4:4" x14ac:dyDescent="0.3">
      <c r="D8595" s="7"/>
    </row>
    <row r="8596" spans="4:4" x14ac:dyDescent="0.3">
      <c r="D8596" s="7"/>
    </row>
    <row r="8597" spans="4:4" x14ac:dyDescent="0.3">
      <c r="D8597" s="7"/>
    </row>
    <row r="8598" spans="4:4" x14ac:dyDescent="0.3">
      <c r="D8598" s="7"/>
    </row>
    <row r="8599" spans="4:4" x14ac:dyDescent="0.3">
      <c r="D8599" s="7"/>
    </row>
    <row r="8600" spans="4:4" x14ac:dyDescent="0.3">
      <c r="D8600" s="7"/>
    </row>
    <row r="8601" spans="4:4" x14ac:dyDescent="0.3">
      <c r="D8601" s="7"/>
    </row>
    <row r="8602" spans="4:4" x14ac:dyDescent="0.3">
      <c r="D8602" s="7"/>
    </row>
    <row r="8603" spans="4:4" x14ac:dyDescent="0.3">
      <c r="D8603" s="7"/>
    </row>
    <row r="8604" spans="4:4" x14ac:dyDescent="0.3">
      <c r="D8604" s="7"/>
    </row>
    <row r="8605" spans="4:4" x14ac:dyDescent="0.3">
      <c r="D8605" s="7"/>
    </row>
    <row r="8606" spans="4:4" x14ac:dyDescent="0.3">
      <c r="D8606" s="7"/>
    </row>
    <row r="8607" spans="4:4" x14ac:dyDescent="0.3">
      <c r="D8607" s="7"/>
    </row>
    <row r="8608" spans="4:4" x14ac:dyDescent="0.3">
      <c r="D8608" s="7"/>
    </row>
    <row r="8609" spans="4:4" x14ac:dyDescent="0.3">
      <c r="D8609" s="7"/>
    </row>
    <row r="8610" spans="4:4" x14ac:dyDescent="0.3">
      <c r="D8610" s="7"/>
    </row>
    <row r="8611" spans="4:4" x14ac:dyDescent="0.3">
      <c r="D8611" s="7"/>
    </row>
    <row r="8612" spans="4:4" x14ac:dyDescent="0.3">
      <c r="D8612" s="7"/>
    </row>
    <row r="8613" spans="4:4" x14ac:dyDescent="0.3">
      <c r="D8613" s="7"/>
    </row>
    <row r="8614" spans="4:4" x14ac:dyDescent="0.3">
      <c r="D8614" s="7"/>
    </row>
    <row r="8615" spans="4:4" x14ac:dyDescent="0.3">
      <c r="D8615" s="7"/>
    </row>
    <row r="8616" spans="4:4" x14ac:dyDescent="0.3">
      <c r="D8616" s="7"/>
    </row>
    <row r="8617" spans="4:4" x14ac:dyDescent="0.3">
      <c r="D8617" s="7"/>
    </row>
    <row r="8618" spans="4:4" x14ac:dyDescent="0.3">
      <c r="D8618" s="7"/>
    </row>
    <row r="8619" spans="4:4" x14ac:dyDescent="0.3">
      <c r="D8619" s="7"/>
    </row>
    <row r="8620" spans="4:4" x14ac:dyDescent="0.3">
      <c r="D8620" s="7"/>
    </row>
    <row r="8621" spans="4:4" x14ac:dyDescent="0.3">
      <c r="D8621" s="7"/>
    </row>
    <row r="8622" spans="4:4" x14ac:dyDescent="0.3">
      <c r="D8622" s="7"/>
    </row>
    <row r="8623" spans="4:4" x14ac:dyDescent="0.3">
      <c r="D8623" s="7"/>
    </row>
    <row r="8624" spans="4:4" x14ac:dyDescent="0.3">
      <c r="D8624" s="7"/>
    </row>
    <row r="8625" spans="4:4" x14ac:dyDescent="0.3">
      <c r="D8625" s="7"/>
    </row>
    <row r="8626" spans="4:4" x14ac:dyDescent="0.3">
      <c r="D8626" s="7"/>
    </row>
    <row r="8627" spans="4:4" x14ac:dyDescent="0.3">
      <c r="D8627" s="7"/>
    </row>
    <row r="8628" spans="4:4" x14ac:dyDescent="0.3">
      <c r="D8628" s="7"/>
    </row>
    <row r="8629" spans="4:4" x14ac:dyDescent="0.3">
      <c r="D8629" s="7"/>
    </row>
    <row r="8630" spans="4:4" x14ac:dyDescent="0.3">
      <c r="D8630" s="7"/>
    </row>
    <row r="8631" spans="4:4" x14ac:dyDescent="0.3">
      <c r="D8631" s="7"/>
    </row>
    <row r="8632" spans="4:4" x14ac:dyDescent="0.3">
      <c r="D8632" s="7"/>
    </row>
    <row r="8633" spans="4:4" x14ac:dyDescent="0.3">
      <c r="D8633" s="7"/>
    </row>
    <row r="8634" spans="4:4" x14ac:dyDescent="0.3">
      <c r="D8634" s="7"/>
    </row>
    <row r="8635" spans="4:4" x14ac:dyDescent="0.3">
      <c r="D8635" s="7"/>
    </row>
    <row r="8636" spans="4:4" x14ac:dyDescent="0.3">
      <c r="D8636" s="7"/>
    </row>
    <row r="8637" spans="4:4" x14ac:dyDescent="0.3">
      <c r="D8637" s="7"/>
    </row>
    <row r="8638" spans="4:4" x14ac:dyDescent="0.3">
      <c r="D8638" s="7"/>
    </row>
    <row r="8639" spans="4:4" x14ac:dyDescent="0.3">
      <c r="D8639" s="7"/>
    </row>
    <row r="8640" spans="4:4" x14ac:dyDescent="0.3">
      <c r="D8640" s="7"/>
    </row>
    <row r="8641" spans="4:4" x14ac:dyDescent="0.3">
      <c r="D8641" s="7"/>
    </row>
    <row r="8642" spans="4:4" x14ac:dyDescent="0.3">
      <c r="D8642" s="7"/>
    </row>
    <row r="8643" spans="4:4" x14ac:dyDescent="0.3">
      <c r="D8643" s="7"/>
    </row>
    <row r="8644" spans="4:4" x14ac:dyDescent="0.3">
      <c r="D8644" s="7"/>
    </row>
    <row r="8645" spans="4:4" x14ac:dyDescent="0.3">
      <c r="D8645" s="7"/>
    </row>
    <row r="8646" spans="4:4" x14ac:dyDescent="0.3">
      <c r="D8646" s="7"/>
    </row>
    <row r="8647" spans="4:4" x14ac:dyDescent="0.3">
      <c r="D8647" s="7"/>
    </row>
    <row r="8648" spans="4:4" x14ac:dyDescent="0.3">
      <c r="D8648" s="7"/>
    </row>
    <row r="8649" spans="4:4" x14ac:dyDescent="0.3">
      <c r="D8649" s="7"/>
    </row>
    <row r="8650" spans="4:4" x14ac:dyDescent="0.3">
      <c r="D8650" s="7"/>
    </row>
    <row r="8651" spans="4:4" x14ac:dyDescent="0.3">
      <c r="D8651" s="7"/>
    </row>
    <row r="8652" spans="4:4" x14ac:dyDescent="0.3">
      <c r="D8652" s="7"/>
    </row>
    <row r="8653" spans="4:4" x14ac:dyDescent="0.3">
      <c r="D8653" s="7"/>
    </row>
    <row r="8654" spans="4:4" x14ac:dyDescent="0.3">
      <c r="D8654" s="7"/>
    </row>
    <row r="8655" spans="4:4" x14ac:dyDescent="0.3">
      <c r="D8655" s="7"/>
    </row>
    <row r="8656" spans="4:4" x14ac:dyDescent="0.3">
      <c r="D8656" s="7"/>
    </row>
    <row r="8657" spans="4:4" x14ac:dyDescent="0.3">
      <c r="D8657" s="7"/>
    </row>
    <row r="8658" spans="4:4" x14ac:dyDescent="0.3">
      <c r="D8658" s="7"/>
    </row>
    <row r="8659" spans="4:4" x14ac:dyDescent="0.3">
      <c r="D8659" s="7"/>
    </row>
    <row r="8660" spans="4:4" x14ac:dyDescent="0.3">
      <c r="D8660" s="7"/>
    </row>
    <row r="8661" spans="4:4" x14ac:dyDescent="0.3">
      <c r="D8661" s="7"/>
    </row>
    <row r="8662" spans="4:4" x14ac:dyDescent="0.3">
      <c r="D8662" s="7"/>
    </row>
    <row r="8663" spans="4:4" x14ac:dyDescent="0.3">
      <c r="D8663" s="7"/>
    </row>
    <row r="8664" spans="4:4" x14ac:dyDescent="0.3">
      <c r="D8664" s="7"/>
    </row>
    <row r="8665" spans="4:4" x14ac:dyDescent="0.3">
      <c r="D8665" s="7"/>
    </row>
    <row r="8666" spans="4:4" x14ac:dyDescent="0.3">
      <c r="D8666" s="7"/>
    </row>
    <row r="8667" spans="4:4" x14ac:dyDescent="0.3">
      <c r="D8667" s="7"/>
    </row>
    <row r="8668" spans="4:4" x14ac:dyDescent="0.3">
      <c r="D8668" s="7"/>
    </row>
    <row r="8669" spans="4:4" x14ac:dyDescent="0.3">
      <c r="D8669" s="7"/>
    </row>
    <row r="8670" spans="4:4" x14ac:dyDescent="0.3">
      <c r="D8670" s="7"/>
    </row>
    <row r="8671" spans="4:4" x14ac:dyDescent="0.3">
      <c r="D8671" s="7"/>
    </row>
    <row r="8672" spans="4:4" x14ac:dyDescent="0.3">
      <c r="D8672" s="7"/>
    </row>
    <row r="8673" spans="4:4" x14ac:dyDescent="0.3">
      <c r="D8673" s="7"/>
    </row>
    <row r="8674" spans="4:4" x14ac:dyDescent="0.3">
      <c r="D8674" s="7"/>
    </row>
    <row r="8675" spans="4:4" x14ac:dyDescent="0.3">
      <c r="D8675" s="7"/>
    </row>
    <row r="8676" spans="4:4" x14ac:dyDescent="0.3">
      <c r="D8676" s="7"/>
    </row>
    <row r="8677" spans="4:4" x14ac:dyDescent="0.3">
      <c r="D8677" s="7"/>
    </row>
    <row r="8678" spans="4:4" x14ac:dyDescent="0.3">
      <c r="D8678" s="7"/>
    </row>
    <row r="8679" spans="4:4" x14ac:dyDescent="0.3">
      <c r="D8679" s="7"/>
    </row>
    <row r="8680" spans="4:4" x14ac:dyDescent="0.3">
      <c r="D8680" s="7"/>
    </row>
    <row r="8681" spans="4:4" x14ac:dyDescent="0.3">
      <c r="D8681" s="7"/>
    </row>
    <row r="8682" spans="4:4" x14ac:dyDescent="0.3">
      <c r="D8682" s="7"/>
    </row>
    <row r="8683" spans="4:4" x14ac:dyDescent="0.3">
      <c r="D8683" s="7"/>
    </row>
    <row r="8684" spans="4:4" x14ac:dyDescent="0.3">
      <c r="D8684" s="7"/>
    </row>
    <row r="8685" spans="4:4" x14ac:dyDescent="0.3">
      <c r="D8685" s="7"/>
    </row>
    <row r="8686" spans="4:4" x14ac:dyDescent="0.3">
      <c r="D8686" s="7"/>
    </row>
    <row r="8687" spans="4:4" x14ac:dyDescent="0.3">
      <c r="D8687" s="7"/>
    </row>
    <row r="8688" spans="4:4" x14ac:dyDescent="0.3">
      <c r="D8688" s="7"/>
    </row>
    <row r="8689" spans="4:4" x14ac:dyDescent="0.3">
      <c r="D8689" s="7"/>
    </row>
    <row r="8690" spans="4:4" x14ac:dyDescent="0.3">
      <c r="D8690" s="7"/>
    </row>
    <row r="8691" spans="4:4" x14ac:dyDescent="0.3">
      <c r="D8691" s="7"/>
    </row>
    <row r="8692" spans="4:4" x14ac:dyDescent="0.3">
      <c r="D8692" s="7"/>
    </row>
    <row r="8693" spans="4:4" x14ac:dyDescent="0.3">
      <c r="D8693" s="7"/>
    </row>
    <row r="8694" spans="4:4" x14ac:dyDescent="0.3">
      <c r="D8694" s="7"/>
    </row>
    <row r="8695" spans="4:4" x14ac:dyDescent="0.3">
      <c r="D8695" s="7"/>
    </row>
    <row r="8696" spans="4:4" x14ac:dyDescent="0.3">
      <c r="D8696" s="7"/>
    </row>
    <row r="8697" spans="4:4" x14ac:dyDescent="0.3">
      <c r="D8697" s="7"/>
    </row>
    <row r="8698" spans="4:4" x14ac:dyDescent="0.3">
      <c r="D8698" s="7"/>
    </row>
    <row r="8699" spans="4:4" x14ac:dyDescent="0.3">
      <c r="D8699" s="7"/>
    </row>
    <row r="8700" spans="4:4" x14ac:dyDescent="0.3">
      <c r="D8700" s="7"/>
    </row>
    <row r="8701" spans="4:4" x14ac:dyDescent="0.3">
      <c r="D8701" s="7"/>
    </row>
    <row r="8702" spans="4:4" x14ac:dyDescent="0.3">
      <c r="D8702" s="7"/>
    </row>
    <row r="8703" spans="4:4" x14ac:dyDescent="0.3">
      <c r="D8703" s="7"/>
    </row>
    <row r="8704" spans="4:4" x14ac:dyDescent="0.3">
      <c r="D8704" s="7"/>
    </row>
    <row r="8705" spans="4:4" x14ac:dyDescent="0.3">
      <c r="D8705" s="7"/>
    </row>
    <row r="8706" spans="4:4" x14ac:dyDescent="0.3">
      <c r="D8706" s="7"/>
    </row>
    <row r="8707" spans="4:4" x14ac:dyDescent="0.3">
      <c r="D8707" s="7"/>
    </row>
    <row r="8708" spans="4:4" x14ac:dyDescent="0.3">
      <c r="D8708" s="7"/>
    </row>
    <row r="8709" spans="4:4" x14ac:dyDescent="0.3">
      <c r="D8709" s="7"/>
    </row>
    <row r="8710" spans="4:4" x14ac:dyDescent="0.3">
      <c r="D8710" s="7"/>
    </row>
    <row r="8711" spans="4:4" x14ac:dyDescent="0.3">
      <c r="D8711" s="7"/>
    </row>
    <row r="8712" spans="4:4" x14ac:dyDescent="0.3">
      <c r="D8712" s="7"/>
    </row>
    <row r="8713" spans="4:4" x14ac:dyDescent="0.3">
      <c r="D8713" s="7"/>
    </row>
    <row r="8714" spans="4:4" x14ac:dyDescent="0.3">
      <c r="D8714" s="7"/>
    </row>
    <row r="8715" spans="4:4" x14ac:dyDescent="0.3">
      <c r="D8715" s="7"/>
    </row>
    <row r="8716" spans="4:4" x14ac:dyDescent="0.3">
      <c r="D8716" s="7"/>
    </row>
    <row r="8717" spans="4:4" x14ac:dyDescent="0.3">
      <c r="D8717" s="7"/>
    </row>
    <row r="8718" spans="4:4" x14ac:dyDescent="0.3">
      <c r="D8718" s="7"/>
    </row>
    <row r="8719" spans="4:4" x14ac:dyDescent="0.3">
      <c r="D8719" s="7"/>
    </row>
    <row r="8720" spans="4:4" x14ac:dyDescent="0.3">
      <c r="D8720" s="7"/>
    </row>
    <row r="8721" spans="4:4" x14ac:dyDescent="0.3">
      <c r="D8721" s="7"/>
    </row>
    <row r="8722" spans="4:4" x14ac:dyDescent="0.3">
      <c r="D8722" s="7"/>
    </row>
    <row r="8723" spans="4:4" x14ac:dyDescent="0.3">
      <c r="D8723" s="7"/>
    </row>
    <row r="8724" spans="4:4" x14ac:dyDescent="0.3">
      <c r="D8724" s="7"/>
    </row>
    <row r="8725" spans="4:4" x14ac:dyDescent="0.3">
      <c r="D8725" s="7"/>
    </row>
    <row r="8726" spans="4:4" x14ac:dyDescent="0.3">
      <c r="D8726" s="7"/>
    </row>
    <row r="8727" spans="4:4" x14ac:dyDescent="0.3">
      <c r="D8727" s="7"/>
    </row>
    <row r="8728" spans="4:4" x14ac:dyDescent="0.3">
      <c r="D8728" s="7"/>
    </row>
    <row r="8729" spans="4:4" x14ac:dyDescent="0.3">
      <c r="D8729" s="7"/>
    </row>
    <row r="8730" spans="4:4" x14ac:dyDescent="0.3">
      <c r="D8730" s="7"/>
    </row>
    <row r="8731" spans="4:4" x14ac:dyDescent="0.3">
      <c r="D8731" s="7"/>
    </row>
    <row r="8732" spans="4:4" x14ac:dyDescent="0.3">
      <c r="D8732" s="7"/>
    </row>
    <row r="8733" spans="4:4" x14ac:dyDescent="0.3">
      <c r="D8733" s="7"/>
    </row>
    <row r="8734" spans="4:4" x14ac:dyDescent="0.3">
      <c r="D8734" s="7"/>
    </row>
    <row r="8735" spans="4:4" x14ac:dyDescent="0.3">
      <c r="D8735" s="7"/>
    </row>
    <row r="8736" spans="4:4" x14ac:dyDescent="0.3">
      <c r="D8736" s="7"/>
    </row>
    <row r="8737" spans="4:4" x14ac:dyDescent="0.3">
      <c r="D8737" s="7"/>
    </row>
    <row r="8738" spans="4:4" x14ac:dyDescent="0.3">
      <c r="D8738" s="7"/>
    </row>
    <row r="8739" spans="4:4" x14ac:dyDescent="0.3">
      <c r="D8739" s="7"/>
    </row>
    <row r="8740" spans="4:4" x14ac:dyDescent="0.3">
      <c r="D8740" s="7"/>
    </row>
    <row r="8741" spans="4:4" x14ac:dyDescent="0.3">
      <c r="D8741" s="7"/>
    </row>
    <row r="8742" spans="4:4" x14ac:dyDescent="0.3">
      <c r="D8742" s="7"/>
    </row>
    <row r="8743" spans="4:4" x14ac:dyDescent="0.3">
      <c r="D8743" s="7"/>
    </row>
    <row r="8744" spans="4:4" x14ac:dyDescent="0.3">
      <c r="D8744" s="7"/>
    </row>
    <row r="8745" spans="4:4" x14ac:dyDescent="0.3">
      <c r="D8745" s="7"/>
    </row>
    <row r="8746" spans="4:4" x14ac:dyDescent="0.3">
      <c r="D8746" s="7"/>
    </row>
    <row r="8747" spans="4:4" x14ac:dyDescent="0.3">
      <c r="D8747" s="7"/>
    </row>
    <row r="8748" spans="4:4" x14ac:dyDescent="0.3">
      <c r="D8748" s="7"/>
    </row>
    <row r="8749" spans="4:4" x14ac:dyDescent="0.3">
      <c r="D8749" s="7"/>
    </row>
    <row r="8750" spans="4:4" x14ac:dyDescent="0.3">
      <c r="D8750" s="7"/>
    </row>
    <row r="8751" spans="4:4" x14ac:dyDescent="0.3">
      <c r="D8751" s="7"/>
    </row>
    <row r="8752" spans="4:4" x14ac:dyDescent="0.3">
      <c r="D8752" s="7"/>
    </row>
    <row r="8753" spans="4:4" x14ac:dyDescent="0.3">
      <c r="D8753" s="7"/>
    </row>
    <row r="8754" spans="4:4" x14ac:dyDescent="0.3">
      <c r="D8754" s="7"/>
    </row>
    <row r="8755" spans="4:4" x14ac:dyDescent="0.3">
      <c r="D8755" s="7"/>
    </row>
    <row r="8756" spans="4:4" x14ac:dyDescent="0.3">
      <c r="D8756" s="7"/>
    </row>
    <row r="8757" spans="4:4" x14ac:dyDescent="0.3">
      <c r="D8757" s="7"/>
    </row>
    <row r="8758" spans="4:4" x14ac:dyDescent="0.3">
      <c r="D8758" s="7"/>
    </row>
    <row r="8759" spans="4:4" x14ac:dyDescent="0.3">
      <c r="D8759" s="7"/>
    </row>
    <row r="8760" spans="4:4" x14ac:dyDescent="0.3">
      <c r="D8760" s="7"/>
    </row>
    <row r="8761" spans="4:4" x14ac:dyDescent="0.3">
      <c r="D8761" s="7"/>
    </row>
    <row r="8762" spans="4:4" x14ac:dyDescent="0.3">
      <c r="D8762" s="7"/>
    </row>
    <row r="8763" spans="4:4" x14ac:dyDescent="0.3">
      <c r="D8763" s="7"/>
    </row>
    <row r="8764" spans="4:4" x14ac:dyDescent="0.3">
      <c r="D8764" s="7"/>
    </row>
    <row r="8765" spans="4:4" x14ac:dyDescent="0.3">
      <c r="D8765" s="7"/>
    </row>
    <row r="8766" spans="4:4" x14ac:dyDescent="0.3">
      <c r="D8766" s="7"/>
    </row>
    <row r="8767" spans="4:4" x14ac:dyDescent="0.3">
      <c r="D8767" s="7"/>
    </row>
    <row r="8768" spans="4:4" x14ac:dyDescent="0.3">
      <c r="D8768" s="7"/>
    </row>
    <row r="8769" spans="4:4" x14ac:dyDescent="0.3">
      <c r="D8769" s="7"/>
    </row>
    <row r="8770" spans="4:4" x14ac:dyDescent="0.3">
      <c r="D8770" s="7"/>
    </row>
    <row r="8771" spans="4:4" x14ac:dyDescent="0.3">
      <c r="D8771" s="7"/>
    </row>
    <row r="8772" spans="4:4" x14ac:dyDescent="0.3">
      <c r="D8772" s="7"/>
    </row>
    <row r="8773" spans="4:4" x14ac:dyDescent="0.3">
      <c r="D8773" s="7"/>
    </row>
    <row r="8774" spans="4:4" x14ac:dyDescent="0.3">
      <c r="D8774" s="7"/>
    </row>
    <row r="8775" spans="4:4" x14ac:dyDescent="0.3">
      <c r="D8775" s="7"/>
    </row>
    <row r="8776" spans="4:4" x14ac:dyDescent="0.3">
      <c r="D8776" s="7"/>
    </row>
    <row r="8777" spans="4:4" x14ac:dyDescent="0.3">
      <c r="D8777" s="7"/>
    </row>
    <row r="8778" spans="4:4" x14ac:dyDescent="0.3">
      <c r="D8778" s="7"/>
    </row>
    <row r="8779" spans="4:4" x14ac:dyDescent="0.3">
      <c r="D8779" s="7"/>
    </row>
    <row r="8780" spans="4:4" x14ac:dyDescent="0.3">
      <c r="D8780" s="7"/>
    </row>
    <row r="8781" spans="4:4" x14ac:dyDescent="0.3">
      <c r="D8781" s="7"/>
    </row>
    <row r="8782" spans="4:4" x14ac:dyDescent="0.3">
      <c r="D8782" s="7"/>
    </row>
    <row r="8783" spans="4:4" x14ac:dyDescent="0.3">
      <c r="D8783" s="7"/>
    </row>
    <row r="8784" spans="4:4" x14ac:dyDescent="0.3">
      <c r="D8784" s="7"/>
    </row>
    <row r="8785" spans="4:4" x14ac:dyDescent="0.3">
      <c r="D8785" s="7"/>
    </row>
    <row r="8786" spans="4:4" x14ac:dyDescent="0.3">
      <c r="D8786" s="7"/>
    </row>
    <row r="8787" spans="4:4" x14ac:dyDescent="0.3">
      <c r="D8787" s="7"/>
    </row>
    <row r="8788" spans="4:4" x14ac:dyDescent="0.3">
      <c r="D8788" s="7"/>
    </row>
    <row r="8789" spans="4:4" x14ac:dyDescent="0.3">
      <c r="D8789" s="7"/>
    </row>
    <row r="8790" spans="4:4" x14ac:dyDescent="0.3">
      <c r="D8790" s="7"/>
    </row>
    <row r="8791" spans="4:4" x14ac:dyDescent="0.3">
      <c r="D8791" s="7"/>
    </row>
    <row r="8792" spans="4:4" x14ac:dyDescent="0.3">
      <c r="D8792" s="7"/>
    </row>
    <row r="8793" spans="4:4" x14ac:dyDescent="0.3">
      <c r="D8793" s="7"/>
    </row>
    <row r="8794" spans="4:4" x14ac:dyDescent="0.3">
      <c r="D8794" s="7"/>
    </row>
    <row r="8795" spans="4:4" x14ac:dyDescent="0.3">
      <c r="D8795" s="7"/>
    </row>
    <row r="8796" spans="4:4" x14ac:dyDescent="0.3">
      <c r="D8796" s="7"/>
    </row>
    <row r="8797" spans="4:4" x14ac:dyDescent="0.3">
      <c r="D8797" s="7"/>
    </row>
    <row r="8798" spans="4:4" x14ac:dyDescent="0.3">
      <c r="D8798" s="7"/>
    </row>
    <row r="8799" spans="4:4" x14ac:dyDescent="0.3">
      <c r="D8799" s="7"/>
    </row>
    <row r="8800" spans="4:4" x14ac:dyDescent="0.3">
      <c r="D8800" s="7"/>
    </row>
    <row r="8801" spans="4:4" x14ac:dyDescent="0.3">
      <c r="D8801" s="7"/>
    </row>
    <row r="8802" spans="4:4" x14ac:dyDescent="0.3">
      <c r="D8802" s="7"/>
    </row>
    <row r="8803" spans="4:4" x14ac:dyDescent="0.3">
      <c r="D8803" s="7"/>
    </row>
    <row r="8804" spans="4:4" x14ac:dyDescent="0.3">
      <c r="D8804" s="7"/>
    </row>
    <row r="8805" spans="4:4" x14ac:dyDescent="0.3">
      <c r="D8805" s="7"/>
    </row>
    <row r="8806" spans="4:4" x14ac:dyDescent="0.3">
      <c r="D8806" s="7"/>
    </row>
    <row r="8807" spans="4:4" x14ac:dyDescent="0.3">
      <c r="D8807" s="7"/>
    </row>
    <row r="8808" spans="4:4" x14ac:dyDescent="0.3">
      <c r="D8808" s="7"/>
    </row>
    <row r="8809" spans="4:4" x14ac:dyDescent="0.3">
      <c r="D8809" s="7"/>
    </row>
    <row r="8810" spans="4:4" x14ac:dyDescent="0.3">
      <c r="D8810" s="7"/>
    </row>
    <row r="8811" spans="4:4" x14ac:dyDescent="0.3">
      <c r="D8811" s="7"/>
    </row>
    <row r="8812" spans="4:4" x14ac:dyDescent="0.3">
      <c r="D8812" s="7"/>
    </row>
    <row r="8813" spans="4:4" x14ac:dyDescent="0.3">
      <c r="D8813" s="7"/>
    </row>
    <row r="8814" spans="4:4" x14ac:dyDescent="0.3">
      <c r="D8814" s="7"/>
    </row>
    <row r="8815" spans="4:4" x14ac:dyDescent="0.3">
      <c r="D8815" s="7"/>
    </row>
    <row r="8816" spans="4:4" x14ac:dyDescent="0.3">
      <c r="D8816" s="7"/>
    </row>
    <row r="8817" spans="4:4" x14ac:dyDescent="0.3">
      <c r="D8817" s="7"/>
    </row>
    <row r="8818" spans="4:4" x14ac:dyDescent="0.3">
      <c r="D8818" s="7"/>
    </row>
    <row r="8819" spans="4:4" x14ac:dyDescent="0.3">
      <c r="D8819" s="7"/>
    </row>
    <row r="8820" spans="4:4" x14ac:dyDescent="0.3">
      <c r="D8820" s="7"/>
    </row>
    <row r="8821" spans="4:4" x14ac:dyDescent="0.3">
      <c r="D8821" s="7"/>
    </row>
    <row r="8822" spans="4:4" x14ac:dyDescent="0.3">
      <c r="D8822" s="7"/>
    </row>
    <row r="8823" spans="4:4" x14ac:dyDescent="0.3">
      <c r="D8823" s="7"/>
    </row>
    <row r="8824" spans="4:4" x14ac:dyDescent="0.3">
      <c r="D8824" s="7"/>
    </row>
    <row r="8825" spans="4:4" x14ac:dyDescent="0.3">
      <c r="D8825" s="7"/>
    </row>
    <row r="8826" spans="4:4" x14ac:dyDescent="0.3">
      <c r="D8826" s="7"/>
    </row>
    <row r="8827" spans="4:4" x14ac:dyDescent="0.3">
      <c r="D8827" s="7"/>
    </row>
    <row r="8828" spans="4:4" x14ac:dyDescent="0.3">
      <c r="D8828" s="7"/>
    </row>
    <row r="8829" spans="4:4" x14ac:dyDescent="0.3">
      <c r="D8829" s="7"/>
    </row>
    <row r="8830" spans="4:4" x14ac:dyDescent="0.3">
      <c r="D8830" s="7"/>
    </row>
    <row r="8831" spans="4:4" x14ac:dyDescent="0.3">
      <c r="D8831" s="7"/>
    </row>
    <row r="8832" spans="4:4" x14ac:dyDescent="0.3">
      <c r="D8832" s="7"/>
    </row>
    <row r="8833" spans="4:4" x14ac:dyDescent="0.3">
      <c r="D8833" s="7"/>
    </row>
    <row r="8834" spans="4:4" x14ac:dyDescent="0.3">
      <c r="D8834" s="7"/>
    </row>
    <row r="8835" spans="4:4" x14ac:dyDescent="0.3">
      <c r="D8835" s="7"/>
    </row>
    <row r="8836" spans="4:4" x14ac:dyDescent="0.3">
      <c r="D8836" s="7"/>
    </row>
    <row r="8837" spans="4:4" x14ac:dyDescent="0.3">
      <c r="D8837" s="7"/>
    </row>
    <row r="8838" spans="4:4" x14ac:dyDescent="0.3">
      <c r="D8838" s="7"/>
    </row>
    <row r="8839" spans="4:4" x14ac:dyDescent="0.3">
      <c r="D8839" s="7"/>
    </row>
    <row r="8840" spans="4:4" x14ac:dyDescent="0.3">
      <c r="D8840" s="7"/>
    </row>
    <row r="8841" spans="4:4" x14ac:dyDescent="0.3">
      <c r="D8841" s="7"/>
    </row>
    <row r="8842" spans="4:4" x14ac:dyDescent="0.3">
      <c r="D8842" s="7"/>
    </row>
    <row r="8843" spans="4:4" x14ac:dyDescent="0.3">
      <c r="D8843" s="7"/>
    </row>
    <row r="8844" spans="4:4" x14ac:dyDescent="0.3">
      <c r="D8844" s="7"/>
    </row>
    <row r="8845" spans="4:4" x14ac:dyDescent="0.3">
      <c r="D8845" s="7"/>
    </row>
    <row r="8846" spans="4:4" x14ac:dyDescent="0.3">
      <c r="D8846" s="7"/>
    </row>
    <row r="8847" spans="4:4" x14ac:dyDescent="0.3">
      <c r="D8847" s="7"/>
    </row>
    <row r="8848" spans="4:4" x14ac:dyDescent="0.3">
      <c r="D8848" s="7"/>
    </row>
    <row r="8849" spans="4:4" x14ac:dyDescent="0.3">
      <c r="D8849" s="7"/>
    </row>
    <row r="8850" spans="4:4" x14ac:dyDescent="0.3">
      <c r="D8850" s="7"/>
    </row>
    <row r="8851" spans="4:4" x14ac:dyDescent="0.3">
      <c r="D8851" s="7"/>
    </row>
    <row r="8852" spans="4:4" x14ac:dyDescent="0.3">
      <c r="D8852" s="7"/>
    </row>
    <row r="8853" spans="4:4" x14ac:dyDescent="0.3">
      <c r="D8853" s="7"/>
    </row>
    <row r="8854" spans="4:4" x14ac:dyDescent="0.3">
      <c r="D8854" s="7"/>
    </row>
    <row r="8855" spans="4:4" x14ac:dyDescent="0.3">
      <c r="D8855" s="7"/>
    </row>
    <row r="8856" spans="4:4" x14ac:dyDescent="0.3">
      <c r="D8856" s="7"/>
    </row>
    <row r="8857" spans="4:4" x14ac:dyDescent="0.3">
      <c r="D8857" s="7"/>
    </row>
    <row r="8858" spans="4:4" x14ac:dyDescent="0.3">
      <c r="D8858" s="7"/>
    </row>
    <row r="8859" spans="4:4" x14ac:dyDescent="0.3">
      <c r="D8859" s="7"/>
    </row>
    <row r="8860" spans="4:4" x14ac:dyDescent="0.3">
      <c r="D8860" s="7"/>
    </row>
    <row r="8861" spans="4:4" x14ac:dyDescent="0.3">
      <c r="D8861" s="7"/>
    </row>
    <row r="8862" spans="4:4" x14ac:dyDescent="0.3">
      <c r="D8862" s="7"/>
    </row>
    <row r="8863" spans="4:4" x14ac:dyDescent="0.3">
      <c r="D8863" s="7"/>
    </row>
    <row r="8864" spans="4:4" x14ac:dyDescent="0.3">
      <c r="D8864" s="7"/>
    </row>
    <row r="8865" spans="4:4" x14ac:dyDescent="0.3">
      <c r="D8865" s="7"/>
    </row>
    <row r="8866" spans="4:4" x14ac:dyDescent="0.3">
      <c r="D8866" s="7"/>
    </row>
    <row r="8867" spans="4:4" x14ac:dyDescent="0.3">
      <c r="D8867" s="7"/>
    </row>
    <row r="8868" spans="4:4" x14ac:dyDescent="0.3">
      <c r="D8868" s="7"/>
    </row>
    <row r="8869" spans="4:4" x14ac:dyDescent="0.3">
      <c r="D8869" s="7"/>
    </row>
    <row r="8870" spans="4:4" x14ac:dyDescent="0.3">
      <c r="D8870" s="7"/>
    </row>
    <row r="8871" spans="4:4" x14ac:dyDescent="0.3">
      <c r="D8871" s="7"/>
    </row>
    <row r="8872" spans="4:4" x14ac:dyDescent="0.3">
      <c r="D8872" s="7"/>
    </row>
    <row r="8873" spans="4:4" x14ac:dyDescent="0.3">
      <c r="D8873" s="7"/>
    </row>
    <row r="8874" spans="4:4" x14ac:dyDescent="0.3">
      <c r="D8874" s="7"/>
    </row>
    <row r="8875" spans="4:4" x14ac:dyDescent="0.3">
      <c r="D8875" s="7"/>
    </row>
    <row r="8876" spans="4:4" x14ac:dyDescent="0.3">
      <c r="D8876" s="7"/>
    </row>
    <row r="8877" spans="4:4" x14ac:dyDescent="0.3">
      <c r="D8877" s="7"/>
    </row>
    <row r="8878" spans="4:4" x14ac:dyDescent="0.3">
      <c r="D8878" s="7"/>
    </row>
    <row r="8879" spans="4:4" x14ac:dyDescent="0.3">
      <c r="D8879" s="7"/>
    </row>
    <row r="8880" spans="4:4" x14ac:dyDescent="0.3">
      <c r="D8880" s="7"/>
    </row>
    <row r="8881" spans="4:4" x14ac:dyDescent="0.3">
      <c r="D8881" s="7"/>
    </row>
    <row r="8882" spans="4:4" x14ac:dyDescent="0.3">
      <c r="D8882" s="7"/>
    </row>
    <row r="8883" spans="4:4" x14ac:dyDescent="0.3">
      <c r="D8883" s="7"/>
    </row>
    <row r="8884" spans="4:4" x14ac:dyDescent="0.3">
      <c r="D8884" s="7"/>
    </row>
    <row r="8885" spans="4:4" x14ac:dyDescent="0.3">
      <c r="D8885" s="7"/>
    </row>
    <row r="8886" spans="4:4" x14ac:dyDescent="0.3">
      <c r="D8886" s="7"/>
    </row>
    <row r="8887" spans="4:4" x14ac:dyDescent="0.3">
      <c r="D8887" s="7"/>
    </row>
    <row r="8888" spans="4:4" x14ac:dyDescent="0.3">
      <c r="D8888" s="7"/>
    </row>
    <row r="8889" spans="4:4" x14ac:dyDescent="0.3">
      <c r="D8889" s="7"/>
    </row>
    <row r="8890" spans="4:4" x14ac:dyDescent="0.3">
      <c r="D8890" s="7"/>
    </row>
    <row r="8891" spans="4:4" x14ac:dyDescent="0.3">
      <c r="D8891" s="7"/>
    </row>
    <row r="8892" spans="4:4" x14ac:dyDescent="0.3">
      <c r="D8892" s="7"/>
    </row>
    <row r="8893" spans="4:4" x14ac:dyDescent="0.3">
      <c r="D8893" s="7"/>
    </row>
    <row r="8894" spans="4:4" x14ac:dyDescent="0.3">
      <c r="D8894" s="7"/>
    </row>
    <row r="8895" spans="4:4" x14ac:dyDescent="0.3">
      <c r="D8895" s="7"/>
    </row>
    <row r="8896" spans="4:4" x14ac:dyDescent="0.3">
      <c r="D8896" s="7"/>
    </row>
    <row r="8897" spans="4:4" x14ac:dyDescent="0.3">
      <c r="D8897" s="7"/>
    </row>
    <row r="8898" spans="4:4" x14ac:dyDescent="0.3">
      <c r="D8898" s="7"/>
    </row>
    <row r="8899" spans="4:4" x14ac:dyDescent="0.3">
      <c r="D8899" s="7"/>
    </row>
    <row r="8900" spans="4:4" x14ac:dyDescent="0.3">
      <c r="D8900" s="7"/>
    </row>
    <row r="8901" spans="4:4" x14ac:dyDescent="0.3">
      <c r="D8901" s="7"/>
    </row>
    <row r="8902" spans="4:4" x14ac:dyDescent="0.3">
      <c r="D8902" s="7"/>
    </row>
    <row r="8903" spans="4:4" x14ac:dyDescent="0.3">
      <c r="D8903" s="7"/>
    </row>
    <row r="8904" spans="4:4" x14ac:dyDescent="0.3">
      <c r="D8904" s="7"/>
    </row>
    <row r="8905" spans="4:4" x14ac:dyDescent="0.3">
      <c r="D8905" s="7"/>
    </row>
    <row r="8906" spans="4:4" x14ac:dyDescent="0.3">
      <c r="D8906" s="7"/>
    </row>
    <row r="8907" spans="4:4" x14ac:dyDescent="0.3">
      <c r="D8907" s="7"/>
    </row>
    <row r="8908" spans="4:4" x14ac:dyDescent="0.3">
      <c r="D8908" s="7"/>
    </row>
    <row r="8909" spans="4:4" x14ac:dyDescent="0.3">
      <c r="D8909" s="7"/>
    </row>
    <row r="8910" spans="4:4" x14ac:dyDescent="0.3">
      <c r="D8910" s="7"/>
    </row>
    <row r="8911" spans="4:4" x14ac:dyDescent="0.3">
      <c r="D8911" s="7"/>
    </row>
    <row r="8912" spans="4:4" x14ac:dyDescent="0.3">
      <c r="D8912" s="7"/>
    </row>
    <row r="8913" spans="4:4" x14ac:dyDescent="0.3">
      <c r="D8913" s="7"/>
    </row>
    <row r="8914" spans="4:4" x14ac:dyDescent="0.3">
      <c r="D8914" s="7"/>
    </row>
    <row r="8915" spans="4:4" x14ac:dyDescent="0.3">
      <c r="D8915" s="7"/>
    </row>
    <row r="8916" spans="4:4" x14ac:dyDescent="0.3">
      <c r="D8916" s="7"/>
    </row>
    <row r="8917" spans="4:4" x14ac:dyDescent="0.3">
      <c r="D8917" s="7"/>
    </row>
    <row r="8918" spans="4:4" x14ac:dyDescent="0.3">
      <c r="D8918" s="7"/>
    </row>
    <row r="8919" spans="4:4" x14ac:dyDescent="0.3">
      <c r="D8919" s="7"/>
    </row>
    <row r="8920" spans="4:4" x14ac:dyDescent="0.3">
      <c r="D8920" s="7"/>
    </row>
    <row r="8921" spans="4:4" x14ac:dyDescent="0.3">
      <c r="D8921" s="7"/>
    </row>
    <row r="8922" spans="4:4" x14ac:dyDescent="0.3">
      <c r="D8922" s="7"/>
    </row>
    <row r="8923" spans="4:4" x14ac:dyDescent="0.3">
      <c r="D8923" s="7"/>
    </row>
    <row r="8924" spans="4:4" x14ac:dyDescent="0.3">
      <c r="D8924" s="7"/>
    </row>
    <row r="8925" spans="4:4" x14ac:dyDescent="0.3">
      <c r="D8925" s="7"/>
    </row>
    <row r="8926" spans="4:4" x14ac:dyDescent="0.3">
      <c r="D8926" s="7"/>
    </row>
    <row r="8927" spans="4:4" x14ac:dyDescent="0.3">
      <c r="D8927" s="7"/>
    </row>
    <row r="8928" spans="4:4" x14ac:dyDescent="0.3">
      <c r="D8928" s="7"/>
    </row>
    <row r="8929" spans="4:4" x14ac:dyDescent="0.3">
      <c r="D8929" s="7"/>
    </row>
    <row r="8930" spans="4:4" x14ac:dyDescent="0.3">
      <c r="D8930" s="7"/>
    </row>
    <row r="8931" spans="4:4" x14ac:dyDescent="0.3">
      <c r="D8931" s="7"/>
    </row>
    <row r="8932" spans="4:4" x14ac:dyDescent="0.3">
      <c r="D8932" s="7"/>
    </row>
    <row r="8933" spans="4:4" x14ac:dyDescent="0.3">
      <c r="D8933" s="7"/>
    </row>
    <row r="8934" spans="4:4" x14ac:dyDescent="0.3">
      <c r="D8934" s="7"/>
    </row>
    <row r="8935" spans="4:4" x14ac:dyDescent="0.3">
      <c r="D8935" s="7"/>
    </row>
    <row r="8936" spans="4:4" x14ac:dyDescent="0.3">
      <c r="D8936" s="7"/>
    </row>
    <row r="8937" spans="4:4" x14ac:dyDescent="0.3">
      <c r="D8937" s="7"/>
    </row>
    <row r="8938" spans="4:4" x14ac:dyDescent="0.3">
      <c r="D8938" s="7"/>
    </row>
    <row r="8939" spans="4:4" x14ac:dyDescent="0.3">
      <c r="D8939" s="7"/>
    </row>
    <row r="8940" spans="4:4" x14ac:dyDescent="0.3">
      <c r="D8940" s="7"/>
    </row>
    <row r="8941" spans="4:4" x14ac:dyDescent="0.3">
      <c r="D8941" s="7"/>
    </row>
    <row r="8942" spans="4:4" x14ac:dyDescent="0.3">
      <c r="D8942" s="7"/>
    </row>
    <row r="8943" spans="4:4" x14ac:dyDescent="0.3">
      <c r="D8943" s="7"/>
    </row>
    <row r="8944" spans="4:4" x14ac:dyDescent="0.3">
      <c r="D8944" s="7"/>
    </row>
    <row r="8945" spans="4:4" x14ac:dyDescent="0.3">
      <c r="D8945" s="7"/>
    </row>
    <row r="8946" spans="4:4" x14ac:dyDescent="0.3">
      <c r="D8946" s="7"/>
    </row>
    <row r="8947" spans="4:4" x14ac:dyDescent="0.3">
      <c r="D8947" s="7"/>
    </row>
    <row r="8948" spans="4:4" x14ac:dyDescent="0.3">
      <c r="D8948" s="7"/>
    </row>
    <row r="8949" spans="4:4" x14ac:dyDescent="0.3">
      <c r="D8949" s="7"/>
    </row>
    <row r="8950" spans="4:4" x14ac:dyDescent="0.3">
      <c r="D8950" s="7"/>
    </row>
    <row r="8951" spans="4:4" x14ac:dyDescent="0.3">
      <c r="D8951" s="7"/>
    </row>
    <row r="8952" spans="4:4" x14ac:dyDescent="0.3">
      <c r="D8952" s="7"/>
    </row>
    <row r="8953" spans="4:4" x14ac:dyDescent="0.3">
      <c r="D8953" s="7"/>
    </row>
    <row r="8954" spans="4:4" x14ac:dyDescent="0.3">
      <c r="D8954" s="7"/>
    </row>
    <row r="8955" spans="4:4" x14ac:dyDescent="0.3">
      <c r="D8955" s="7"/>
    </row>
    <row r="8956" spans="4:4" x14ac:dyDescent="0.3">
      <c r="D8956" s="7"/>
    </row>
    <row r="8957" spans="4:4" x14ac:dyDescent="0.3">
      <c r="D8957" s="7"/>
    </row>
    <row r="8958" spans="4:4" x14ac:dyDescent="0.3">
      <c r="D8958" s="7"/>
    </row>
    <row r="8959" spans="4:4" x14ac:dyDescent="0.3">
      <c r="D8959" s="7"/>
    </row>
    <row r="8960" spans="4:4" x14ac:dyDescent="0.3">
      <c r="D8960" s="7"/>
    </row>
    <row r="8961" spans="4:4" x14ac:dyDescent="0.3">
      <c r="D8961" s="7"/>
    </row>
    <row r="8962" spans="4:4" x14ac:dyDescent="0.3">
      <c r="D8962" s="7"/>
    </row>
    <row r="8963" spans="4:4" x14ac:dyDescent="0.3">
      <c r="D8963" s="7"/>
    </row>
    <row r="8964" spans="4:4" x14ac:dyDescent="0.3">
      <c r="D8964" s="7"/>
    </row>
    <row r="8965" spans="4:4" x14ac:dyDescent="0.3">
      <c r="D8965" s="7"/>
    </row>
    <row r="8966" spans="4:4" x14ac:dyDescent="0.3">
      <c r="D8966" s="7"/>
    </row>
    <row r="8967" spans="4:4" x14ac:dyDescent="0.3">
      <c r="D8967" s="7"/>
    </row>
    <row r="8968" spans="4:4" x14ac:dyDescent="0.3">
      <c r="D8968" s="7"/>
    </row>
    <row r="8969" spans="4:4" x14ac:dyDescent="0.3">
      <c r="D8969" s="7"/>
    </row>
    <row r="8970" spans="4:4" x14ac:dyDescent="0.3">
      <c r="D8970" s="7"/>
    </row>
    <row r="8971" spans="4:4" x14ac:dyDescent="0.3">
      <c r="D8971" s="7"/>
    </row>
    <row r="8972" spans="4:4" x14ac:dyDescent="0.3">
      <c r="D8972" s="7"/>
    </row>
    <row r="8973" spans="4:4" x14ac:dyDescent="0.3">
      <c r="D8973" s="7"/>
    </row>
    <row r="8974" spans="4:4" x14ac:dyDescent="0.3">
      <c r="D8974" s="7"/>
    </row>
    <row r="8975" spans="4:4" x14ac:dyDescent="0.3">
      <c r="D8975" s="7"/>
    </row>
    <row r="8976" spans="4:4" x14ac:dyDescent="0.3">
      <c r="D8976" s="7"/>
    </row>
    <row r="8977" spans="4:4" x14ac:dyDescent="0.3">
      <c r="D8977" s="7"/>
    </row>
    <row r="8978" spans="4:4" x14ac:dyDescent="0.3">
      <c r="D8978" s="7"/>
    </row>
    <row r="8979" spans="4:4" x14ac:dyDescent="0.3">
      <c r="D8979" s="7"/>
    </row>
    <row r="8980" spans="4:4" x14ac:dyDescent="0.3">
      <c r="D8980" s="7"/>
    </row>
    <row r="8981" spans="4:4" x14ac:dyDescent="0.3">
      <c r="D8981" s="7"/>
    </row>
    <row r="8982" spans="4:4" x14ac:dyDescent="0.3">
      <c r="D8982" s="7"/>
    </row>
    <row r="8983" spans="4:4" x14ac:dyDescent="0.3">
      <c r="D8983" s="7"/>
    </row>
    <row r="8984" spans="4:4" x14ac:dyDescent="0.3">
      <c r="D8984" s="7"/>
    </row>
    <row r="8985" spans="4:4" x14ac:dyDescent="0.3">
      <c r="D8985" s="7"/>
    </row>
    <row r="8986" spans="4:4" x14ac:dyDescent="0.3">
      <c r="D8986" s="7"/>
    </row>
    <row r="8987" spans="4:4" x14ac:dyDescent="0.3">
      <c r="D8987" s="7"/>
    </row>
    <row r="8988" spans="4:4" x14ac:dyDescent="0.3">
      <c r="D8988" s="7"/>
    </row>
    <row r="8989" spans="4:4" x14ac:dyDescent="0.3">
      <c r="D8989" s="7"/>
    </row>
    <row r="8990" spans="4:4" x14ac:dyDescent="0.3">
      <c r="D8990" s="7"/>
    </row>
    <row r="8991" spans="4:4" x14ac:dyDescent="0.3">
      <c r="D8991" s="7"/>
    </row>
    <row r="8992" spans="4:4" x14ac:dyDescent="0.3">
      <c r="D8992" s="7"/>
    </row>
    <row r="8993" spans="4:4" x14ac:dyDescent="0.3">
      <c r="D8993" s="7"/>
    </row>
    <row r="8994" spans="4:4" x14ac:dyDescent="0.3">
      <c r="D8994" s="7"/>
    </row>
    <row r="8995" spans="4:4" x14ac:dyDescent="0.3">
      <c r="D8995" s="7"/>
    </row>
    <row r="8996" spans="4:4" x14ac:dyDescent="0.3">
      <c r="D8996" s="7"/>
    </row>
    <row r="8997" spans="4:4" x14ac:dyDescent="0.3">
      <c r="D8997" s="7"/>
    </row>
    <row r="8998" spans="4:4" x14ac:dyDescent="0.3">
      <c r="D8998" s="7"/>
    </row>
    <row r="8999" spans="4:4" x14ac:dyDescent="0.3">
      <c r="D8999" s="7"/>
    </row>
    <row r="9000" spans="4:4" x14ac:dyDescent="0.3">
      <c r="D9000" s="7"/>
    </row>
    <row r="9001" spans="4:4" x14ac:dyDescent="0.3">
      <c r="D9001" s="7"/>
    </row>
    <row r="9002" spans="4:4" x14ac:dyDescent="0.3">
      <c r="D9002" s="7"/>
    </row>
    <row r="9003" spans="4:4" x14ac:dyDescent="0.3">
      <c r="D9003" s="7"/>
    </row>
    <row r="9004" spans="4:4" x14ac:dyDescent="0.3">
      <c r="D9004" s="7"/>
    </row>
    <row r="9005" spans="4:4" x14ac:dyDescent="0.3">
      <c r="D9005" s="7"/>
    </row>
    <row r="9006" spans="4:4" x14ac:dyDescent="0.3">
      <c r="D9006" s="7"/>
    </row>
    <row r="9007" spans="4:4" x14ac:dyDescent="0.3">
      <c r="D9007" s="7"/>
    </row>
    <row r="9008" spans="4:4" x14ac:dyDescent="0.3">
      <c r="D9008" s="7"/>
    </row>
    <row r="9009" spans="4:4" x14ac:dyDescent="0.3">
      <c r="D9009" s="7"/>
    </row>
    <row r="9010" spans="4:4" x14ac:dyDescent="0.3">
      <c r="D9010" s="7"/>
    </row>
    <row r="9011" spans="4:4" x14ac:dyDescent="0.3">
      <c r="D9011" s="7"/>
    </row>
    <row r="9012" spans="4:4" x14ac:dyDescent="0.3">
      <c r="D9012" s="7"/>
    </row>
    <row r="9013" spans="4:4" x14ac:dyDescent="0.3">
      <c r="D9013" s="7"/>
    </row>
    <row r="9014" spans="4:4" x14ac:dyDescent="0.3">
      <c r="D9014" s="7"/>
    </row>
    <row r="9015" spans="4:4" x14ac:dyDescent="0.3">
      <c r="D9015" s="7"/>
    </row>
    <row r="9016" spans="4:4" x14ac:dyDescent="0.3">
      <c r="D9016" s="7"/>
    </row>
    <row r="9017" spans="4:4" x14ac:dyDescent="0.3">
      <c r="D9017" s="7"/>
    </row>
    <row r="9018" spans="4:4" x14ac:dyDescent="0.3">
      <c r="D9018" s="7"/>
    </row>
    <row r="9019" spans="4:4" x14ac:dyDescent="0.3">
      <c r="D9019" s="7"/>
    </row>
    <row r="9020" spans="4:4" x14ac:dyDescent="0.3">
      <c r="D9020" s="7"/>
    </row>
    <row r="9021" spans="4:4" x14ac:dyDescent="0.3">
      <c r="D9021" s="7"/>
    </row>
    <row r="9022" spans="4:4" x14ac:dyDescent="0.3">
      <c r="D9022" s="7"/>
    </row>
    <row r="9023" spans="4:4" x14ac:dyDescent="0.3">
      <c r="D9023" s="7"/>
    </row>
    <row r="9024" spans="4:4" x14ac:dyDescent="0.3">
      <c r="D9024" s="7"/>
    </row>
    <row r="9025" spans="4:4" x14ac:dyDescent="0.3">
      <c r="D9025" s="7"/>
    </row>
    <row r="9026" spans="4:4" x14ac:dyDescent="0.3">
      <c r="D9026" s="7"/>
    </row>
    <row r="9027" spans="4:4" x14ac:dyDescent="0.3">
      <c r="D9027" s="7"/>
    </row>
    <row r="9028" spans="4:4" x14ac:dyDescent="0.3">
      <c r="D9028" s="7"/>
    </row>
    <row r="9029" spans="4:4" x14ac:dyDescent="0.3">
      <c r="D9029" s="7"/>
    </row>
    <row r="9030" spans="4:4" x14ac:dyDescent="0.3">
      <c r="D9030" s="7"/>
    </row>
    <row r="9031" spans="4:4" x14ac:dyDescent="0.3">
      <c r="D9031" s="7"/>
    </row>
    <row r="9032" spans="4:4" x14ac:dyDescent="0.3">
      <c r="D9032" s="7"/>
    </row>
    <row r="9033" spans="4:4" x14ac:dyDescent="0.3">
      <c r="D9033" s="7"/>
    </row>
    <row r="9034" spans="4:4" x14ac:dyDescent="0.3">
      <c r="D9034" s="7"/>
    </row>
    <row r="9035" spans="4:4" x14ac:dyDescent="0.3">
      <c r="D9035" s="7"/>
    </row>
    <row r="9036" spans="4:4" x14ac:dyDescent="0.3">
      <c r="D9036" s="7"/>
    </row>
    <row r="9037" spans="4:4" x14ac:dyDescent="0.3">
      <c r="D9037" s="7"/>
    </row>
    <row r="9038" spans="4:4" x14ac:dyDescent="0.3">
      <c r="D9038" s="7"/>
    </row>
    <row r="9039" spans="4:4" x14ac:dyDescent="0.3">
      <c r="D9039" s="7"/>
    </row>
    <row r="9040" spans="4:4" x14ac:dyDescent="0.3">
      <c r="D9040" s="7"/>
    </row>
    <row r="9041" spans="4:4" x14ac:dyDescent="0.3">
      <c r="D9041" s="7"/>
    </row>
    <row r="9042" spans="4:4" x14ac:dyDescent="0.3">
      <c r="D9042" s="7"/>
    </row>
    <row r="9043" spans="4:4" x14ac:dyDescent="0.3">
      <c r="D9043" s="7"/>
    </row>
    <row r="9044" spans="4:4" x14ac:dyDescent="0.3">
      <c r="D9044" s="7"/>
    </row>
    <row r="9045" spans="4:4" x14ac:dyDescent="0.3">
      <c r="D9045" s="7"/>
    </row>
    <row r="9046" spans="4:4" x14ac:dyDescent="0.3">
      <c r="D9046" s="7"/>
    </row>
    <row r="9047" spans="4:4" x14ac:dyDescent="0.3">
      <c r="D9047" s="7"/>
    </row>
    <row r="9048" spans="4:4" x14ac:dyDescent="0.3">
      <c r="D9048" s="7"/>
    </row>
    <row r="9049" spans="4:4" x14ac:dyDescent="0.3">
      <c r="D9049" s="7"/>
    </row>
    <row r="9050" spans="4:4" x14ac:dyDescent="0.3">
      <c r="D9050" s="7"/>
    </row>
    <row r="9051" spans="4:4" x14ac:dyDescent="0.3">
      <c r="D9051" s="7"/>
    </row>
    <row r="9052" spans="4:4" x14ac:dyDescent="0.3">
      <c r="D9052" s="7"/>
    </row>
    <row r="9053" spans="4:4" x14ac:dyDescent="0.3">
      <c r="D9053" s="7"/>
    </row>
    <row r="9054" spans="4:4" x14ac:dyDescent="0.3">
      <c r="D9054" s="7"/>
    </row>
    <row r="9055" spans="4:4" x14ac:dyDescent="0.3">
      <c r="D9055" s="7"/>
    </row>
    <row r="9056" spans="4:4" x14ac:dyDescent="0.3">
      <c r="D9056" s="7"/>
    </row>
    <row r="9057" spans="4:4" x14ac:dyDescent="0.3">
      <c r="D9057" s="7"/>
    </row>
    <row r="9058" spans="4:4" x14ac:dyDescent="0.3">
      <c r="D9058" s="7"/>
    </row>
    <row r="9059" spans="4:4" x14ac:dyDescent="0.3">
      <c r="D9059" s="7"/>
    </row>
    <row r="9060" spans="4:4" x14ac:dyDescent="0.3">
      <c r="D9060" s="7"/>
    </row>
    <row r="9061" spans="4:4" x14ac:dyDescent="0.3">
      <c r="D9061" s="7"/>
    </row>
    <row r="9062" spans="4:4" x14ac:dyDescent="0.3">
      <c r="D9062" s="7"/>
    </row>
    <row r="9063" spans="4:4" x14ac:dyDescent="0.3">
      <c r="D9063" s="7"/>
    </row>
    <row r="9064" spans="4:4" x14ac:dyDescent="0.3">
      <c r="D9064" s="7"/>
    </row>
    <row r="9065" spans="4:4" x14ac:dyDescent="0.3">
      <c r="D9065" s="7"/>
    </row>
    <row r="9066" spans="4:4" x14ac:dyDescent="0.3">
      <c r="D9066" s="7"/>
    </row>
    <row r="9067" spans="4:4" x14ac:dyDescent="0.3">
      <c r="D9067" s="7"/>
    </row>
    <row r="9068" spans="4:4" x14ac:dyDescent="0.3">
      <c r="D9068" s="7"/>
    </row>
    <row r="9069" spans="4:4" x14ac:dyDescent="0.3">
      <c r="D9069" s="7"/>
    </row>
    <row r="9070" spans="4:4" x14ac:dyDescent="0.3">
      <c r="D9070" s="7"/>
    </row>
    <row r="9071" spans="4:4" x14ac:dyDescent="0.3">
      <c r="D9071" s="7"/>
    </row>
    <row r="9072" spans="4:4" x14ac:dyDescent="0.3">
      <c r="D9072" s="7"/>
    </row>
    <row r="9073" spans="4:4" x14ac:dyDescent="0.3">
      <c r="D9073" s="7"/>
    </row>
    <row r="9074" spans="4:4" x14ac:dyDescent="0.3">
      <c r="D9074" s="7"/>
    </row>
    <row r="9075" spans="4:4" x14ac:dyDescent="0.3">
      <c r="D9075" s="7"/>
    </row>
    <row r="9076" spans="4:4" x14ac:dyDescent="0.3">
      <c r="D9076" s="7"/>
    </row>
    <row r="9077" spans="4:4" x14ac:dyDescent="0.3">
      <c r="D9077" s="7"/>
    </row>
    <row r="9078" spans="4:4" x14ac:dyDescent="0.3">
      <c r="D9078" s="7"/>
    </row>
    <row r="9079" spans="4:4" x14ac:dyDescent="0.3">
      <c r="D9079" s="7"/>
    </row>
    <row r="9080" spans="4:4" x14ac:dyDescent="0.3">
      <c r="D9080" s="7"/>
    </row>
    <row r="9081" spans="4:4" x14ac:dyDescent="0.3">
      <c r="D9081" s="7"/>
    </row>
    <row r="9082" spans="4:4" x14ac:dyDescent="0.3">
      <c r="D9082" s="7"/>
    </row>
    <row r="9083" spans="4:4" x14ac:dyDescent="0.3">
      <c r="D9083" s="7"/>
    </row>
    <row r="9084" spans="4:4" x14ac:dyDescent="0.3">
      <c r="D9084" s="7"/>
    </row>
    <row r="9085" spans="4:4" x14ac:dyDescent="0.3">
      <c r="D9085" s="7"/>
    </row>
    <row r="9086" spans="4:4" x14ac:dyDescent="0.3">
      <c r="D9086" s="7"/>
    </row>
    <row r="9087" spans="4:4" x14ac:dyDescent="0.3">
      <c r="D9087" s="7"/>
    </row>
    <row r="9088" spans="4:4" x14ac:dyDescent="0.3">
      <c r="D9088" s="7"/>
    </row>
    <row r="9089" spans="4:4" x14ac:dyDescent="0.3">
      <c r="D9089" s="7"/>
    </row>
    <row r="9090" spans="4:4" x14ac:dyDescent="0.3">
      <c r="D9090" s="7"/>
    </row>
    <row r="9091" spans="4:4" x14ac:dyDescent="0.3">
      <c r="D9091" s="7"/>
    </row>
    <row r="9092" spans="4:4" x14ac:dyDescent="0.3">
      <c r="D9092" s="7"/>
    </row>
    <row r="9093" spans="4:4" x14ac:dyDescent="0.3">
      <c r="D9093" s="7"/>
    </row>
    <row r="9094" spans="4:4" x14ac:dyDescent="0.3">
      <c r="D9094" s="7"/>
    </row>
    <row r="9095" spans="4:4" x14ac:dyDescent="0.3">
      <c r="D9095" s="7"/>
    </row>
    <row r="9096" spans="4:4" x14ac:dyDescent="0.3">
      <c r="D9096" s="7"/>
    </row>
    <row r="9097" spans="4:4" x14ac:dyDescent="0.3">
      <c r="D9097" s="7"/>
    </row>
    <row r="9098" spans="4:4" x14ac:dyDescent="0.3">
      <c r="D9098" s="7"/>
    </row>
    <row r="9099" spans="4:4" x14ac:dyDescent="0.3">
      <c r="D9099" s="7"/>
    </row>
    <row r="9100" spans="4:4" x14ac:dyDescent="0.3">
      <c r="D9100" s="7"/>
    </row>
    <row r="9101" spans="4:4" x14ac:dyDescent="0.3">
      <c r="D9101" s="7"/>
    </row>
    <row r="9102" spans="4:4" x14ac:dyDescent="0.3">
      <c r="D9102" s="7"/>
    </row>
    <row r="9103" spans="4:4" x14ac:dyDescent="0.3">
      <c r="D9103" s="7"/>
    </row>
    <row r="9104" spans="4:4" x14ac:dyDescent="0.3">
      <c r="D9104" s="7"/>
    </row>
    <row r="9105" spans="4:4" x14ac:dyDescent="0.3">
      <c r="D9105" s="7"/>
    </row>
    <row r="9106" spans="4:4" x14ac:dyDescent="0.3">
      <c r="D9106" s="7"/>
    </row>
    <row r="9107" spans="4:4" x14ac:dyDescent="0.3">
      <c r="D9107" s="7"/>
    </row>
    <row r="9108" spans="4:4" x14ac:dyDescent="0.3">
      <c r="D9108" s="7"/>
    </row>
    <row r="9109" spans="4:4" x14ac:dyDescent="0.3">
      <c r="D9109" s="7"/>
    </row>
    <row r="9110" spans="4:4" x14ac:dyDescent="0.3">
      <c r="D9110" s="7"/>
    </row>
    <row r="9111" spans="4:4" x14ac:dyDescent="0.3">
      <c r="D9111" s="7"/>
    </row>
    <row r="9112" spans="4:4" x14ac:dyDescent="0.3">
      <c r="D9112" s="7"/>
    </row>
    <row r="9113" spans="4:4" x14ac:dyDescent="0.3">
      <c r="D9113" s="7"/>
    </row>
    <row r="9114" spans="4:4" x14ac:dyDescent="0.3">
      <c r="D9114" s="7"/>
    </row>
    <row r="9115" spans="4:4" x14ac:dyDescent="0.3">
      <c r="D9115" s="7"/>
    </row>
    <row r="9116" spans="4:4" x14ac:dyDescent="0.3">
      <c r="D9116" s="7"/>
    </row>
    <row r="9117" spans="4:4" x14ac:dyDescent="0.3">
      <c r="D9117" s="7"/>
    </row>
    <row r="9118" spans="4:4" x14ac:dyDescent="0.3">
      <c r="D9118" s="7"/>
    </row>
    <row r="9119" spans="4:4" x14ac:dyDescent="0.3">
      <c r="D9119" s="7"/>
    </row>
    <row r="9120" spans="4:4" x14ac:dyDescent="0.3">
      <c r="D9120" s="7"/>
    </row>
    <row r="9121" spans="4:4" x14ac:dyDescent="0.3">
      <c r="D9121" s="7"/>
    </row>
    <row r="9122" spans="4:4" x14ac:dyDescent="0.3">
      <c r="D9122" s="7"/>
    </row>
    <row r="9123" spans="4:4" x14ac:dyDescent="0.3">
      <c r="D9123" s="7"/>
    </row>
    <row r="9124" spans="4:4" x14ac:dyDescent="0.3">
      <c r="D9124" s="7"/>
    </row>
    <row r="9125" spans="4:4" x14ac:dyDescent="0.3">
      <c r="D9125" s="7"/>
    </row>
    <row r="9126" spans="4:4" x14ac:dyDescent="0.3">
      <c r="D9126" s="7"/>
    </row>
    <row r="9127" spans="4:4" x14ac:dyDescent="0.3">
      <c r="D9127" s="7"/>
    </row>
    <row r="9128" spans="4:4" x14ac:dyDescent="0.3">
      <c r="D9128" s="7"/>
    </row>
    <row r="9129" spans="4:4" x14ac:dyDescent="0.3">
      <c r="D9129" s="7"/>
    </row>
    <row r="9130" spans="4:4" x14ac:dyDescent="0.3">
      <c r="D9130" s="7"/>
    </row>
    <row r="9131" spans="4:4" x14ac:dyDescent="0.3">
      <c r="D9131" s="7"/>
    </row>
    <row r="9132" spans="4:4" x14ac:dyDescent="0.3">
      <c r="D9132" s="7"/>
    </row>
    <row r="9133" spans="4:4" x14ac:dyDescent="0.3">
      <c r="D9133" s="7"/>
    </row>
    <row r="9134" spans="4:4" x14ac:dyDescent="0.3">
      <c r="D9134" s="7"/>
    </row>
    <row r="9135" spans="4:4" x14ac:dyDescent="0.3">
      <c r="D9135" s="7"/>
    </row>
    <row r="9136" spans="4:4" x14ac:dyDescent="0.3">
      <c r="D9136" s="7"/>
    </row>
    <row r="9137" spans="4:4" x14ac:dyDescent="0.3">
      <c r="D9137" s="7"/>
    </row>
    <row r="9138" spans="4:4" x14ac:dyDescent="0.3">
      <c r="D9138" s="7"/>
    </row>
    <row r="9139" spans="4:4" x14ac:dyDescent="0.3">
      <c r="D9139" s="7"/>
    </row>
    <row r="9140" spans="4:4" x14ac:dyDescent="0.3">
      <c r="D9140" s="7"/>
    </row>
    <row r="9141" spans="4:4" x14ac:dyDescent="0.3">
      <c r="D9141" s="7"/>
    </row>
    <row r="9142" spans="4:4" x14ac:dyDescent="0.3">
      <c r="D9142" s="7"/>
    </row>
    <row r="9143" spans="4:4" x14ac:dyDescent="0.3">
      <c r="D9143" s="7"/>
    </row>
    <row r="9144" spans="4:4" x14ac:dyDescent="0.3">
      <c r="D9144" s="7"/>
    </row>
    <row r="9145" spans="4:4" x14ac:dyDescent="0.3">
      <c r="D9145" s="7"/>
    </row>
    <row r="9146" spans="4:4" x14ac:dyDescent="0.3">
      <c r="D9146" s="7"/>
    </row>
    <row r="9147" spans="4:4" x14ac:dyDescent="0.3">
      <c r="D9147" s="7"/>
    </row>
    <row r="9148" spans="4:4" x14ac:dyDescent="0.3">
      <c r="D9148" s="7"/>
    </row>
    <row r="9149" spans="4:4" x14ac:dyDescent="0.3">
      <c r="D9149" s="7"/>
    </row>
    <row r="9150" spans="4:4" x14ac:dyDescent="0.3">
      <c r="D9150" s="7"/>
    </row>
    <row r="9151" spans="4:4" x14ac:dyDescent="0.3">
      <c r="D9151" s="7"/>
    </row>
    <row r="9152" spans="4:4" x14ac:dyDescent="0.3">
      <c r="D9152" s="7"/>
    </row>
    <row r="9153" spans="4:4" x14ac:dyDescent="0.3">
      <c r="D9153" s="7"/>
    </row>
    <row r="9154" spans="4:4" x14ac:dyDescent="0.3">
      <c r="D9154" s="7"/>
    </row>
    <row r="9155" spans="4:4" x14ac:dyDescent="0.3">
      <c r="D9155" s="7"/>
    </row>
    <row r="9156" spans="4:4" x14ac:dyDescent="0.3">
      <c r="D9156" s="7"/>
    </row>
    <row r="9157" spans="4:4" x14ac:dyDescent="0.3">
      <c r="D9157" s="7"/>
    </row>
    <row r="9158" spans="4:4" x14ac:dyDescent="0.3">
      <c r="D9158" s="7"/>
    </row>
    <row r="9159" spans="4:4" x14ac:dyDescent="0.3">
      <c r="D9159" s="7"/>
    </row>
    <row r="9160" spans="4:4" x14ac:dyDescent="0.3">
      <c r="D9160" s="7"/>
    </row>
    <row r="9161" spans="4:4" x14ac:dyDescent="0.3">
      <c r="D9161" s="7"/>
    </row>
    <row r="9162" spans="4:4" x14ac:dyDescent="0.3">
      <c r="D9162" s="7"/>
    </row>
    <row r="9163" spans="4:4" x14ac:dyDescent="0.3">
      <c r="D9163" s="7"/>
    </row>
    <row r="9164" spans="4:4" x14ac:dyDescent="0.3">
      <c r="D9164" s="7"/>
    </row>
    <row r="9165" spans="4:4" x14ac:dyDescent="0.3">
      <c r="D9165" s="7"/>
    </row>
    <row r="9166" spans="4:4" x14ac:dyDescent="0.3">
      <c r="D9166" s="7"/>
    </row>
    <row r="9167" spans="4:4" x14ac:dyDescent="0.3">
      <c r="D9167" s="7"/>
    </row>
    <row r="9168" spans="4:4" x14ac:dyDescent="0.3">
      <c r="D9168" s="7"/>
    </row>
    <row r="9169" spans="4:4" x14ac:dyDescent="0.3">
      <c r="D9169" s="7"/>
    </row>
    <row r="9170" spans="4:4" x14ac:dyDescent="0.3">
      <c r="D9170" s="7"/>
    </row>
    <row r="9171" spans="4:4" x14ac:dyDescent="0.3">
      <c r="D9171" s="7"/>
    </row>
    <row r="9172" spans="4:4" x14ac:dyDescent="0.3">
      <c r="D9172" s="7"/>
    </row>
    <row r="9173" spans="4:4" x14ac:dyDescent="0.3">
      <c r="D9173" s="7"/>
    </row>
    <row r="9174" spans="4:4" x14ac:dyDescent="0.3">
      <c r="D9174" s="7"/>
    </row>
    <row r="9175" spans="4:4" x14ac:dyDescent="0.3">
      <c r="D9175" s="7"/>
    </row>
    <row r="9176" spans="4:4" x14ac:dyDescent="0.3">
      <c r="D9176" s="7"/>
    </row>
    <row r="9177" spans="4:4" x14ac:dyDescent="0.3">
      <c r="D9177" s="7"/>
    </row>
    <row r="9178" spans="4:4" x14ac:dyDescent="0.3">
      <c r="D9178" s="7"/>
    </row>
    <row r="9179" spans="4:4" x14ac:dyDescent="0.3">
      <c r="D9179" s="7"/>
    </row>
    <row r="9180" spans="4:4" x14ac:dyDescent="0.3">
      <c r="D9180" s="7"/>
    </row>
    <row r="9181" spans="4:4" x14ac:dyDescent="0.3">
      <c r="D9181" s="7"/>
    </row>
    <row r="9182" spans="4:4" x14ac:dyDescent="0.3">
      <c r="D9182" s="7"/>
    </row>
    <row r="9183" spans="4:4" x14ac:dyDescent="0.3">
      <c r="D9183" s="7"/>
    </row>
    <row r="9184" spans="4:4" x14ac:dyDescent="0.3">
      <c r="D9184" s="7"/>
    </row>
    <row r="9185" spans="4:4" x14ac:dyDescent="0.3">
      <c r="D9185" s="7"/>
    </row>
    <row r="9186" spans="4:4" x14ac:dyDescent="0.3">
      <c r="D9186" s="7"/>
    </row>
    <row r="9187" spans="4:4" x14ac:dyDescent="0.3">
      <c r="D9187" s="7"/>
    </row>
    <row r="9188" spans="4:4" x14ac:dyDescent="0.3">
      <c r="D9188" s="7"/>
    </row>
    <row r="9189" spans="4:4" x14ac:dyDescent="0.3">
      <c r="D9189" s="7"/>
    </row>
    <row r="9190" spans="4:4" x14ac:dyDescent="0.3">
      <c r="D9190" s="7"/>
    </row>
    <row r="9191" spans="4:4" x14ac:dyDescent="0.3">
      <c r="D9191" s="7"/>
    </row>
    <row r="9192" spans="4:4" x14ac:dyDescent="0.3">
      <c r="D9192" s="7"/>
    </row>
    <row r="9193" spans="4:4" x14ac:dyDescent="0.3">
      <c r="D9193" s="7"/>
    </row>
    <row r="9194" spans="4:4" x14ac:dyDescent="0.3">
      <c r="D9194" s="7"/>
    </row>
    <row r="9195" spans="4:4" x14ac:dyDescent="0.3">
      <c r="D9195" s="7"/>
    </row>
    <row r="9196" spans="4:4" x14ac:dyDescent="0.3">
      <c r="D9196" s="7"/>
    </row>
    <row r="9197" spans="4:4" x14ac:dyDescent="0.3">
      <c r="D9197" s="7"/>
    </row>
    <row r="9198" spans="4:4" x14ac:dyDescent="0.3">
      <c r="D9198" s="7"/>
    </row>
    <row r="9199" spans="4:4" x14ac:dyDescent="0.3">
      <c r="D9199" s="7"/>
    </row>
    <row r="9200" spans="4:4" x14ac:dyDescent="0.3">
      <c r="D9200" s="7"/>
    </row>
    <row r="9201" spans="4:4" x14ac:dyDescent="0.3">
      <c r="D9201" s="7"/>
    </row>
    <row r="9202" spans="4:4" x14ac:dyDescent="0.3">
      <c r="D9202" s="7"/>
    </row>
    <row r="9203" spans="4:4" x14ac:dyDescent="0.3">
      <c r="D9203" s="7"/>
    </row>
    <row r="9204" spans="4:4" x14ac:dyDescent="0.3">
      <c r="D9204" s="7"/>
    </row>
    <row r="9205" spans="4:4" x14ac:dyDescent="0.3">
      <c r="D9205" s="7"/>
    </row>
    <row r="9206" spans="4:4" x14ac:dyDescent="0.3">
      <c r="D9206" s="7"/>
    </row>
    <row r="9207" spans="4:4" x14ac:dyDescent="0.3">
      <c r="D9207" s="7"/>
    </row>
    <row r="9208" spans="4:4" x14ac:dyDescent="0.3">
      <c r="D9208" s="7"/>
    </row>
    <row r="9209" spans="4:4" x14ac:dyDescent="0.3">
      <c r="D9209" s="7"/>
    </row>
    <row r="9210" spans="4:4" x14ac:dyDescent="0.3">
      <c r="D9210" s="7"/>
    </row>
    <row r="9211" spans="4:4" x14ac:dyDescent="0.3">
      <c r="D9211" s="7"/>
    </row>
    <row r="9212" spans="4:4" x14ac:dyDescent="0.3">
      <c r="D9212" s="7"/>
    </row>
    <row r="9213" spans="4:4" x14ac:dyDescent="0.3">
      <c r="D9213" s="7"/>
    </row>
    <row r="9214" spans="4:4" x14ac:dyDescent="0.3">
      <c r="D9214" s="7"/>
    </row>
    <row r="9215" spans="4:4" x14ac:dyDescent="0.3">
      <c r="D9215" s="7"/>
    </row>
    <row r="9216" spans="4:4" x14ac:dyDescent="0.3">
      <c r="D9216" s="7"/>
    </row>
    <row r="9217" spans="4:4" x14ac:dyDescent="0.3">
      <c r="D9217" s="7"/>
    </row>
    <row r="9218" spans="4:4" x14ac:dyDescent="0.3">
      <c r="D9218" s="7"/>
    </row>
    <row r="9219" spans="4:4" x14ac:dyDescent="0.3">
      <c r="D9219" s="7"/>
    </row>
    <row r="9220" spans="4:4" x14ac:dyDescent="0.3">
      <c r="D9220" s="7"/>
    </row>
    <row r="9221" spans="4:4" x14ac:dyDescent="0.3">
      <c r="D9221" s="7"/>
    </row>
    <row r="9222" spans="4:4" x14ac:dyDescent="0.3">
      <c r="D9222" s="7"/>
    </row>
    <row r="9223" spans="4:4" x14ac:dyDescent="0.3">
      <c r="D9223" s="7"/>
    </row>
    <row r="9224" spans="4:4" x14ac:dyDescent="0.3">
      <c r="D9224" s="7"/>
    </row>
    <row r="9225" spans="4:4" x14ac:dyDescent="0.3">
      <c r="D9225" s="7"/>
    </row>
    <row r="9226" spans="4:4" x14ac:dyDescent="0.3">
      <c r="D9226" s="7"/>
    </row>
    <row r="9227" spans="4:4" x14ac:dyDescent="0.3">
      <c r="D9227" s="7"/>
    </row>
    <row r="9228" spans="4:4" x14ac:dyDescent="0.3">
      <c r="D9228" s="7"/>
    </row>
    <row r="9229" spans="4:4" x14ac:dyDescent="0.3">
      <c r="D9229" s="7"/>
    </row>
    <row r="9230" spans="4:4" x14ac:dyDescent="0.3">
      <c r="D9230" s="7"/>
    </row>
    <row r="9231" spans="4:4" x14ac:dyDescent="0.3">
      <c r="D9231" s="7"/>
    </row>
    <row r="9232" spans="4:4" x14ac:dyDescent="0.3">
      <c r="D9232" s="7"/>
    </row>
    <row r="9233" spans="4:4" x14ac:dyDescent="0.3">
      <c r="D9233" s="7"/>
    </row>
    <row r="9234" spans="4:4" x14ac:dyDescent="0.3">
      <c r="D9234" s="7"/>
    </row>
    <row r="9235" spans="4:4" x14ac:dyDescent="0.3">
      <c r="D9235" s="7"/>
    </row>
    <row r="9236" spans="4:4" x14ac:dyDescent="0.3">
      <c r="D9236" s="7"/>
    </row>
    <row r="9237" spans="4:4" x14ac:dyDescent="0.3">
      <c r="D9237" s="7"/>
    </row>
    <row r="9238" spans="4:4" x14ac:dyDescent="0.3">
      <c r="D9238" s="7"/>
    </row>
    <row r="9239" spans="4:4" x14ac:dyDescent="0.3">
      <c r="D9239" s="7"/>
    </row>
    <row r="9240" spans="4:4" x14ac:dyDescent="0.3">
      <c r="D9240" s="7"/>
    </row>
    <row r="9241" spans="4:4" x14ac:dyDescent="0.3">
      <c r="D9241" s="7"/>
    </row>
    <row r="9242" spans="4:4" x14ac:dyDescent="0.3">
      <c r="D9242" s="7"/>
    </row>
    <row r="9243" spans="4:4" x14ac:dyDescent="0.3">
      <c r="D9243" s="7"/>
    </row>
    <row r="9244" spans="4:4" x14ac:dyDescent="0.3">
      <c r="D9244" s="7"/>
    </row>
    <row r="9245" spans="4:4" x14ac:dyDescent="0.3">
      <c r="D9245" s="7"/>
    </row>
    <row r="9246" spans="4:4" x14ac:dyDescent="0.3">
      <c r="D9246" s="7"/>
    </row>
    <row r="9247" spans="4:4" x14ac:dyDescent="0.3">
      <c r="D9247" s="7"/>
    </row>
    <row r="9248" spans="4:4" x14ac:dyDescent="0.3">
      <c r="D9248" s="7"/>
    </row>
    <row r="9249" spans="4:4" x14ac:dyDescent="0.3">
      <c r="D9249" s="7"/>
    </row>
    <row r="9250" spans="4:4" x14ac:dyDescent="0.3">
      <c r="D9250" s="7"/>
    </row>
    <row r="9251" spans="4:4" x14ac:dyDescent="0.3">
      <c r="D9251" s="7"/>
    </row>
    <row r="9252" spans="4:4" x14ac:dyDescent="0.3">
      <c r="D9252" s="7"/>
    </row>
    <row r="9253" spans="4:4" x14ac:dyDescent="0.3">
      <c r="D9253" s="7"/>
    </row>
    <row r="9254" spans="4:4" x14ac:dyDescent="0.3">
      <c r="D9254" s="7"/>
    </row>
    <row r="9255" spans="4:4" x14ac:dyDescent="0.3">
      <c r="D9255" s="7"/>
    </row>
    <row r="9256" spans="4:4" x14ac:dyDescent="0.3">
      <c r="D9256" s="7"/>
    </row>
    <row r="9257" spans="4:4" x14ac:dyDescent="0.3">
      <c r="D9257" s="7"/>
    </row>
    <row r="9258" spans="4:4" x14ac:dyDescent="0.3">
      <c r="D9258" s="7"/>
    </row>
    <row r="9259" spans="4:4" x14ac:dyDescent="0.3">
      <c r="D9259" s="7"/>
    </row>
    <row r="9260" spans="4:4" x14ac:dyDescent="0.3">
      <c r="D9260" s="7"/>
    </row>
    <row r="9261" spans="4:4" x14ac:dyDescent="0.3">
      <c r="D9261" s="7"/>
    </row>
    <row r="9262" spans="4:4" x14ac:dyDescent="0.3">
      <c r="D9262" s="7"/>
    </row>
    <row r="9263" spans="4:4" x14ac:dyDescent="0.3">
      <c r="D9263" s="7"/>
    </row>
    <row r="9264" spans="4:4" x14ac:dyDescent="0.3">
      <c r="D9264" s="7"/>
    </row>
    <row r="9265" spans="4:4" x14ac:dyDescent="0.3">
      <c r="D9265" s="7"/>
    </row>
    <row r="9266" spans="4:4" x14ac:dyDescent="0.3">
      <c r="D9266" s="7"/>
    </row>
    <row r="9267" spans="4:4" x14ac:dyDescent="0.3">
      <c r="D9267" s="7"/>
    </row>
    <row r="9268" spans="4:4" x14ac:dyDescent="0.3">
      <c r="D9268" s="7"/>
    </row>
    <row r="9269" spans="4:4" x14ac:dyDescent="0.3">
      <c r="D9269" s="7"/>
    </row>
    <row r="9270" spans="4:4" x14ac:dyDescent="0.3">
      <c r="D9270" s="7"/>
    </row>
    <row r="9271" spans="4:4" x14ac:dyDescent="0.3">
      <c r="D9271" s="7"/>
    </row>
    <row r="9272" spans="4:4" x14ac:dyDescent="0.3">
      <c r="D9272" s="7"/>
    </row>
    <row r="9273" spans="4:4" x14ac:dyDescent="0.3">
      <c r="D9273" s="7"/>
    </row>
    <row r="9274" spans="4:4" x14ac:dyDescent="0.3">
      <c r="D9274" s="7"/>
    </row>
    <row r="9275" spans="4:4" x14ac:dyDescent="0.3">
      <c r="D9275" s="7"/>
    </row>
    <row r="9276" spans="4:4" x14ac:dyDescent="0.3">
      <c r="D9276" s="7"/>
    </row>
    <row r="9277" spans="4:4" x14ac:dyDescent="0.3">
      <c r="D9277" s="7"/>
    </row>
    <row r="9278" spans="4:4" x14ac:dyDescent="0.3">
      <c r="D9278" s="7"/>
    </row>
    <row r="9279" spans="4:4" x14ac:dyDescent="0.3">
      <c r="D9279" s="7"/>
    </row>
    <row r="9280" spans="4:4" x14ac:dyDescent="0.3">
      <c r="D9280" s="7"/>
    </row>
    <row r="9281" spans="4:4" x14ac:dyDescent="0.3">
      <c r="D9281" s="7"/>
    </row>
    <row r="9282" spans="4:4" x14ac:dyDescent="0.3">
      <c r="D9282" s="7"/>
    </row>
    <row r="9283" spans="4:4" x14ac:dyDescent="0.3">
      <c r="D9283" s="7"/>
    </row>
    <row r="9284" spans="4:4" x14ac:dyDescent="0.3">
      <c r="D9284" s="7"/>
    </row>
    <row r="9285" spans="4:4" x14ac:dyDescent="0.3">
      <c r="D9285" s="7"/>
    </row>
    <row r="9286" spans="4:4" x14ac:dyDescent="0.3">
      <c r="D9286" s="7"/>
    </row>
    <row r="9287" spans="4:4" x14ac:dyDescent="0.3">
      <c r="D9287" s="7"/>
    </row>
    <row r="9288" spans="4:4" x14ac:dyDescent="0.3">
      <c r="D9288" s="7"/>
    </row>
    <row r="9289" spans="4:4" x14ac:dyDescent="0.3">
      <c r="D9289" s="7"/>
    </row>
    <row r="9290" spans="4:4" x14ac:dyDescent="0.3">
      <c r="D9290" s="7"/>
    </row>
    <row r="9291" spans="4:4" x14ac:dyDescent="0.3">
      <c r="D9291" s="7"/>
    </row>
    <row r="9292" spans="4:4" x14ac:dyDescent="0.3">
      <c r="D9292" s="7"/>
    </row>
    <row r="9293" spans="4:4" x14ac:dyDescent="0.3">
      <c r="D9293" s="7"/>
    </row>
    <row r="9294" spans="4:4" x14ac:dyDescent="0.3">
      <c r="D9294" s="7"/>
    </row>
    <row r="9295" spans="4:4" x14ac:dyDescent="0.3">
      <c r="D9295" s="7"/>
    </row>
    <row r="9296" spans="4:4" x14ac:dyDescent="0.3">
      <c r="D9296" s="7"/>
    </row>
    <row r="9297" spans="4:4" x14ac:dyDescent="0.3">
      <c r="D9297" s="7"/>
    </row>
    <row r="9298" spans="4:4" x14ac:dyDescent="0.3">
      <c r="D9298" s="7"/>
    </row>
    <row r="9299" spans="4:4" x14ac:dyDescent="0.3">
      <c r="D9299" s="7"/>
    </row>
    <row r="9300" spans="4:4" x14ac:dyDescent="0.3">
      <c r="D9300" s="7"/>
    </row>
    <row r="9301" spans="4:4" x14ac:dyDescent="0.3">
      <c r="D9301" s="7"/>
    </row>
    <row r="9302" spans="4:4" x14ac:dyDescent="0.3">
      <c r="D9302" s="7"/>
    </row>
    <row r="9303" spans="4:4" x14ac:dyDescent="0.3">
      <c r="D9303" s="7"/>
    </row>
    <row r="9304" spans="4:4" x14ac:dyDescent="0.3">
      <c r="D9304" s="7"/>
    </row>
    <row r="9305" spans="4:4" x14ac:dyDescent="0.3">
      <c r="D9305" s="7"/>
    </row>
    <row r="9306" spans="4:4" x14ac:dyDescent="0.3">
      <c r="D9306" s="7"/>
    </row>
    <row r="9307" spans="4:4" x14ac:dyDescent="0.3">
      <c r="D9307" s="7"/>
    </row>
    <row r="9308" spans="4:4" x14ac:dyDescent="0.3">
      <c r="D9308" s="7"/>
    </row>
    <row r="9309" spans="4:4" x14ac:dyDescent="0.3">
      <c r="D9309" s="7"/>
    </row>
    <row r="9310" spans="4:4" x14ac:dyDescent="0.3">
      <c r="D9310" s="7"/>
    </row>
    <row r="9311" spans="4:4" x14ac:dyDescent="0.3">
      <c r="D9311" s="7"/>
    </row>
    <row r="9312" spans="4:4" x14ac:dyDescent="0.3">
      <c r="D9312" s="7"/>
    </row>
    <row r="9313" spans="4:4" x14ac:dyDescent="0.3">
      <c r="D9313" s="7"/>
    </row>
    <row r="9314" spans="4:4" x14ac:dyDescent="0.3">
      <c r="D9314" s="7"/>
    </row>
    <row r="9315" spans="4:4" x14ac:dyDescent="0.3">
      <c r="D9315" s="7"/>
    </row>
    <row r="9316" spans="4:4" x14ac:dyDescent="0.3">
      <c r="D9316" s="7"/>
    </row>
    <row r="9317" spans="4:4" x14ac:dyDescent="0.3">
      <c r="D9317" s="7"/>
    </row>
    <row r="9318" spans="4:4" x14ac:dyDescent="0.3">
      <c r="D9318" s="7"/>
    </row>
    <row r="9319" spans="4:4" x14ac:dyDescent="0.3">
      <c r="D9319" s="7"/>
    </row>
    <row r="9320" spans="4:4" x14ac:dyDescent="0.3">
      <c r="D9320" s="7"/>
    </row>
    <row r="9321" spans="4:4" x14ac:dyDescent="0.3">
      <c r="D9321" s="7"/>
    </row>
    <row r="9322" spans="4:4" x14ac:dyDescent="0.3">
      <c r="D9322" s="7"/>
    </row>
    <row r="9323" spans="4:4" x14ac:dyDescent="0.3">
      <c r="D9323" s="7"/>
    </row>
    <row r="9324" spans="4:4" x14ac:dyDescent="0.3">
      <c r="D9324" s="7"/>
    </row>
    <row r="9325" spans="4:4" x14ac:dyDescent="0.3">
      <c r="D9325" s="7"/>
    </row>
    <row r="9326" spans="4:4" x14ac:dyDescent="0.3">
      <c r="D9326" s="7"/>
    </row>
    <row r="9327" spans="4:4" x14ac:dyDescent="0.3">
      <c r="D9327" s="7"/>
    </row>
    <row r="9328" spans="4:4" x14ac:dyDescent="0.3">
      <c r="D9328" s="7"/>
    </row>
    <row r="9329" spans="4:4" x14ac:dyDescent="0.3">
      <c r="D9329" s="7"/>
    </row>
    <row r="9330" spans="4:4" x14ac:dyDescent="0.3">
      <c r="D9330" s="7"/>
    </row>
    <row r="9331" spans="4:4" x14ac:dyDescent="0.3">
      <c r="D9331" s="7"/>
    </row>
    <row r="9332" spans="4:4" x14ac:dyDescent="0.3">
      <c r="D9332" s="7"/>
    </row>
    <row r="9333" spans="4:4" x14ac:dyDescent="0.3">
      <c r="D9333" s="7"/>
    </row>
    <row r="9334" spans="4:4" x14ac:dyDescent="0.3">
      <c r="D9334" s="7"/>
    </row>
    <row r="9335" spans="4:4" x14ac:dyDescent="0.3">
      <c r="D9335" s="7"/>
    </row>
    <row r="9336" spans="4:4" x14ac:dyDescent="0.3">
      <c r="D9336" s="7"/>
    </row>
    <row r="9337" spans="4:4" x14ac:dyDescent="0.3">
      <c r="D9337" s="7"/>
    </row>
    <row r="9338" spans="4:4" x14ac:dyDescent="0.3">
      <c r="D9338" s="7"/>
    </row>
    <row r="9339" spans="4:4" x14ac:dyDescent="0.3">
      <c r="D9339" s="7"/>
    </row>
    <row r="9340" spans="4:4" x14ac:dyDescent="0.3">
      <c r="D9340" s="7"/>
    </row>
    <row r="9341" spans="4:4" x14ac:dyDescent="0.3">
      <c r="D9341" s="7"/>
    </row>
    <row r="9342" spans="4:4" x14ac:dyDescent="0.3">
      <c r="D9342" s="7"/>
    </row>
    <row r="9343" spans="4:4" x14ac:dyDescent="0.3">
      <c r="D9343" s="7"/>
    </row>
    <row r="9344" spans="4:4" x14ac:dyDescent="0.3">
      <c r="D9344" s="7"/>
    </row>
    <row r="9345" spans="4:4" x14ac:dyDescent="0.3">
      <c r="D9345" s="7"/>
    </row>
    <row r="9346" spans="4:4" x14ac:dyDescent="0.3">
      <c r="D9346" s="7"/>
    </row>
    <row r="9347" spans="4:4" x14ac:dyDescent="0.3">
      <c r="D9347" s="7"/>
    </row>
    <row r="9348" spans="4:4" x14ac:dyDescent="0.3">
      <c r="D9348" s="7"/>
    </row>
    <row r="9349" spans="4:4" x14ac:dyDescent="0.3">
      <c r="D9349" s="7"/>
    </row>
    <row r="9350" spans="4:4" x14ac:dyDescent="0.3">
      <c r="D9350" s="7"/>
    </row>
    <row r="9351" spans="4:4" x14ac:dyDescent="0.3">
      <c r="D9351" s="7"/>
    </row>
    <row r="9352" spans="4:4" x14ac:dyDescent="0.3">
      <c r="D9352" s="7"/>
    </row>
    <row r="9353" spans="4:4" x14ac:dyDescent="0.3">
      <c r="D9353" s="7"/>
    </row>
    <row r="9354" spans="4:4" x14ac:dyDescent="0.3">
      <c r="D9354" s="7"/>
    </row>
    <row r="9355" spans="4:4" x14ac:dyDescent="0.3">
      <c r="D9355" s="7"/>
    </row>
    <row r="9356" spans="4:4" x14ac:dyDescent="0.3">
      <c r="D9356" s="7"/>
    </row>
    <row r="9357" spans="4:4" x14ac:dyDescent="0.3">
      <c r="D9357" s="7"/>
    </row>
    <row r="9358" spans="4:4" x14ac:dyDescent="0.3">
      <c r="D9358" s="7"/>
    </row>
    <row r="9359" spans="4:4" x14ac:dyDescent="0.3">
      <c r="D9359" s="7"/>
    </row>
    <row r="9360" spans="4:4" x14ac:dyDescent="0.3">
      <c r="D9360" s="7"/>
    </row>
    <row r="9361" spans="4:4" x14ac:dyDescent="0.3">
      <c r="D9361" s="7"/>
    </row>
    <row r="9362" spans="4:4" x14ac:dyDescent="0.3">
      <c r="D9362" s="7"/>
    </row>
    <row r="9363" spans="4:4" x14ac:dyDescent="0.3">
      <c r="D9363" s="7"/>
    </row>
    <row r="9364" spans="4:4" x14ac:dyDescent="0.3">
      <c r="D9364" s="7"/>
    </row>
    <row r="9365" spans="4:4" x14ac:dyDescent="0.3">
      <c r="D9365" s="7"/>
    </row>
    <row r="9366" spans="4:4" x14ac:dyDescent="0.3">
      <c r="D9366" s="7"/>
    </row>
    <row r="9367" spans="4:4" x14ac:dyDescent="0.3">
      <c r="D9367" s="7"/>
    </row>
    <row r="9368" spans="4:4" x14ac:dyDescent="0.3">
      <c r="D9368" s="7"/>
    </row>
    <row r="9369" spans="4:4" x14ac:dyDescent="0.3">
      <c r="D9369" s="7"/>
    </row>
    <row r="9370" spans="4:4" x14ac:dyDescent="0.3">
      <c r="D9370" s="7"/>
    </row>
    <row r="9371" spans="4:4" x14ac:dyDescent="0.3">
      <c r="D9371" s="7"/>
    </row>
    <row r="9372" spans="4:4" x14ac:dyDescent="0.3">
      <c r="D9372" s="7"/>
    </row>
    <row r="9373" spans="4:4" x14ac:dyDescent="0.3">
      <c r="D9373" s="7"/>
    </row>
    <row r="9374" spans="4:4" x14ac:dyDescent="0.3">
      <c r="D9374" s="7"/>
    </row>
    <row r="9375" spans="4:4" x14ac:dyDescent="0.3">
      <c r="D9375" s="7"/>
    </row>
    <row r="9376" spans="4:4" x14ac:dyDescent="0.3">
      <c r="D9376" s="7"/>
    </row>
    <row r="9377" spans="4:4" x14ac:dyDescent="0.3">
      <c r="D9377" s="7"/>
    </row>
    <row r="9378" spans="4:4" x14ac:dyDescent="0.3">
      <c r="D9378" s="7"/>
    </row>
    <row r="9379" spans="4:4" x14ac:dyDescent="0.3">
      <c r="D9379" s="7"/>
    </row>
    <row r="9380" spans="4:4" x14ac:dyDescent="0.3">
      <c r="D9380" s="7"/>
    </row>
    <row r="9381" spans="4:4" x14ac:dyDescent="0.3">
      <c r="D9381" s="7"/>
    </row>
    <row r="9382" spans="4:4" x14ac:dyDescent="0.3">
      <c r="D9382" s="7"/>
    </row>
    <row r="9383" spans="4:4" x14ac:dyDescent="0.3">
      <c r="D9383" s="7"/>
    </row>
    <row r="9384" spans="4:4" x14ac:dyDescent="0.3">
      <c r="D9384" s="7"/>
    </row>
    <row r="9385" spans="4:4" x14ac:dyDescent="0.3">
      <c r="D9385" s="7"/>
    </row>
    <row r="9386" spans="4:4" x14ac:dyDescent="0.3">
      <c r="D9386" s="7"/>
    </row>
    <row r="9387" spans="4:4" x14ac:dyDescent="0.3">
      <c r="D9387" s="7"/>
    </row>
    <row r="9388" spans="4:4" x14ac:dyDescent="0.3">
      <c r="D9388" s="7"/>
    </row>
    <row r="9389" spans="4:4" x14ac:dyDescent="0.3">
      <c r="D9389" s="7"/>
    </row>
    <row r="9390" spans="4:4" x14ac:dyDescent="0.3">
      <c r="D9390" s="7"/>
    </row>
    <row r="9391" spans="4:4" x14ac:dyDescent="0.3">
      <c r="D9391" s="7"/>
    </row>
    <row r="9392" spans="4:4" x14ac:dyDescent="0.3">
      <c r="D9392" s="7"/>
    </row>
    <row r="9393" spans="4:4" x14ac:dyDescent="0.3">
      <c r="D9393" s="7"/>
    </row>
    <row r="9394" spans="4:4" x14ac:dyDescent="0.3">
      <c r="D9394" s="7"/>
    </row>
    <row r="9395" spans="4:4" x14ac:dyDescent="0.3">
      <c r="D9395" s="7"/>
    </row>
    <row r="9396" spans="4:4" x14ac:dyDescent="0.3">
      <c r="D9396" s="7"/>
    </row>
    <row r="9397" spans="4:4" x14ac:dyDescent="0.3">
      <c r="D9397" s="7"/>
    </row>
    <row r="9398" spans="4:4" x14ac:dyDescent="0.3">
      <c r="D9398" s="7"/>
    </row>
    <row r="9399" spans="4:4" x14ac:dyDescent="0.3">
      <c r="D9399" s="7"/>
    </row>
    <row r="9400" spans="4:4" x14ac:dyDescent="0.3">
      <c r="D9400" s="7"/>
    </row>
    <row r="9401" spans="4:4" x14ac:dyDescent="0.3">
      <c r="D9401" s="7"/>
    </row>
    <row r="9402" spans="4:4" x14ac:dyDescent="0.3">
      <c r="D9402" s="7"/>
    </row>
    <row r="9403" spans="4:4" x14ac:dyDescent="0.3">
      <c r="D9403" s="7"/>
    </row>
    <row r="9404" spans="4:4" x14ac:dyDescent="0.3">
      <c r="D9404" s="7"/>
    </row>
    <row r="9405" spans="4:4" x14ac:dyDescent="0.3">
      <c r="D9405" s="7"/>
    </row>
    <row r="9406" spans="4:4" x14ac:dyDescent="0.3">
      <c r="D9406" s="7"/>
    </row>
    <row r="9407" spans="4:4" x14ac:dyDescent="0.3">
      <c r="D9407" s="7"/>
    </row>
    <row r="9408" spans="4:4" x14ac:dyDescent="0.3">
      <c r="D9408" s="7"/>
    </row>
    <row r="9409" spans="4:4" x14ac:dyDescent="0.3">
      <c r="D9409" s="7"/>
    </row>
    <row r="9410" spans="4:4" x14ac:dyDescent="0.3">
      <c r="D9410" s="7"/>
    </row>
    <row r="9411" spans="4:4" x14ac:dyDescent="0.3">
      <c r="D9411" s="7"/>
    </row>
    <row r="9412" spans="4:4" x14ac:dyDescent="0.3">
      <c r="D9412" s="7"/>
    </row>
    <row r="9413" spans="4:4" x14ac:dyDescent="0.3">
      <c r="D9413" s="7"/>
    </row>
    <row r="9414" spans="4:4" x14ac:dyDescent="0.3">
      <c r="D9414" s="7"/>
    </row>
    <row r="9415" spans="4:4" x14ac:dyDescent="0.3">
      <c r="D9415" s="7"/>
    </row>
    <row r="9416" spans="4:4" x14ac:dyDescent="0.3">
      <c r="D9416" s="7"/>
    </row>
    <row r="9417" spans="4:4" x14ac:dyDescent="0.3">
      <c r="D9417" s="7"/>
    </row>
    <row r="9418" spans="4:4" x14ac:dyDescent="0.3">
      <c r="D9418" s="7"/>
    </row>
    <row r="9419" spans="4:4" x14ac:dyDescent="0.3">
      <c r="D9419" s="7"/>
    </row>
    <row r="9420" spans="4:4" x14ac:dyDescent="0.3">
      <c r="D9420" s="7"/>
    </row>
    <row r="9421" spans="4:4" x14ac:dyDescent="0.3">
      <c r="D9421" s="7"/>
    </row>
    <row r="9422" spans="4:4" x14ac:dyDescent="0.3">
      <c r="D9422" s="7"/>
    </row>
    <row r="9423" spans="4:4" x14ac:dyDescent="0.3">
      <c r="D9423" s="7"/>
    </row>
    <row r="9424" spans="4:4" x14ac:dyDescent="0.3">
      <c r="D9424" s="7"/>
    </row>
    <row r="9425" spans="4:4" x14ac:dyDescent="0.3">
      <c r="D9425" s="7"/>
    </row>
    <row r="9426" spans="4:4" x14ac:dyDescent="0.3">
      <c r="D9426" s="7"/>
    </row>
    <row r="9427" spans="4:4" x14ac:dyDescent="0.3">
      <c r="D9427" s="7"/>
    </row>
    <row r="9428" spans="4:4" x14ac:dyDescent="0.3">
      <c r="D9428" s="7"/>
    </row>
    <row r="9429" spans="4:4" x14ac:dyDescent="0.3">
      <c r="D9429" s="7"/>
    </row>
    <row r="9430" spans="4:4" x14ac:dyDescent="0.3">
      <c r="D9430" s="7"/>
    </row>
    <row r="9431" spans="4:4" x14ac:dyDescent="0.3">
      <c r="D9431" s="7"/>
    </row>
    <row r="9432" spans="4:4" x14ac:dyDescent="0.3">
      <c r="D9432" s="7"/>
    </row>
    <row r="9433" spans="4:4" x14ac:dyDescent="0.3">
      <c r="D9433" s="7"/>
    </row>
    <row r="9434" spans="4:4" x14ac:dyDescent="0.3">
      <c r="D9434" s="7"/>
    </row>
    <row r="9435" spans="4:4" x14ac:dyDescent="0.3">
      <c r="D9435" s="7"/>
    </row>
    <row r="9436" spans="4:4" x14ac:dyDescent="0.3">
      <c r="D9436" s="7"/>
    </row>
    <row r="9437" spans="4:4" x14ac:dyDescent="0.3">
      <c r="D9437" s="7"/>
    </row>
    <row r="9438" spans="4:4" x14ac:dyDescent="0.3">
      <c r="D9438" s="7"/>
    </row>
    <row r="9439" spans="4:4" x14ac:dyDescent="0.3">
      <c r="D9439" s="7"/>
    </row>
    <row r="9440" spans="4:4" x14ac:dyDescent="0.3">
      <c r="D9440" s="7"/>
    </row>
    <row r="9441" spans="4:4" x14ac:dyDescent="0.3">
      <c r="D9441" s="7"/>
    </row>
    <row r="9442" spans="4:4" x14ac:dyDescent="0.3">
      <c r="D9442" s="7"/>
    </row>
    <row r="9443" spans="4:4" x14ac:dyDescent="0.3">
      <c r="D9443" s="7"/>
    </row>
    <row r="9444" spans="4:4" x14ac:dyDescent="0.3">
      <c r="D9444" s="7"/>
    </row>
    <row r="9445" spans="4:4" x14ac:dyDescent="0.3">
      <c r="D9445" s="7"/>
    </row>
    <row r="9446" spans="4:4" x14ac:dyDescent="0.3">
      <c r="D9446" s="7"/>
    </row>
    <row r="9447" spans="4:4" x14ac:dyDescent="0.3">
      <c r="D9447" s="7"/>
    </row>
    <row r="9448" spans="4:4" x14ac:dyDescent="0.3">
      <c r="D9448" s="7"/>
    </row>
    <row r="9449" spans="4:4" x14ac:dyDescent="0.3">
      <c r="D9449" s="7"/>
    </row>
    <row r="9450" spans="4:4" x14ac:dyDescent="0.3">
      <c r="D9450" s="7"/>
    </row>
    <row r="9451" spans="4:4" x14ac:dyDescent="0.3">
      <c r="D9451" s="7"/>
    </row>
    <row r="9452" spans="4:4" x14ac:dyDescent="0.3">
      <c r="D9452" s="7"/>
    </row>
    <row r="9453" spans="4:4" x14ac:dyDescent="0.3">
      <c r="D9453" s="7"/>
    </row>
    <row r="9454" spans="4:4" x14ac:dyDescent="0.3">
      <c r="D9454" s="7"/>
    </row>
    <row r="9455" spans="4:4" x14ac:dyDescent="0.3">
      <c r="D9455" s="7"/>
    </row>
    <row r="9456" spans="4:4" x14ac:dyDescent="0.3">
      <c r="D9456" s="7"/>
    </row>
    <row r="9457" spans="4:4" x14ac:dyDescent="0.3">
      <c r="D9457" s="7"/>
    </row>
    <row r="9458" spans="4:4" x14ac:dyDescent="0.3">
      <c r="D9458" s="7"/>
    </row>
    <row r="9459" spans="4:4" x14ac:dyDescent="0.3">
      <c r="D9459" s="7"/>
    </row>
    <row r="9460" spans="4:4" x14ac:dyDescent="0.3">
      <c r="D9460" s="7"/>
    </row>
    <row r="9461" spans="4:4" x14ac:dyDescent="0.3">
      <c r="D9461" s="7"/>
    </row>
    <row r="9462" spans="4:4" x14ac:dyDescent="0.3">
      <c r="D9462" s="7"/>
    </row>
    <row r="9463" spans="4:4" x14ac:dyDescent="0.3">
      <c r="D9463" s="7"/>
    </row>
    <row r="9464" spans="4:4" x14ac:dyDescent="0.3">
      <c r="D9464" s="7"/>
    </row>
    <row r="9465" spans="4:4" x14ac:dyDescent="0.3">
      <c r="D9465" s="7"/>
    </row>
    <row r="9466" spans="4:4" x14ac:dyDescent="0.3">
      <c r="D9466" s="7"/>
    </row>
    <row r="9467" spans="4:4" x14ac:dyDescent="0.3">
      <c r="D9467" s="7"/>
    </row>
    <row r="9468" spans="4:4" x14ac:dyDescent="0.3">
      <c r="D9468" s="7"/>
    </row>
    <row r="9469" spans="4:4" x14ac:dyDescent="0.3">
      <c r="D9469" s="7"/>
    </row>
    <row r="9470" spans="4:4" x14ac:dyDescent="0.3">
      <c r="D9470" s="7"/>
    </row>
    <row r="9471" spans="4:4" x14ac:dyDescent="0.3">
      <c r="D9471" s="7"/>
    </row>
    <row r="9472" spans="4:4" x14ac:dyDescent="0.3">
      <c r="D9472" s="7"/>
    </row>
    <row r="9473" spans="4:4" x14ac:dyDescent="0.3">
      <c r="D9473" s="7"/>
    </row>
    <row r="9474" spans="4:4" x14ac:dyDescent="0.3">
      <c r="D9474" s="7"/>
    </row>
    <row r="9475" spans="4:4" x14ac:dyDescent="0.3">
      <c r="D9475" s="7"/>
    </row>
    <row r="9476" spans="4:4" x14ac:dyDescent="0.3">
      <c r="D9476" s="7"/>
    </row>
    <row r="9477" spans="4:4" x14ac:dyDescent="0.3">
      <c r="D9477" s="7"/>
    </row>
    <row r="9478" spans="4:4" x14ac:dyDescent="0.3">
      <c r="D9478" s="7"/>
    </row>
    <row r="9479" spans="4:4" x14ac:dyDescent="0.3">
      <c r="D9479" s="7"/>
    </row>
    <row r="9480" spans="4:4" x14ac:dyDescent="0.3">
      <c r="D9480" s="7"/>
    </row>
    <row r="9481" spans="4:4" x14ac:dyDescent="0.3">
      <c r="D9481" s="7"/>
    </row>
    <row r="9482" spans="4:4" x14ac:dyDescent="0.3">
      <c r="D9482" s="7"/>
    </row>
    <row r="9483" spans="4:4" x14ac:dyDescent="0.3">
      <c r="D9483" s="7"/>
    </row>
    <row r="9484" spans="4:4" x14ac:dyDescent="0.3">
      <c r="D9484" s="7"/>
    </row>
    <row r="9485" spans="4:4" x14ac:dyDescent="0.3">
      <c r="D9485" s="7"/>
    </row>
    <row r="9486" spans="4:4" x14ac:dyDescent="0.3">
      <c r="D9486" s="7"/>
    </row>
    <row r="9487" spans="4:4" x14ac:dyDescent="0.3">
      <c r="D9487" s="7"/>
    </row>
    <row r="9488" spans="4:4" x14ac:dyDescent="0.3">
      <c r="D9488" s="7"/>
    </row>
    <row r="9489" spans="4:4" x14ac:dyDescent="0.3">
      <c r="D9489" s="7"/>
    </row>
    <row r="9490" spans="4:4" x14ac:dyDescent="0.3">
      <c r="D9490" s="7"/>
    </row>
    <row r="9491" spans="4:4" x14ac:dyDescent="0.3">
      <c r="D9491" s="7"/>
    </row>
    <row r="9492" spans="4:4" x14ac:dyDescent="0.3">
      <c r="D9492" s="7"/>
    </row>
    <row r="9493" spans="4:4" x14ac:dyDescent="0.3">
      <c r="D9493" s="7"/>
    </row>
    <row r="9494" spans="4:4" x14ac:dyDescent="0.3">
      <c r="D9494" s="7"/>
    </row>
    <row r="9495" spans="4:4" x14ac:dyDescent="0.3">
      <c r="D9495" s="7"/>
    </row>
    <row r="9496" spans="4:4" x14ac:dyDescent="0.3">
      <c r="D9496" s="7"/>
    </row>
    <row r="9497" spans="4:4" x14ac:dyDescent="0.3">
      <c r="D9497" s="7"/>
    </row>
    <row r="9498" spans="4:4" x14ac:dyDescent="0.3">
      <c r="D9498" s="7"/>
    </row>
    <row r="9499" spans="4:4" x14ac:dyDescent="0.3">
      <c r="D9499" s="7"/>
    </row>
    <row r="9500" spans="4:4" x14ac:dyDescent="0.3">
      <c r="D9500" s="7"/>
    </row>
    <row r="9501" spans="4:4" x14ac:dyDescent="0.3">
      <c r="D9501" s="7"/>
    </row>
    <row r="9502" spans="4:4" x14ac:dyDescent="0.3">
      <c r="D9502" s="7"/>
    </row>
    <row r="9503" spans="4:4" x14ac:dyDescent="0.3">
      <c r="D9503" s="7"/>
    </row>
    <row r="9504" spans="4:4" x14ac:dyDescent="0.3">
      <c r="D9504" s="7"/>
    </row>
    <row r="9505" spans="4:4" x14ac:dyDescent="0.3">
      <c r="D9505" s="7"/>
    </row>
    <row r="9506" spans="4:4" x14ac:dyDescent="0.3">
      <c r="D9506" s="7"/>
    </row>
    <row r="9507" spans="4:4" x14ac:dyDescent="0.3">
      <c r="D9507" s="7"/>
    </row>
    <row r="9508" spans="4:4" x14ac:dyDescent="0.3">
      <c r="D9508" s="7"/>
    </row>
    <row r="9509" spans="4:4" x14ac:dyDescent="0.3">
      <c r="D9509" s="7"/>
    </row>
    <row r="9510" spans="4:4" x14ac:dyDescent="0.3">
      <c r="D9510" s="7"/>
    </row>
    <row r="9511" spans="4:4" x14ac:dyDescent="0.3">
      <c r="D9511" s="7"/>
    </row>
    <row r="9512" spans="4:4" x14ac:dyDescent="0.3">
      <c r="D9512" s="7"/>
    </row>
    <row r="9513" spans="4:4" x14ac:dyDescent="0.3">
      <c r="D9513" s="7"/>
    </row>
    <row r="9514" spans="4:4" x14ac:dyDescent="0.3">
      <c r="D9514" s="7"/>
    </row>
    <row r="9515" spans="4:4" x14ac:dyDescent="0.3">
      <c r="D9515" s="7"/>
    </row>
    <row r="9516" spans="4:4" x14ac:dyDescent="0.3">
      <c r="D9516" s="7"/>
    </row>
    <row r="9517" spans="4:4" x14ac:dyDescent="0.3">
      <c r="D9517" s="7"/>
    </row>
    <row r="9518" spans="4:4" x14ac:dyDescent="0.3">
      <c r="D9518" s="7"/>
    </row>
    <row r="9519" spans="4:4" x14ac:dyDescent="0.3">
      <c r="D9519" s="7"/>
    </row>
    <row r="9520" spans="4:4" x14ac:dyDescent="0.3">
      <c r="D9520" s="7"/>
    </row>
    <row r="9521" spans="4:4" x14ac:dyDescent="0.3">
      <c r="D9521" s="7"/>
    </row>
    <row r="9522" spans="4:4" x14ac:dyDescent="0.3">
      <c r="D9522" s="7"/>
    </row>
    <row r="9523" spans="4:4" x14ac:dyDescent="0.3">
      <c r="D9523" s="7"/>
    </row>
    <row r="9524" spans="4:4" x14ac:dyDescent="0.3">
      <c r="D9524" s="7"/>
    </row>
    <row r="9525" spans="4:4" x14ac:dyDescent="0.3">
      <c r="D9525" s="7"/>
    </row>
    <row r="9526" spans="4:4" x14ac:dyDescent="0.3">
      <c r="D9526" s="7"/>
    </row>
    <row r="9527" spans="4:4" x14ac:dyDescent="0.3">
      <c r="D9527" s="7"/>
    </row>
    <row r="9528" spans="4:4" x14ac:dyDescent="0.3">
      <c r="D9528" s="7"/>
    </row>
    <row r="9529" spans="4:4" x14ac:dyDescent="0.3">
      <c r="D9529" s="7"/>
    </row>
    <row r="9530" spans="4:4" x14ac:dyDescent="0.3">
      <c r="D9530" s="7"/>
    </row>
    <row r="9531" spans="4:4" x14ac:dyDescent="0.3">
      <c r="D9531" s="7"/>
    </row>
    <row r="9532" spans="4:4" x14ac:dyDescent="0.3">
      <c r="D9532" s="7"/>
    </row>
    <row r="9533" spans="4:4" x14ac:dyDescent="0.3">
      <c r="D9533" s="7"/>
    </row>
    <row r="9534" spans="4:4" x14ac:dyDescent="0.3">
      <c r="D9534" s="7"/>
    </row>
    <row r="9535" spans="4:4" x14ac:dyDescent="0.3">
      <c r="D9535" s="7"/>
    </row>
    <row r="9536" spans="4:4" x14ac:dyDescent="0.3">
      <c r="D9536" s="7"/>
    </row>
    <row r="9537" spans="4:4" x14ac:dyDescent="0.3">
      <c r="D9537" s="7"/>
    </row>
    <row r="9538" spans="4:4" x14ac:dyDescent="0.3">
      <c r="D9538" s="7"/>
    </row>
    <row r="9539" spans="4:4" x14ac:dyDescent="0.3">
      <c r="D9539" s="7"/>
    </row>
    <row r="9540" spans="4:4" x14ac:dyDescent="0.3">
      <c r="D9540" s="7"/>
    </row>
    <row r="9541" spans="4:4" x14ac:dyDescent="0.3">
      <c r="D9541" s="7"/>
    </row>
    <row r="9542" spans="4:4" x14ac:dyDescent="0.3">
      <c r="D9542" s="7"/>
    </row>
    <row r="9543" spans="4:4" x14ac:dyDescent="0.3">
      <c r="D9543" s="7"/>
    </row>
    <row r="9544" spans="4:4" x14ac:dyDescent="0.3">
      <c r="D9544" s="7"/>
    </row>
    <row r="9545" spans="4:4" x14ac:dyDescent="0.3">
      <c r="D9545" s="7"/>
    </row>
    <row r="9546" spans="4:4" x14ac:dyDescent="0.3">
      <c r="D9546" s="7"/>
    </row>
    <row r="9547" spans="4:4" x14ac:dyDescent="0.3">
      <c r="D9547" s="7"/>
    </row>
    <row r="9548" spans="4:4" x14ac:dyDescent="0.3">
      <c r="D9548" s="7"/>
    </row>
    <row r="9549" spans="4:4" x14ac:dyDescent="0.3">
      <c r="D9549" s="7"/>
    </row>
    <row r="9550" spans="4:4" x14ac:dyDescent="0.3">
      <c r="D9550" s="7"/>
    </row>
    <row r="9551" spans="4:4" x14ac:dyDescent="0.3">
      <c r="D9551" s="7"/>
    </row>
    <row r="9552" spans="4:4" x14ac:dyDescent="0.3">
      <c r="D9552" s="7"/>
    </row>
    <row r="9553" spans="4:4" x14ac:dyDescent="0.3">
      <c r="D9553" s="7"/>
    </row>
    <row r="9554" spans="4:4" x14ac:dyDescent="0.3">
      <c r="D9554" s="7"/>
    </row>
    <row r="9555" spans="4:4" x14ac:dyDescent="0.3">
      <c r="D9555" s="7"/>
    </row>
    <row r="9556" spans="4:4" x14ac:dyDescent="0.3">
      <c r="D9556" s="7"/>
    </row>
    <row r="9557" spans="4:4" x14ac:dyDescent="0.3">
      <c r="D9557" s="7"/>
    </row>
    <row r="9558" spans="4:4" x14ac:dyDescent="0.3">
      <c r="D9558" s="7"/>
    </row>
    <row r="9559" spans="4:4" x14ac:dyDescent="0.3">
      <c r="D9559" s="7"/>
    </row>
    <row r="9560" spans="4:4" x14ac:dyDescent="0.3">
      <c r="D9560" s="7"/>
    </row>
    <row r="9561" spans="4:4" x14ac:dyDescent="0.3">
      <c r="D9561" s="7"/>
    </row>
    <row r="9562" spans="4:4" x14ac:dyDescent="0.3">
      <c r="D9562" s="7"/>
    </row>
    <row r="9563" spans="4:4" x14ac:dyDescent="0.3">
      <c r="D9563" s="7"/>
    </row>
    <row r="9564" spans="4:4" x14ac:dyDescent="0.3">
      <c r="D9564" s="7"/>
    </row>
    <row r="9565" spans="4:4" x14ac:dyDescent="0.3">
      <c r="D9565" s="7"/>
    </row>
    <row r="9566" spans="4:4" x14ac:dyDescent="0.3">
      <c r="D9566" s="7"/>
    </row>
    <row r="9567" spans="4:4" x14ac:dyDescent="0.3">
      <c r="D9567" s="7"/>
    </row>
    <row r="9568" spans="4:4" x14ac:dyDescent="0.3">
      <c r="D9568" s="7"/>
    </row>
    <row r="9569" spans="4:4" x14ac:dyDescent="0.3">
      <c r="D9569" s="7"/>
    </row>
    <row r="9570" spans="4:4" x14ac:dyDescent="0.3">
      <c r="D9570" s="7"/>
    </row>
    <row r="9571" spans="4:4" x14ac:dyDescent="0.3">
      <c r="D9571" s="7"/>
    </row>
    <row r="9572" spans="4:4" x14ac:dyDescent="0.3">
      <c r="D9572" s="7"/>
    </row>
    <row r="9573" spans="4:4" x14ac:dyDescent="0.3">
      <c r="D9573" s="7"/>
    </row>
    <row r="9574" spans="4:4" x14ac:dyDescent="0.3">
      <c r="D9574" s="7"/>
    </row>
    <row r="9575" spans="4:4" x14ac:dyDescent="0.3">
      <c r="D9575" s="7"/>
    </row>
    <row r="9576" spans="4:4" x14ac:dyDescent="0.3">
      <c r="D9576" s="7"/>
    </row>
    <row r="9577" spans="4:4" x14ac:dyDescent="0.3">
      <c r="D9577" s="7"/>
    </row>
    <row r="9578" spans="4:4" x14ac:dyDescent="0.3">
      <c r="D9578" s="7"/>
    </row>
    <row r="9579" spans="4:4" x14ac:dyDescent="0.3">
      <c r="D9579" s="7"/>
    </row>
    <row r="9580" spans="4:4" x14ac:dyDescent="0.3">
      <c r="D9580" s="7"/>
    </row>
    <row r="9581" spans="4:4" x14ac:dyDescent="0.3">
      <c r="D9581" s="7"/>
    </row>
    <row r="9582" spans="4:4" x14ac:dyDescent="0.3">
      <c r="D9582" s="7"/>
    </row>
    <row r="9583" spans="4:4" x14ac:dyDescent="0.3">
      <c r="D9583" s="7"/>
    </row>
    <row r="9584" spans="4:4" x14ac:dyDescent="0.3">
      <c r="D9584" s="7"/>
    </row>
    <row r="9585" spans="4:4" x14ac:dyDescent="0.3">
      <c r="D9585" s="7"/>
    </row>
    <row r="9586" spans="4:4" x14ac:dyDescent="0.3">
      <c r="D9586" s="7"/>
    </row>
    <row r="9587" spans="4:4" x14ac:dyDescent="0.3">
      <c r="D9587" s="7"/>
    </row>
    <row r="9588" spans="4:4" x14ac:dyDescent="0.3">
      <c r="D9588" s="7"/>
    </row>
    <row r="9589" spans="4:4" x14ac:dyDescent="0.3">
      <c r="D9589" s="7"/>
    </row>
    <row r="9590" spans="4:4" x14ac:dyDescent="0.3">
      <c r="D9590" s="7"/>
    </row>
    <row r="9591" spans="4:4" x14ac:dyDescent="0.3">
      <c r="D9591" s="7"/>
    </row>
    <row r="9592" spans="4:4" x14ac:dyDescent="0.3">
      <c r="D9592" s="7"/>
    </row>
    <row r="9593" spans="4:4" x14ac:dyDescent="0.3">
      <c r="D9593" s="7"/>
    </row>
    <row r="9594" spans="4:4" x14ac:dyDescent="0.3">
      <c r="D9594" s="7"/>
    </row>
    <row r="9595" spans="4:4" x14ac:dyDescent="0.3">
      <c r="D9595" s="7"/>
    </row>
    <row r="9596" spans="4:4" x14ac:dyDescent="0.3">
      <c r="D9596" s="7"/>
    </row>
    <row r="9597" spans="4:4" x14ac:dyDescent="0.3">
      <c r="D9597" s="7"/>
    </row>
    <row r="9598" spans="4:4" x14ac:dyDescent="0.3">
      <c r="D9598" s="7"/>
    </row>
    <row r="9599" spans="4:4" x14ac:dyDescent="0.3">
      <c r="D9599" s="7"/>
    </row>
    <row r="9600" spans="4:4" x14ac:dyDescent="0.3">
      <c r="D9600" s="7"/>
    </row>
    <row r="9601" spans="4:4" x14ac:dyDescent="0.3">
      <c r="D9601" s="7"/>
    </row>
    <row r="9602" spans="4:4" x14ac:dyDescent="0.3">
      <c r="D9602" s="7"/>
    </row>
    <row r="9603" spans="4:4" x14ac:dyDescent="0.3">
      <c r="D9603" s="7"/>
    </row>
    <row r="9604" spans="4:4" x14ac:dyDescent="0.3">
      <c r="D9604" s="7"/>
    </row>
    <row r="9605" spans="4:4" x14ac:dyDescent="0.3">
      <c r="D9605" s="7"/>
    </row>
    <row r="9606" spans="4:4" x14ac:dyDescent="0.3">
      <c r="D9606" s="7"/>
    </row>
    <row r="9607" spans="4:4" x14ac:dyDescent="0.3">
      <c r="D9607" s="7"/>
    </row>
    <row r="9608" spans="4:4" x14ac:dyDescent="0.3">
      <c r="D9608" s="7"/>
    </row>
    <row r="9609" spans="4:4" x14ac:dyDescent="0.3">
      <c r="D9609" s="7"/>
    </row>
    <row r="9610" spans="4:4" x14ac:dyDescent="0.3">
      <c r="D9610" s="7"/>
    </row>
    <row r="9611" spans="4:4" x14ac:dyDescent="0.3">
      <c r="D9611" s="7"/>
    </row>
    <row r="9612" spans="4:4" x14ac:dyDescent="0.3">
      <c r="D9612" s="7"/>
    </row>
    <row r="9613" spans="4:4" x14ac:dyDescent="0.3">
      <c r="D9613" s="7"/>
    </row>
    <row r="9614" spans="4:4" x14ac:dyDescent="0.3">
      <c r="D9614" s="7"/>
    </row>
    <row r="9615" spans="4:4" x14ac:dyDescent="0.3">
      <c r="D9615" s="7"/>
    </row>
    <row r="9616" spans="4:4" x14ac:dyDescent="0.3">
      <c r="D9616" s="7"/>
    </row>
    <row r="9617" spans="4:4" x14ac:dyDescent="0.3">
      <c r="D9617" s="7"/>
    </row>
    <row r="9618" spans="4:4" x14ac:dyDescent="0.3">
      <c r="D9618" s="7"/>
    </row>
    <row r="9619" spans="4:4" x14ac:dyDescent="0.3">
      <c r="D9619" s="7"/>
    </row>
    <row r="9620" spans="4:4" x14ac:dyDescent="0.3">
      <c r="D9620" s="7"/>
    </row>
    <row r="9621" spans="4:4" x14ac:dyDescent="0.3">
      <c r="D9621" s="7"/>
    </row>
    <row r="9622" spans="4:4" x14ac:dyDescent="0.3">
      <c r="D9622" s="7"/>
    </row>
    <row r="9623" spans="4:4" x14ac:dyDescent="0.3">
      <c r="D9623" s="7"/>
    </row>
    <row r="9624" spans="4:4" x14ac:dyDescent="0.3">
      <c r="D9624" s="7"/>
    </row>
    <row r="9625" spans="4:4" x14ac:dyDescent="0.3">
      <c r="D9625" s="7"/>
    </row>
    <row r="9626" spans="4:4" x14ac:dyDescent="0.3">
      <c r="D9626" s="7"/>
    </row>
    <row r="9627" spans="4:4" x14ac:dyDescent="0.3">
      <c r="D9627" s="7"/>
    </row>
    <row r="9628" spans="4:4" x14ac:dyDescent="0.3">
      <c r="D9628" s="7"/>
    </row>
    <row r="9629" spans="4:4" x14ac:dyDescent="0.3">
      <c r="D9629" s="7"/>
    </row>
    <row r="9630" spans="4:4" x14ac:dyDescent="0.3">
      <c r="D9630" s="7"/>
    </row>
    <row r="9631" spans="4:4" x14ac:dyDescent="0.3">
      <c r="D9631" s="7"/>
    </row>
    <row r="9632" spans="4:4" x14ac:dyDescent="0.3">
      <c r="D9632" s="7"/>
    </row>
    <row r="9633" spans="4:4" x14ac:dyDescent="0.3">
      <c r="D9633" s="7"/>
    </row>
    <row r="9634" spans="4:4" x14ac:dyDescent="0.3">
      <c r="D9634" s="7"/>
    </row>
    <row r="9635" spans="4:4" x14ac:dyDescent="0.3">
      <c r="D9635" s="7"/>
    </row>
    <row r="9636" spans="4:4" x14ac:dyDescent="0.3">
      <c r="D9636" s="7"/>
    </row>
    <row r="9637" spans="4:4" x14ac:dyDescent="0.3">
      <c r="D9637" s="7"/>
    </row>
    <row r="9638" spans="4:4" x14ac:dyDescent="0.3">
      <c r="D9638" s="7"/>
    </row>
    <row r="9639" spans="4:4" x14ac:dyDescent="0.3">
      <c r="D9639" s="7"/>
    </row>
    <row r="9640" spans="4:4" x14ac:dyDescent="0.3">
      <c r="D9640" s="7"/>
    </row>
    <row r="9641" spans="4:4" x14ac:dyDescent="0.3">
      <c r="D9641" s="7"/>
    </row>
    <row r="9642" spans="4:4" x14ac:dyDescent="0.3">
      <c r="D9642" s="7"/>
    </row>
    <row r="9643" spans="4:4" x14ac:dyDescent="0.3">
      <c r="D9643" s="7"/>
    </row>
    <row r="9644" spans="4:4" x14ac:dyDescent="0.3">
      <c r="D9644" s="7"/>
    </row>
    <row r="9645" spans="4:4" x14ac:dyDescent="0.3">
      <c r="D9645" s="7"/>
    </row>
    <row r="9646" spans="4:4" x14ac:dyDescent="0.3">
      <c r="D9646" s="7"/>
    </row>
    <row r="9647" spans="4:4" x14ac:dyDescent="0.3">
      <c r="D9647" s="7"/>
    </row>
    <row r="9648" spans="4:4" x14ac:dyDescent="0.3">
      <c r="D9648" s="7"/>
    </row>
    <row r="9649" spans="4:4" x14ac:dyDescent="0.3">
      <c r="D9649" s="7"/>
    </row>
    <row r="9650" spans="4:4" x14ac:dyDescent="0.3">
      <c r="D9650" s="7"/>
    </row>
    <row r="9651" spans="4:4" x14ac:dyDescent="0.3">
      <c r="D9651" s="7"/>
    </row>
    <row r="9652" spans="4:4" x14ac:dyDescent="0.3">
      <c r="D9652" s="7"/>
    </row>
    <row r="9653" spans="4:4" x14ac:dyDescent="0.3">
      <c r="D9653" s="7"/>
    </row>
    <row r="9654" spans="4:4" x14ac:dyDescent="0.3">
      <c r="D9654" s="7"/>
    </row>
    <row r="9655" spans="4:4" x14ac:dyDescent="0.3">
      <c r="D9655" s="7"/>
    </row>
    <row r="9656" spans="4:4" x14ac:dyDescent="0.3">
      <c r="D9656" s="7"/>
    </row>
    <row r="9657" spans="4:4" x14ac:dyDescent="0.3">
      <c r="D9657" s="7"/>
    </row>
    <row r="9658" spans="4:4" x14ac:dyDescent="0.3">
      <c r="D9658" s="7"/>
    </row>
    <row r="9659" spans="4:4" x14ac:dyDescent="0.3">
      <c r="D9659" s="7"/>
    </row>
    <row r="9660" spans="4:4" x14ac:dyDescent="0.3">
      <c r="D9660" s="7"/>
    </row>
    <row r="9661" spans="4:4" x14ac:dyDescent="0.3">
      <c r="D9661" s="7"/>
    </row>
    <row r="9662" spans="4:4" x14ac:dyDescent="0.3">
      <c r="D9662" s="7"/>
    </row>
    <row r="9663" spans="4:4" x14ac:dyDescent="0.3">
      <c r="D9663" s="7"/>
    </row>
    <row r="9664" spans="4:4" x14ac:dyDescent="0.3">
      <c r="D9664" s="7"/>
    </row>
    <row r="9665" spans="4:4" x14ac:dyDescent="0.3">
      <c r="D9665" s="7"/>
    </row>
    <row r="9666" spans="4:4" x14ac:dyDescent="0.3">
      <c r="D9666" s="7"/>
    </row>
    <row r="9667" spans="4:4" x14ac:dyDescent="0.3">
      <c r="D9667" s="7"/>
    </row>
    <row r="9668" spans="4:4" x14ac:dyDescent="0.3">
      <c r="D9668" s="7"/>
    </row>
    <row r="9669" spans="4:4" x14ac:dyDescent="0.3">
      <c r="D9669" s="7"/>
    </row>
    <row r="9670" spans="4:4" x14ac:dyDescent="0.3">
      <c r="D9670" s="7"/>
    </row>
    <row r="9671" spans="4:4" x14ac:dyDescent="0.3">
      <c r="D9671" s="7"/>
    </row>
    <row r="9672" spans="4:4" x14ac:dyDescent="0.3">
      <c r="D9672" s="7"/>
    </row>
    <row r="9673" spans="4:4" x14ac:dyDescent="0.3">
      <c r="D9673" s="7"/>
    </row>
    <row r="9674" spans="4:4" x14ac:dyDescent="0.3">
      <c r="D9674" s="7"/>
    </row>
    <row r="9675" spans="4:4" x14ac:dyDescent="0.3">
      <c r="D9675" s="7"/>
    </row>
    <row r="9676" spans="4:4" x14ac:dyDescent="0.3">
      <c r="D9676" s="7"/>
    </row>
    <row r="9677" spans="4:4" x14ac:dyDescent="0.3">
      <c r="D9677" s="7"/>
    </row>
    <row r="9678" spans="4:4" x14ac:dyDescent="0.3">
      <c r="D9678" s="7"/>
    </row>
    <row r="9679" spans="4:4" x14ac:dyDescent="0.3">
      <c r="D9679" s="7"/>
    </row>
    <row r="9680" spans="4:4" x14ac:dyDescent="0.3">
      <c r="D9680" s="7"/>
    </row>
    <row r="9681" spans="4:4" x14ac:dyDescent="0.3">
      <c r="D9681" s="7"/>
    </row>
    <row r="9682" spans="4:4" x14ac:dyDescent="0.3">
      <c r="D9682" s="7"/>
    </row>
    <row r="9683" spans="4:4" x14ac:dyDescent="0.3">
      <c r="D9683" s="7"/>
    </row>
    <row r="9684" spans="4:4" x14ac:dyDescent="0.3">
      <c r="D9684" s="7"/>
    </row>
    <row r="9685" spans="4:4" x14ac:dyDescent="0.3">
      <c r="D9685" s="7"/>
    </row>
    <row r="9686" spans="4:4" x14ac:dyDescent="0.3">
      <c r="D9686" s="7"/>
    </row>
    <row r="9687" spans="4:4" x14ac:dyDescent="0.3">
      <c r="D9687" s="7"/>
    </row>
    <row r="9688" spans="4:4" x14ac:dyDescent="0.3">
      <c r="D9688" s="7"/>
    </row>
    <row r="9689" spans="4:4" x14ac:dyDescent="0.3">
      <c r="D9689" s="7"/>
    </row>
    <row r="9690" spans="4:4" x14ac:dyDescent="0.3">
      <c r="D9690" s="7"/>
    </row>
    <row r="9691" spans="4:4" x14ac:dyDescent="0.3">
      <c r="D9691" s="7"/>
    </row>
    <row r="9692" spans="4:4" x14ac:dyDescent="0.3">
      <c r="D9692" s="7"/>
    </row>
    <row r="9693" spans="4:4" x14ac:dyDescent="0.3">
      <c r="D9693" s="7"/>
    </row>
    <row r="9694" spans="4:4" x14ac:dyDescent="0.3">
      <c r="D9694" s="7"/>
    </row>
    <row r="9695" spans="4:4" x14ac:dyDescent="0.3">
      <c r="D9695" s="7"/>
    </row>
    <row r="9696" spans="4:4" x14ac:dyDescent="0.3">
      <c r="D9696" s="7"/>
    </row>
    <row r="9697" spans="4:4" x14ac:dyDescent="0.3">
      <c r="D9697" s="7"/>
    </row>
    <row r="9698" spans="4:4" x14ac:dyDescent="0.3">
      <c r="D9698" s="7"/>
    </row>
    <row r="9699" spans="4:4" x14ac:dyDescent="0.3">
      <c r="D9699" s="7"/>
    </row>
    <row r="9700" spans="4:4" x14ac:dyDescent="0.3">
      <c r="D9700" s="7"/>
    </row>
    <row r="9701" spans="4:4" x14ac:dyDescent="0.3">
      <c r="D9701" s="7"/>
    </row>
    <row r="9702" spans="4:4" x14ac:dyDescent="0.3">
      <c r="D9702" s="7"/>
    </row>
    <row r="9703" spans="4:4" x14ac:dyDescent="0.3">
      <c r="D9703" s="7"/>
    </row>
    <row r="9704" spans="4:4" x14ac:dyDescent="0.3">
      <c r="D9704" s="7"/>
    </row>
    <row r="9705" spans="4:4" x14ac:dyDescent="0.3">
      <c r="D9705" s="7"/>
    </row>
    <row r="9706" spans="4:4" x14ac:dyDescent="0.3">
      <c r="D9706" s="7"/>
    </row>
    <row r="9707" spans="4:4" x14ac:dyDescent="0.3">
      <c r="D9707" s="7"/>
    </row>
    <row r="9708" spans="4:4" x14ac:dyDescent="0.3">
      <c r="D9708" s="7"/>
    </row>
    <row r="9709" spans="4:4" x14ac:dyDescent="0.3">
      <c r="D9709" s="7"/>
    </row>
    <row r="9710" spans="4:4" x14ac:dyDescent="0.3">
      <c r="D9710" s="7"/>
    </row>
    <row r="9711" spans="4:4" x14ac:dyDescent="0.3">
      <c r="D9711" s="7"/>
    </row>
    <row r="9712" spans="4:4" x14ac:dyDescent="0.3">
      <c r="D9712" s="7"/>
    </row>
    <row r="9713" spans="4:4" x14ac:dyDescent="0.3">
      <c r="D9713" s="7"/>
    </row>
    <row r="9714" spans="4:4" x14ac:dyDescent="0.3">
      <c r="D9714" s="7"/>
    </row>
    <row r="9715" spans="4:4" x14ac:dyDescent="0.3">
      <c r="D9715" s="7"/>
    </row>
    <row r="9716" spans="4:4" x14ac:dyDescent="0.3">
      <c r="D9716" s="7"/>
    </row>
    <row r="9717" spans="4:4" x14ac:dyDescent="0.3">
      <c r="D9717" s="7"/>
    </row>
    <row r="9718" spans="4:4" x14ac:dyDescent="0.3">
      <c r="D9718" s="7"/>
    </row>
    <row r="9719" spans="4:4" x14ac:dyDescent="0.3">
      <c r="D9719" s="7"/>
    </row>
    <row r="9720" spans="4:4" x14ac:dyDescent="0.3">
      <c r="D9720" s="7"/>
    </row>
    <row r="9721" spans="4:4" x14ac:dyDescent="0.3">
      <c r="D9721" s="7"/>
    </row>
    <row r="9722" spans="4:4" x14ac:dyDescent="0.3">
      <c r="D9722" s="7"/>
    </row>
    <row r="9723" spans="4:4" x14ac:dyDescent="0.3">
      <c r="D9723" s="7"/>
    </row>
    <row r="9724" spans="4:4" x14ac:dyDescent="0.3">
      <c r="D9724" s="7"/>
    </row>
    <row r="9725" spans="4:4" x14ac:dyDescent="0.3">
      <c r="D9725" s="7"/>
    </row>
    <row r="9726" spans="4:4" x14ac:dyDescent="0.3">
      <c r="D9726" s="7"/>
    </row>
    <row r="9727" spans="4:4" x14ac:dyDescent="0.3">
      <c r="D9727" s="7"/>
    </row>
    <row r="9728" spans="4:4" x14ac:dyDescent="0.3">
      <c r="D9728" s="7"/>
    </row>
    <row r="9729" spans="4:4" x14ac:dyDescent="0.3">
      <c r="D9729" s="7"/>
    </row>
    <row r="9730" spans="4:4" x14ac:dyDescent="0.3">
      <c r="D9730" s="7"/>
    </row>
    <row r="9731" spans="4:4" x14ac:dyDescent="0.3">
      <c r="D9731" s="7"/>
    </row>
    <row r="9732" spans="4:4" x14ac:dyDescent="0.3">
      <c r="D9732" s="7"/>
    </row>
    <row r="9733" spans="4:4" x14ac:dyDescent="0.3">
      <c r="D9733" s="7"/>
    </row>
    <row r="9734" spans="4:4" x14ac:dyDescent="0.3">
      <c r="D9734" s="7"/>
    </row>
    <row r="9735" spans="4:4" x14ac:dyDescent="0.3">
      <c r="D9735" s="7"/>
    </row>
    <row r="9736" spans="4:4" x14ac:dyDescent="0.3">
      <c r="D9736" s="7"/>
    </row>
    <row r="9737" spans="4:4" x14ac:dyDescent="0.3">
      <c r="D9737" s="7"/>
    </row>
    <row r="9738" spans="4:4" x14ac:dyDescent="0.3">
      <c r="D9738" s="7"/>
    </row>
    <row r="9739" spans="4:4" x14ac:dyDescent="0.3">
      <c r="D9739" s="7"/>
    </row>
    <row r="9740" spans="4:4" x14ac:dyDescent="0.3">
      <c r="D9740" s="7"/>
    </row>
    <row r="9741" spans="4:4" x14ac:dyDescent="0.3">
      <c r="D9741" s="7"/>
    </row>
    <row r="9742" spans="4:4" x14ac:dyDescent="0.3">
      <c r="D9742" s="7"/>
    </row>
    <row r="9743" spans="4:4" x14ac:dyDescent="0.3">
      <c r="D9743" s="7"/>
    </row>
    <row r="9744" spans="4:4" x14ac:dyDescent="0.3">
      <c r="D9744" s="7"/>
    </row>
    <row r="9745" spans="4:4" x14ac:dyDescent="0.3">
      <c r="D9745" s="7"/>
    </row>
    <row r="9746" spans="4:4" x14ac:dyDescent="0.3">
      <c r="D9746" s="7"/>
    </row>
    <row r="9747" spans="4:4" x14ac:dyDescent="0.3">
      <c r="D9747" s="7"/>
    </row>
    <row r="9748" spans="4:4" x14ac:dyDescent="0.3">
      <c r="D9748" s="7"/>
    </row>
    <row r="9749" spans="4:4" x14ac:dyDescent="0.3">
      <c r="D9749" s="7"/>
    </row>
    <row r="9750" spans="4:4" x14ac:dyDescent="0.3">
      <c r="D9750" s="7"/>
    </row>
    <row r="9751" spans="4:4" x14ac:dyDescent="0.3">
      <c r="D9751" s="7"/>
    </row>
    <row r="9752" spans="4:4" x14ac:dyDescent="0.3">
      <c r="D9752" s="7"/>
    </row>
    <row r="9753" spans="4:4" x14ac:dyDescent="0.3">
      <c r="D9753" s="7"/>
    </row>
    <row r="9754" spans="4:4" x14ac:dyDescent="0.3">
      <c r="D9754" s="7"/>
    </row>
    <row r="9755" spans="4:4" x14ac:dyDescent="0.3">
      <c r="D9755" s="7"/>
    </row>
    <row r="9756" spans="4:4" x14ac:dyDescent="0.3">
      <c r="D9756" s="7"/>
    </row>
    <row r="9757" spans="4:4" x14ac:dyDescent="0.3">
      <c r="D9757" s="7"/>
    </row>
    <row r="9758" spans="4:4" x14ac:dyDescent="0.3">
      <c r="D9758" s="7"/>
    </row>
    <row r="9759" spans="4:4" x14ac:dyDescent="0.3">
      <c r="D9759" s="7"/>
    </row>
    <row r="9760" spans="4:4" x14ac:dyDescent="0.3">
      <c r="D9760" s="7"/>
    </row>
    <row r="9761" spans="4:4" x14ac:dyDescent="0.3">
      <c r="D9761" s="7"/>
    </row>
    <row r="9762" spans="4:4" x14ac:dyDescent="0.3">
      <c r="D9762" s="7"/>
    </row>
    <row r="9763" spans="4:4" x14ac:dyDescent="0.3">
      <c r="D9763" s="7"/>
    </row>
    <row r="9764" spans="4:4" x14ac:dyDescent="0.3">
      <c r="D9764" s="7"/>
    </row>
    <row r="9765" spans="4:4" x14ac:dyDescent="0.3">
      <c r="D9765" s="7"/>
    </row>
    <row r="9766" spans="4:4" x14ac:dyDescent="0.3">
      <c r="D9766" s="7"/>
    </row>
    <row r="9767" spans="4:4" x14ac:dyDescent="0.3">
      <c r="D9767" s="7"/>
    </row>
    <row r="9768" spans="4:4" x14ac:dyDescent="0.3">
      <c r="D9768" s="7"/>
    </row>
    <row r="9769" spans="4:4" x14ac:dyDescent="0.3">
      <c r="D9769" s="7"/>
    </row>
    <row r="9770" spans="4:4" x14ac:dyDescent="0.3">
      <c r="D9770" s="7"/>
    </row>
    <row r="9771" spans="4:4" x14ac:dyDescent="0.3">
      <c r="D9771" s="7"/>
    </row>
    <row r="9772" spans="4:4" x14ac:dyDescent="0.3">
      <c r="D9772" s="7"/>
    </row>
    <row r="9773" spans="4:4" x14ac:dyDescent="0.3">
      <c r="D9773" s="7"/>
    </row>
    <row r="9774" spans="4:4" x14ac:dyDescent="0.3">
      <c r="D9774" s="7"/>
    </row>
    <row r="9775" spans="4:4" x14ac:dyDescent="0.3">
      <c r="D9775" s="7"/>
    </row>
    <row r="9776" spans="4:4" x14ac:dyDescent="0.3">
      <c r="D9776" s="7"/>
    </row>
    <row r="9777" spans="4:4" x14ac:dyDescent="0.3">
      <c r="D9777" s="7"/>
    </row>
    <row r="9778" spans="4:4" x14ac:dyDescent="0.3">
      <c r="D9778" s="7"/>
    </row>
    <row r="9779" spans="4:4" x14ac:dyDescent="0.3">
      <c r="D9779" s="7"/>
    </row>
    <row r="9780" spans="4:4" x14ac:dyDescent="0.3">
      <c r="D9780" s="7"/>
    </row>
    <row r="9781" spans="4:4" x14ac:dyDescent="0.3">
      <c r="D9781" s="7"/>
    </row>
    <row r="9782" spans="4:4" x14ac:dyDescent="0.3">
      <c r="D9782" s="7"/>
    </row>
    <row r="9783" spans="4:4" x14ac:dyDescent="0.3">
      <c r="D9783" s="7"/>
    </row>
    <row r="9784" spans="4:4" x14ac:dyDescent="0.3">
      <c r="D9784" s="7"/>
    </row>
    <row r="9785" spans="4:4" x14ac:dyDescent="0.3">
      <c r="D9785" s="7"/>
    </row>
    <row r="9786" spans="4:4" x14ac:dyDescent="0.3">
      <c r="D9786" s="7"/>
    </row>
    <row r="9787" spans="4:4" x14ac:dyDescent="0.3">
      <c r="D9787" s="7"/>
    </row>
    <row r="9788" spans="4:4" x14ac:dyDescent="0.3">
      <c r="D9788" s="7"/>
    </row>
    <row r="9789" spans="4:4" x14ac:dyDescent="0.3">
      <c r="D9789" s="7"/>
    </row>
    <row r="9790" spans="4:4" x14ac:dyDescent="0.3">
      <c r="D9790" s="7"/>
    </row>
    <row r="9791" spans="4:4" x14ac:dyDescent="0.3">
      <c r="D9791" s="7"/>
    </row>
    <row r="9792" spans="4:4" x14ac:dyDescent="0.3">
      <c r="D9792" s="7"/>
    </row>
    <row r="9793" spans="4:4" x14ac:dyDescent="0.3">
      <c r="D9793" s="7"/>
    </row>
    <row r="9794" spans="4:4" x14ac:dyDescent="0.3">
      <c r="D9794" s="7"/>
    </row>
    <row r="9795" spans="4:4" x14ac:dyDescent="0.3">
      <c r="D9795" s="7"/>
    </row>
    <row r="9796" spans="4:4" x14ac:dyDescent="0.3">
      <c r="D9796" s="7"/>
    </row>
    <row r="9797" spans="4:4" x14ac:dyDescent="0.3">
      <c r="D9797" s="7"/>
    </row>
    <row r="9798" spans="4:4" x14ac:dyDescent="0.3">
      <c r="D9798" s="7"/>
    </row>
    <row r="9799" spans="4:4" x14ac:dyDescent="0.3">
      <c r="D9799" s="7"/>
    </row>
    <row r="9800" spans="4:4" x14ac:dyDescent="0.3">
      <c r="D9800" s="7"/>
    </row>
    <row r="9801" spans="4:4" x14ac:dyDescent="0.3">
      <c r="D9801" s="7"/>
    </row>
    <row r="9802" spans="4:4" x14ac:dyDescent="0.3">
      <c r="D9802" s="7"/>
    </row>
    <row r="9803" spans="4:4" x14ac:dyDescent="0.3">
      <c r="D9803" s="7"/>
    </row>
    <row r="9804" spans="4:4" x14ac:dyDescent="0.3">
      <c r="D9804" s="7"/>
    </row>
    <row r="9805" spans="4:4" x14ac:dyDescent="0.3">
      <c r="D9805" s="7"/>
    </row>
    <row r="9806" spans="4:4" x14ac:dyDescent="0.3">
      <c r="D9806" s="7"/>
    </row>
    <row r="9807" spans="4:4" x14ac:dyDescent="0.3">
      <c r="D9807" s="7"/>
    </row>
    <row r="9808" spans="4:4" x14ac:dyDescent="0.3">
      <c r="D9808" s="7"/>
    </row>
    <row r="9809" spans="4:4" x14ac:dyDescent="0.3">
      <c r="D9809" s="7"/>
    </row>
    <row r="9810" spans="4:4" x14ac:dyDescent="0.3">
      <c r="D9810" s="7"/>
    </row>
    <row r="9811" spans="4:4" x14ac:dyDescent="0.3">
      <c r="D9811" s="7"/>
    </row>
    <row r="9812" spans="4:4" x14ac:dyDescent="0.3">
      <c r="D9812" s="7"/>
    </row>
    <row r="9813" spans="4:4" x14ac:dyDescent="0.3">
      <c r="D9813" s="7"/>
    </row>
    <row r="9814" spans="4:4" x14ac:dyDescent="0.3">
      <c r="D9814" s="7"/>
    </row>
    <row r="9815" spans="4:4" x14ac:dyDescent="0.3">
      <c r="D9815" s="7"/>
    </row>
    <row r="9816" spans="4:4" x14ac:dyDescent="0.3">
      <c r="D9816" s="7"/>
    </row>
    <row r="9817" spans="4:4" x14ac:dyDescent="0.3">
      <c r="D9817" s="7"/>
    </row>
    <row r="9818" spans="4:4" x14ac:dyDescent="0.3">
      <c r="D9818" s="7"/>
    </row>
    <row r="9819" spans="4:4" x14ac:dyDescent="0.3">
      <c r="D9819" s="7"/>
    </row>
    <row r="9820" spans="4:4" x14ac:dyDescent="0.3">
      <c r="D9820" s="7"/>
    </row>
    <row r="9821" spans="4:4" x14ac:dyDescent="0.3">
      <c r="D9821" s="7"/>
    </row>
    <row r="9822" spans="4:4" x14ac:dyDescent="0.3">
      <c r="D9822" s="7"/>
    </row>
    <row r="9823" spans="4:4" x14ac:dyDescent="0.3">
      <c r="D9823" s="7"/>
    </row>
    <row r="9824" spans="4:4" x14ac:dyDescent="0.3">
      <c r="D9824" s="7"/>
    </row>
    <row r="9825" spans="4:4" x14ac:dyDescent="0.3">
      <c r="D9825" s="7"/>
    </row>
    <row r="9826" spans="4:4" x14ac:dyDescent="0.3">
      <c r="D9826" s="7"/>
    </row>
    <row r="9827" spans="4:4" x14ac:dyDescent="0.3">
      <c r="D9827" s="7"/>
    </row>
    <row r="9828" spans="4:4" x14ac:dyDescent="0.3">
      <c r="D9828" s="7"/>
    </row>
    <row r="9829" spans="4:4" x14ac:dyDescent="0.3">
      <c r="D9829" s="7"/>
    </row>
    <row r="9830" spans="4:4" x14ac:dyDescent="0.3">
      <c r="D9830" s="7"/>
    </row>
    <row r="9831" spans="4:4" x14ac:dyDescent="0.3">
      <c r="D9831" s="7"/>
    </row>
    <row r="9832" spans="4:4" x14ac:dyDescent="0.3">
      <c r="D9832" s="7"/>
    </row>
    <row r="9833" spans="4:4" x14ac:dyDescent="0.3">
      <c r="D9833" s="7"/>
    </row>
    <row r="9834" spans="4:4" x14ac:dyDescent="0.3">
      <c r="D9834" s="7"/>
    </row>
    <row r="9835" spans="4:4" x14ac:dyDescent="0.3">
      <c r="D9835" s="7"/>
    </row>
    <row r="9836" spans="4:4" x14ac:dyDescent="0.3">
      <c r="D9836" s="7"/>
    </row>
    <row r="9837" spans="4:4" x14ac:dyDescent="0.3">
      <c r="D9837" s="7"/>
    </row>
    <row r="9838" spans="4:4" x14ac:dyDescent="0.3">
      <c r="D9838" s="7"/>
    </row>
    <row r="9839" spans="4:4" x14ac:dyDescent="0.3">
      <c r="D9839" s="7"/>
    </row>
    <row r="9840" spans="4:4" x14ac:dyDescent="0.3">
      <c r="D9840" s="7"/>
    </row>
    <row r="9841" spans="4:4" x14ac:dyDescent="0.3">
      <c r="D9841" s="7"/>
    </row>
    <row r="9842" spans="4:4" x14ac:dyDescent="0.3">
      <c r="D9842" s="7"/>
    </row>
    <row r="9843" spans="4:4" x14ac:dyDescent="0.3">
      <c r="D9843" s="7"/>
    </row>
    <row r="9844" spans="4:4" x14ac:dyDescent="0.3">
      <c r="D9844" s="7"/>
    </row>
    <row r="9845" spans="4:4" x14ac:dyDescent="0.3">
      <c r="D9845" s="7"/>
    </row>
    <row r="9846" spans="4:4" x14ac:dyDescent="0.3">
      <c r="D9846" s="7"/>
    </row>
    <row r="9847" spans="4:4" x14ac:dyDescent="0.3">
      <c r="D9847" s="7"/>
    </row>
    <row r="9848" spans="4:4" x14ac:dyDescent="0.3">
      <c r="D9848" s="7"/>
    </row>
    <row r="9849" spans="4:4" x14ac:dyDescent="0.3">
      <c r="D9849" s="7"/>
    </row>
    <row r="9850" spans="4:4" x14ac:dyDescent="0.3">
      <c r="D9850" s="7"/>
    </row>
    <row r="9851" spans="4:4" x14ac:dyDescent="0.3">
      <c r="D9851" s="7"/>
    </row>
    <row r="9852" spans="4:4" x14ac:dyDescent="0.3">
      <c r="D9852" s="7"/>
    </row>
    <row r="9853" spans="4:4" x14ac:dyDescent="0.3">
      <c r="D9853" s="7"/>
    </row>
    <row r="9854" spans="4:4" x14ac:dyDescent="0.3">
      <c r="D9854" s="7"/>
    </row>
    <row r="9855" spans="4:4" x14ac:dyDescent="0.3">
      <c r="D9855" s="7"/>
    </row>
    <row r="9856" spans="4:4" x14ac:dyDescent="0.3">
      <c r="D9856" s="7"/>
    </row>
    <row r="9857" spans="4:4" x14ac:dyDescent="0.3">
      <c r="D9857" s="7"/>
    </row>
    <row r="9858" spans="4:4" x14ac:dyDescent="0.3">
      <c r="D9858" s="7"/>
    </row>
    <row r="9859" spans="4:4" x14ac:dyDescent="0.3">
      <c r="D9859" s="7"/>
    </row>
    <row r="9860" spans="4:4" x14ac:dyDescent="0.3">
      <c r="D9860" s="7"/>
    </row>
    <row r="9861" spans="4:4" x14ac:dyDescent="0.3">
      <c r="D9861" s="7"/>
    </row>
    <row r="9862" spans="4:4" x14ac:dyDescent="0.3">
      <c r="D9862" s="7"/>
    </row>
    <row r="9863" spans="4:4" x14ac:dyDescent="0.3">
      <c r="D9863" s="7"/>
    </row>
    <row r="9864" spans="4:4" x14ac:dyDescent="0.3">
      <c r="D9864" s="7"/>
    </row>
    <row r="9865" spans="4:4" x14ac:dyDescent="0.3">
      <c r="D9865" s="7"/>
    </row>
    <row r="9866" spans="4:4" x14ac:dyDescent="0.3">
      <c r="D9866" s="7"/>
    </row>
    <row r="9867" spans="4:4" x14ac:dyDescent="0.3">
      <c r="D9867" s="7"/>
    </row>
    <row r="9868" spans="4:4" x14ac:dyDescent="0.3">
      <c r="D9868" s="7"/>
    </row>
    <row r="9869" spans="4:4" x14ac:dyDescent="0.3">
      <c r="D9869" s="7"/>
    </row>
    <row r="9870" spans="4:4" x14ac:dyDescent="0.3">
      <c r="D9870" s="7"/>
    </row>
    <row r="9871" spans="4:4" x14ac:dyDescent="0.3">
      <c r="D9871" s="7"/>
    </row>
    <row r="9872" spans="4:4" x14ac:dyDescent="0.3">
      <c r="D9872" s="7"/>
    </row>
    <row r="9873" spans="4:4" x14ac:dyDescent="0.3">
      <c r="D9873" s="7"/>
    </row>
    <row r="9874" spans="4:4" x14ac:dyDescent="0.3">
      <c r="D9874" s="7"/>
    </row>
    <row r="9875" spans="4:4" x14ac:dyDescent="0.3">
      <c r="D9875" s="7"/>
    </row>
    <row r="9876" spans="4:4" x14ac:dyDescent="0.3">
      <c r="D9876" s="7"/>
    </row>
    <row r="9877" spans="4:4" x14ac:dyDescent="0.3">
      <c r="D9877" s="7"/>
    </row>
    <row r="9878" spans="4:4" x14ac:dyDescent="0.3">
      <c r="D9878" s="7"/>
    </row>
    <row r="9879" spans="4:4" x14ac:dyDescent="0.3">
      <c r="D9879" s="7"/>
    </row>
    <row r="9880" spans="4:4" x14ac:dyDescent="0.3">
      <c r="D9880" s="7"/>
    </row>
    <row r="9881" spans="4:4" x14ac:dyDescent="0.3">
      <c r="D9881" s="7"/>
    </row>
    <row r="9882" spans="4:4" x14ac:dyDescent="0.3">
      <c r="D9882" s="7"/>
    </row>
    <row r="9883" spans="4:4" x14ac:dyDescent="0.3">
      <c r="D9883" s="7"/>
    </row>
    <row r="9884" spans="4:4" x14ac:dyDescent="0.3">
      <c r="D9884" s="7"/>
    </row>
    <row r="9885" spans="4:4" x14ac:dyDescent="0.3">
      <c r="D9885" s="7"/>
    </row>
    <row r="9886" spans="4:4" x14ac:dyDescent="0.3">
      <c r="D9886" s="7"/>
    </row>
    <row r="9887" spans="4:4" x14ac:dyDescent="0.3">
      <c r="D9887" s="7"/>
    </row>
    <row r="9888" spans="4:4" x14ac:dyDescent="0.3">
      <c r="D9888" s="7"/>
    </row>
    <row r="9889" spans="4:4" x14ac:dyDescent="0.3">
      <c r="D9889" s="7"/>
    </row>
    <row r="9890" spans="4:4" x14ac:dyDescent="0.3">
      <c r="D9890" s="7"/>
    </row>
    <row r="9891" spans="4:4" x14ac:dyDescent="0.3">
      <c r="D9891" s="7"/>
    </row>
    <row r="9892" spans="4:4" x14ac:dyDescent="0.3">
      <c r="D9892" s="7"/>
    </row>
    <row r="9893" spans="4:4" x14ac:dyDescent="0.3">
      <c r="D9893" s="7"/>
    </row>
    <row r="9894" spans="4:4" x14ac:dyDescent="0.3">
      <c r="D9894" s="7"/>
    </row>
    <row r="9895" spans="4:4" x14ac:dyDescent="0.3">
      <c r="D9895" s="7"/>
    </row>
    <row r="9896" spans="4:4" x14ac:dyDescent="0.3">
      <c r="D9896" s="7"/>
    </row>
    <row r="9897" spans="4:4" x14ac:dyDescent="0.3">
      <c r="D9897" s="7"/>
    </row>
    <row r="9898" spans="4:4" x14ac:dyDescent="0.3">
      <c r="D9898" s="7"/>
    </row>
    <row r="9899" spans="4:4" x14ac:dyDescent="0.3">
      <c r="D9899" s="7"/>
    </row>
    <row r="9900" spans="4:4" x14ac:dyDescent="0.3">
      <c r="D9900" s="7"/>
    </row>
    <row r="9901" spans="4:4" x14ac:dyDescent="0.3">
      <c r="D9901" s="7"/>
    </row>
    <row r="9902" spans="4:4" x14ac:dyDescent="0.3">
      <c r="D9902" s="7"/>
    </row>
    <row r="9903" spans="4:4" x14ac:dyDescent="0.3">
      <c r="D9903" s="7"/>
    </row>
    <row r="9904" spans="4:4" x14ac:dyDescent="0.3">
      <c r="D9904" s="7"/>
    </row>
    <row r="9905" spans="4:4" x14ac:dyDescent="0.3">
      <c r="D9905" s="7"/>
    </row>
    <row r="9906" spans="4:4" x14ac:dyDescent="0.3">
      <c r="D9906" s="7"/>
    </row>
    <row r="9907" spans="4:4" x14ac:dyDescent="0.3">
      <c r="D9907" s="7"/>
    </row>
    <row r="9908" spans="4:4" x14ac:dyDescent="0.3">
      <c r="D9908" s="7"/>
    </row>
    <row r="9909" spans="4:4" x14ac:dyDescent="0.3">
      <c r="D9909" s="7"/>
    </row>
    <row r="9910" spans="4:4" x14ac:dyDescent="0.3">
      <c r="D9910" s="7"/>
    </row>
    <row r="9911" spans="4:4" x14ac:dyDescent="0.3">
      <c r="D9911" s="7"/>
    </row>
    <row r="9912" spans="4:4" x14ac:dyDescent="0.3">
      <c r="D9912" s="7"/>
    </row>
    <row r="9913" spans="4:4" x14ac:dyDescent="0.3">
      <c r="D9913" s="7"/>
    </row>
    <row r="9914" spans="4:4" x14ac:dyDescent="0.3">
      <c r="D9914" s="7"/>
    </row>
    <row r="9915" spans="4:4" x14ac:dyDescent="0.3">
      <c r="D9915" s="7"/>
    </row>
    <row r="9916" spans="4:4" x14ac:dyDescent="0.3">
      <c r="D9916" s="7"/>
    </row>
    <row r="9917" spans="4:4" x14ac:dyDescent="0.3">
      <c r="D9917" s="7"/>
    </row>
    <row r="9918" spans="4:4" x14ac:dyDescent="0.3">
      <c r="D9918" s="7"/>
    </row>
    <row r="9919" spans="4:4" x14ac:dyDescent="0.3">
      <c r="D9919" s="7"/>
    </row>
    <row r="9920" spans="4:4" x14ac:dyDescent="0.3">
      <c r="D9920" s="7"/>
    </row>
    <row r="9921" spans="4:4" x14ac:dyDescent="0.3">
      <c r="D9921" s="7"/>
    </row>
    <row r="9922" spans="4:4" x14ac:dyDescent="0.3">
      <c r="D9922" s="7"/>
    </row>
    <row r="9923" spans="4:4" x14ac:dyDescent="0.3">
      <c r="D9923" s="7"/>
    </row>
    <row r="9924" spans="4:4" x14ac:dyDescent="0.3">
      <c r="D9924" s="7"/>
    </row>
    <row r="9925" spans="4:4" x14ac:dyDescent="0.3">
      <c r="D9925" s="7"/>
    </row>
    <row r="9926" spans="4:4" x14ac:dyDescent="0.3">
      <c r="D9926" s="7"/>
    </row>
    <row r="9927" spans="4:4" x14ac:dyDescent="0.3">
      <c r="D9927" s="7"/>
    </row>
    <row r="9928" spans="4:4" x14ac:dyDescent="0.3">
      <c r="D9928" s="7"/>
    </row>
    <row r="9929" spans="4:4" x14ac:dyDescent="0.3">
      <c r="D9929" s="7"/>
    </row>
    <row r="9930" spans="4:4" x14ac:dyDescent="0.3">
      <c r="D9930" s="7"/>
    </row>
    <row r="9931" spans="4:4" x14ac:dyDescent="0.3">
      <c r="D9931" s="7"/>
    </row>
    <row r="9932" spans="4:4" x14ac:dyDescent="0.3">
      <c r="D9932" s="7"/>
    </row>
    <row r="9933" spans="4:4" x14ac:dyDescent="0.3">
      <c r="D9933" s="7"/>
    </row>
    <row r="9934" spans="4:4" x14ac:dyDescent="0.3">
      <c r="D9934" s="7"/>
    </row>
    <row r="9935" spans="4:4" x14ac:dyDescent="0.3">
      <c r="D9935" s="7"/>
    </row>
    <row r="9936" spans="4:4" x14ac:dyDescent="0.3">
      <c r="D9936" s="7"/>
    </row>
    <row r="9937" spans="4:4" x14ac:dyDescent="0.3">
      <c r="D9937" s="7"/>
    </row>
    <row r="9938" spans="4:4" x14ac:dyDescent="0.3">
      <c r="D9938" s="7"/>
    </row>
    <row r="9939" spans="4:4" x14ac:dyDescent="0.3">
      <c r="D9939" s="7"/>
    </row>
    <row r="9940" spans="4:4" x14ac:dyDescent="0.3">
      <c r="D9940" s="7"/>
    </row>
    <row r="9941" spans="4:4" x14ac:dyDescent="0.3">
      <c r="D9941" s="7"/>
    </row>
    <row r="9942" spans="4:4" x14ac:dyDescent="0.3">
      <c r="D9942" s="7"/>
    </row>
    <row r="9943" spans="4:4" x14ac:dyDescent="0.3">
      <c r="D9943" s="7"/>
    </row>
    <row r="9944" spans="4:4" x14ac:dyDescent="0.3">
      <c r="D9944" s="7"/>
    </row>
    <row r="9945" spans="4:4" x14ac:dyDescent="0.3">
      <c r="D9945" s="7"/>
    </row>
    <row r="9946" spans="4:4" x14ac:dyDescent="0.3">
      <c r="D9946" s="7"/>
    </row>
    <row r="9947" spans="4:4" x14ac:dyDescent="0.3">
      <c r="D9947" s="7"/>
    </row>
    <row r="9948" spans="4:4" x14ac:dyDescent="0.3">
      <c r="D9948" s="7"/>
    </row>
    <row r="9949" spans="4:4" x14ac:dyDescent="0.3">
      <c r="D9949" s="7"/>
    </row>
    <row r="9950" spans="4:4" x14ac:dyDescent="0.3">
      <c r="D9950" s="7"/>
    </row>
    <row r="9951" spans="4:4" x14ac:dyDescent="0.3">
      <c r="D9951" s="7"/>
    </row>
    <row r="9952" spans="4:4" x14ac:dyDescent="0.3">
      <c r="D9952" s="7"/>
    </row>
    <row r="9953" spans="4:4" x14ac:dyDescent="0.3">
      <c r="D9953" s="7"/>
    </row>
    <row r="9954" spans="4:4" x14ac:dyDescent="0.3">
      <c r="D9954" s="7"/>
    </row>
    <row r="9955" spans="4:4" x14ac:dyDescent="0.3">
      <c r="D9955" s="7"/>
    </row>
    <row r="9956" spans="4:4" x14ac:dyDescent="0.3">
      <c r="D9956" s="7"/>
    </row>
    <row r="9957" spans="4:4" x14ac:dyDescent="0.3">
      <c r="D9957" s="7"/>
    </row>
    <row r="9958" spans="4:4" x14ac:dyDescent="0.3">
      <c r="D9958" s="7"/>
    </row>
    <row r="9959" spans="4:4" x14ac:dyDescent="0.3">
      <c r="D9959" s="7"/>
    </row>
    <row r="9960" spans="4:4" x14ac:dyDescent="0.3">
      <c r="D9960" s="7"/>
    </row>
    <row r="9961" spans="4:4" x14ac:dyDescent="0.3">
      <c r="D9961" s="7"/>
    </row>
    <row r="9962" spans="4:4" x14ac:dyDescent="0.3">
      <c r="D9962" s="7"/>
    </row>
    <row r="9963" spans="4:4" x14ac:dyDescent="0.3">
      <c r="D9963" s="7"/>
    </row>
    <row r="9964" spans="4:4" x14ac:dyDescent="0.3">
      <c r="D9964" s="7"/>
    </row>
    <row r="9965" spans="4:4" x14ac:dyDescent="0.3">
      <c r="D9965" s="7"/>
    </row>
    <row r="9966" spans="4:4" x14ac:dyDescent="0.3">
      <c r="D9966" s="7"/>
    </row>
    <row r="9967" spans="4:4" x14ac:dyDescent="0.3">
      <c r="D9967" s="7"/>
    </row>
    <row r="9968" spans="4:4" x14ac:dyDescent="0.3">
      <c r="D9968" s="7"/>
    </row>
    <row r="9969" spans="4:4" x14ac:dyDescent="0.3">
      <c r="D9969" s="7"/>
    </row>
    <row r="9970" spans="4:4" x14ac:dyDescent="0.3">
      <c r="D9970" s="7"/>
    </row>
    <row r="9971" spans="4:4" x14ac:dyDescent="0.3">
      <c r="D9971" s="7"/>
    </row>
    <row r="9972" spans="4:4" x14ac:dyDescent="0.3">
      <c r="D9972" s="7"/>
    </row>
    <row r="9973" spans="4:4" x14ac:dyDescent="0.3">
      <c r="D9973" s="7"/>
    </row>
    <row r="9974" spans="4:4" x14ac:dyDescent="0.3">
      <c r="D9974" s="7"/>
    </row>
    <row r="9975" spans="4:4" x14ac:dyDescent="0.3">
      <c r="D9975" s="7"/>
    </row>
    <row r="9976" spans="4:4" x14ac:dyDescent="0.3">
      <c r="D9976" s="7"/>
    </row>
    <row r="9977" spans="4:4" x14ac:dyDescent="0.3">
      <c r="D9977" s="7"/>
    </row>
    <row r="9978" spans="4:4" x14ac:dyDescent="0.3">
      <c r="D9978" s="7"/>
    </row>
    <row r="9979" spans="4:4" x14ac:dyDescent="0.3">
      <c r="D9979" s="7"/>
    </row>
    <row r="9980" spans="4:4" x14ac:dyDescent="0.3">
      <c r="D9980" s="7"/>
    </row>
    <row r="9981" spans="4:4" x14ac:dyDescent="0.3">
      <c r="D9981" s="7"/>
    </row>
    <row r="9982" spans="4:4" x14ac:dyDescent="0.3">
      <c r="D9982" s="7"/>
    </row>
    <row r="9983" spans="4:4" x14ac:dyDescent="0.3">
      <c r="D9983" s="7"/>
    </row>
    <row r="9984" spans="4:4" x14ac:dyDescent="0.3">
      <c r="D9984" s="7"/>
    </row>
    <row r="9985" spans="4:4" x14ac:dyDescent="0.3">
      <c r="D9985" s="7"/>
    </row>
    <row r="9986" spans="4:4" x14ac:dyDescent="0.3">
      <c r="D9986" s="7"/>
    </row>
    <row r="9987" spans="4:4" x14ac:dyDescent="0.3">
      <c r="D9987" s="7"/>
    </row>
    <row r="9988" spans="4:4" x14ac:dyDescent="0.3">
      <c r="D9988" s="7"/>
    </row>
    <row r="9989" spans="4:4" x14ac:dyDescent="0.3">
      <c r="D9989" s="7"/>
    </row>
    <row r="9990" spans="4:4" x14ac:dyDescent="0.3">
      <c r="D9990" s="7"/>
    </row>
    <row r="9991" spans="4:4" x14ac:dyDescent="0.3">
      <c r="D9991" s="7"/>
    </row>
    <row r="9992" spans="4:4" x14ac:dyDescent="0.3">
      <c r="D9992" s="7"/>
    </row>
    <row r="9993" spans="4:4" x14ac:dyDescent="0.3">
      <c r="D9993" s="7"/>
    </row>
    <row r="9994" spans="4:4" x14ac:dyDescent="0.3">
      <c r="D9994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18"/>
  <sheetViews>
    <sheetView workbookViewId="0">
      <selection sqref="A1:A10000"/>
    </sheetView>
  </sheetViews>
  <sheetFormatPr defaultRowHeight="14.4" x14ac:dyDescent="0.3"/>
  <cols>
    <col min="1" max="1" width="18.44140625" bestFit="1" customWidth="1"/>
  </cols>
  <sheetData>
    <row r="1" spans="1:7" x14ac:dyDescent="0.3">
      <c r="A1" s="3" t="s">
        <v>1</v>
      </c>
      <c r="B1" s="1"/>
      <c r="C1" s="1"/>
      <c r="D1" s="1"/>
      <c r="E1" s="1"/>
      <c r="F1" s="1"/>
      <c r="G1" s="1"/>
    </row>
    <row r="2" spans="1:7" x14ac:dyDescent="0.3">
      <c r="A2" t="s">
        <v>571</v>
      </c>
    </row>
    <row r="3" spans="1:7" x14ac:dyDescent="0.3">
      <c r="A3" t="s">
        <v>572</v>
      </c>
    </row>
    <row r="4" spans="1:7" x14ac:dyDescent="0.3">
      <c r="A4" t="s">
        <v>573</v>
      </c>
    </row>
    <row r="5" spans="1:7" x14ac:dyDescent="0.3">
      <c r="A5" t="s">
        <v>569</v>
      </c>
    </row>
    <row r="6" spans="1:7" x14ac:dyDescent="0.3">
      <c r="A6" t="s">
        <v>570</v>
      </c>
    </row>
    <row r="7" spans="1:7" x14ac:dyDescent="0.3">
      <c r="A7" t="s">
        <v>568</v>
      </c>
    </row>
    <row r="8" spans="1:7" x14ac:dyDescent="0.3">
      <c r="A8" t="s">
        <v>4059</v>
      </c>
    </row>
    <row r="9" spans="1:7" x14ac:dyDescent="0.3">
      <c r="A9" t="s">
        <v>4110</v>
      </c>
    </row>
    <row r="10" spans="1:7" x14ac:dyDescent="0.3">
      <c r="A10" t="s">
        <v>4227</v>
      </c>
    </row>
    <row r="11" spans="1:7" x14ac:dyDescent="0.3">
      <c r="A11" t="s">
        <v>4244</v>
      </c>
    </row>
    <row r="12" spans="1:7" x14ac:dyDescent="0.3">
      <c r="A12" t="s">
        <v>4285</v>
      </c>
    </row>
    <row r="13" spans="1:7" x14ac:dyDescent="0.3">
      <c r="A13" t="s">
        <v>4340</v>
      </c>
    </row>
    <row r="14" spans="1:7" x14ac:dyDescent="0.3">
      <c r="A14" t="s">
        <v>4349</v>
      </c>
    </row>
    <row r="15" spans="1:7" x14ac:dyDescent="0.3">
      <c r="A15" t="s">
        <v>4361</v>
      </c>
    </row>
    <row r="16" spans="1:7" x14ac:dyDescent="0.3">
      <c r="A16" t="s">
        <v>4366</v>
      </c>
    </row>
    <row r="17" spans="1:1" x14ac:dyDescent="0.3">
      <c r="A17" t="s">
        <v>4387</v>
      </c>
    </row>
    <row r="18" spans="1:1" x14ac:dyDescent="0.3">
      <c r="A18" t="s">
        <v>4428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L14"/>
  <sheetViews>
    <sheetView workbookViewId="0">
      <selection activeCell="C20" sqref="C20"/>
    </sheetView>
  </sheetViews>
  <sheetFormatPr defaultRowHeight="14.4" x14ac:dyDescent="0.3"/>
  <cols>
    <col min="1" max="1" width="32.88671875" bestFit="1" customWidth="1"/>
    <col min="3" max="3" width="36.109375" bestFit="1" customWidth="1"/>
    <col min="4" max="4" width="16.33203125" bestFit="1" customWidth="1"/>
    <col min="5" max="5" width="30.109375" bestFit="1" customWidth="1"/>
    <col min="6" max="6" width="20.109375" bestFit="1" customWidth="1"/>
    <col min="7" max="7" width="15" bestFit="1" customWidth="1"/>
    <col min="8" max="8" width="6" customWidth="1"/>
    <col min="9" max="9" width="4.109375" customWidth="1"/>
    <col min="11" max="11" width="25.88671875" style="13" bestFit="1" customWidth="1"/>
  </cols>
  <sheetData>
    <row r="1" spans="1:12" x14ac:dyDescent="0.3">
      <c r="A1" t="s">
        <v>13</v>
      </c>
      <c r="B1" t="s">
        <v>14</v>
      </c>
      <c r="C1" t="s">
        <v>28</v>
      </c>
      <c r="D1" t="s">
        <v>41</v>
      </c>
      <c r="E1" t="s">
        <v>13</v>
      </c>
      <c r="F1" t="s">
        <v>20</v>
      </c>
      <c r="G1" t="s">
        <v>26</v>
      </c>
      <c r="J1" t="s">
        <v>22</v>
      </c>
      <c r="K1" s="12" t="s">
        <v>98</v>
      </c>
    </row>
    <row r="2" spans="1:12" x14ac:dyDescent="0.3">
      <c r="A2" t="s">
        <v>7</v>
      </c>
      <c r="B2" t="s">
        <v>22</v>
      </c>
      <c r="C2" t="s">
        <v>13</v>
      </c>
      <c r="D2" t="s">
        <v>27</v>
      </c>
      <c r="E2" t="s">
        <v>37</v>
      </c>
      <c r="F2" t="s">
        <v>21</v>
      </c>
      <c r="G2" t="s">
        <v>27</v>
      </c>
      <c r="K2" s="12" t="s">
        <v>13</v>
      </c>
    </row>
    <row r="3" spans="1:12" x14ac:dyDescent="0.3">
      <c r="A3" t="s">
        <v>18</v>
      </c>
      <c r="B3" t="s">
        <v>32</v>
      </c>
      <c r="C3" s="6" t="s">
        <v>33</v>
      </c>
      <c r="E3" t="s">
        <v>38</v>
      </c>
      <c r="K3" s="12" t="s">
        <v>102</v>
      </c>
      <c r="L3" t="s">
        <v>22</v>
      </c>
    </row>
    <row r="4" spans="1:12" x14ac:dyDescent="0.3">
      <c r="A4" t="s">
        <v>8</v>
      </c>
      <c r="C4" s="6" t="s">
        <v>34</v>
      </c>
      <c r="E4" t="s">
        <v>39</v>
      </c>
      <c r="K4" s="12" t="s">
        <v>103</v>
      </c>
      <c r="L4" t="s">
        <v>22</v>
      </c>
    </row>
    <row r="5" spans="1:12" x14ac:dyDescent="0.3">
      <c r="A5" t="s">
        <v>9</v>
      </c>
      <c r="C5" s="6" t="s">
        <v>73</v>
      </c>
      <c r="E5" t="s">
        <v>40</v>
      </c>
      <c r="K5" s="12" t="s">
        <v>104</v>
      </c>
      <c r="L5" t="s">
        <v>22</v>
      </c>
    </row>
    <row r="6" spans="1:12" x14ac:dyDescent="0.3">
      <c r="A6" t="s">
        <v>10</v>
      </c>
      <c r="C6" s="6" t="s">
        <v>35</v>
      </c>
      <c r="E6" t="s">
        <v>12</v>
      </c>
      <c r="K6" s="12" t="s">
        <v>18</v>
      </c>
      <c r="L6" t="s">
        <v>32</v>
      </c>
    </row>
    <row r="7" spans="1:12" x14ac:dyDescent="0.3">
      <c r="A7" t="s">
        <v>11</v>
      </c>
      <c r="C7" s="6" t="s">
        <v>36</v>
      </c>
      <c r="K7" s="12" t="s">
        <v>12</v>
      </c>
    </row>
    <row r="8" spans="1:12" x14ac:dyDescent="0.3">
      <c r="A8" t="s">
        <v>72</v>
      </c>
      <c r="C8" t="s">
        <v>12</v>
      </c>
      <c r="K8" s="12" t="s">
        <v>40</v>
      </c>
    </row>
    <row r="9" spans="1:12" x14ac:dyDescent="0.3">
      <c r="A9" t="s">
        <v>45</v>
      </c>
      <c r="C9" t="s">
        <v>27</v>
      </c>
      <c r="K9" s="12"/>
    </row>
    <row r="10" spans="1:12" x14ac:dyDescent="0.3">
      <c r="A10" t="s">
        <v>46</v>
      </c>
      <c r="K10" s="12"/>
    </row>
    <row r="11" spans="1:12" x14ac:dyDescent="0.3">
      <c r="A11" t="s">
        <v>77</v>
      </c>
      <c r="B11" t="s">
        <v>32</v>
      </c>
      <c r="C11" s="6"/>
      <c r="K11" s="12"/>
    </row>
    <row r="12" spans="1:12" x14ac:dyDescent="0.3">
      <c r="A12" t="s">
        <v>12</v>
      </c>
      <c r="K12" s="12"/>
    </row>
    <row r="13" spans="1:12" x14ac:dyDescent="0.3">
      <c r="K13" s="12"/>
    </row>
    <row r="14" spans="1:12" x14ac:dyDescent="0.3">
      <c r="K14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2:A14507"/>
  <sheetViews>
    <sheetView topLeftCell="A674" workbookViewId="0">
      <selection activeCell="A674" sqref="A1:A1048576"/>
    </sheetView>
  </sheetViews>
  <sheetFormatPr defaultRowHeight="14.4" x14ac:dyDescent="0.3"/>
  <cols>
    <col min="1" max="1" width="62.44140625" bestFit="1" customWidth="1"/>
  </cols>
  <sheetData>
    <row r="2" spans="1:1" x14ac:dyDescent="0.3">
      <c r="A2" t="s">
        <v>20</v>
      </c>
    </row>
    <row r="3" spans="1:1" x14ac:dyDescent="0.3">
      <c r="A3" t="s">
        <v>67</v>
      </c>
    </row>
    <row r="4" spans="1:1" x14ac:dyDescent="0.3">
      <c r="A4" t="s">
        <v>68</v>
      </c>
    </row>
    <row r="5" spans="1:1" x14ac:dyDescent="0.3">
      <c r="A5" t="s">
        <v>75</v>
      </c>
    </row>
    <row r="6" spans="1:1" x14ac:dyDescent="0.3">
      <c r="A6" t="s">
        <v>76</v>
      </c>
    </row>
    <row r="7" spans="1:1" x14ac:dyDescent="0.3">
      <c r="A7" t="s">
        <v>47</v>
      </c>
    </row>
    <row r="8" spans="1:1" x14ac:dyDescent="0.3">
      <c r="A8" t="s">
        <v>69</v>
      </c>
    </row>
    <row r="9" spans="1:1" x14ac:dyDescent="0.3">
      <c r="A9" t="s">
        <v>70</v>
      </c>
    </row>
    <row r="10" spans="1:1" x14ac:dyDescent="0.3">
      <c r="A10" t="s">
        <v>48</v>
      </c>
    </row>
    <row r="11" spans="1:1" x14ac:dyDescent="0.3">
      <c r="A11" t="s">
        <v>59</v>
      </c>
    </row>
    <row r="12" spans="1:1" x14ac:dyDescent="0.3">
      <c r="A12" t="s">
        <v>61</v>
      </c>
    </row>
    <row r="13" spans="1:1" x14ac:dyDescent="0.3">
      <c r="A13" t="s">
        <v>71</v>
      </c>
    </row>
    <row r="14" spans="1:1" x14ac:dyDescent="0.3">
      <c r="A14" t="s">
        <v>80</v>
      </c>
    </row>
    <row r="15" spans="1:1" x14ac:dyDescent="0.3">
      <c r="A15" t="s">
        <v>62</v>
      </c>
    </row>
    <row r="16" spans="1:1" x14ac:dyDescent="0.3">
      <c r="A16" t="s">
        <v>96</v>
      </c>
    </row>
    <row r="17" spans="1:1" x14ac:dyDescent="0.3">
      <c r="A17" t="s">
        <v>97</v>
      </c>
    </row>
    <row r="18" spans="1:1" x14ac:dyDescent="0.3">
      <c r="A18" t="s">
        <v>21</v>
      </c>
    </row>
    <row r="19" spans="1:1" x14ac:dyDescent="0.3">
      <c r="A19" t="s">
        <v>26</v>
      </c>
    </row>
    <row r="20" spans="1:1" x14ac:dyDescent="0.3">
      <c r="A20" t="s">
        <v>13</v>
      </c>
    </row>
    <row r="21" spans="1:1" x14ac:dyDescent="0.3">
      <c r="A21" t="s">
        <v>1150</v>
      </c>
    </row>
    <row r="22" spans="1:1" x14ac:dyDescent="0.3">
      <c r="A22" t="s">
        <v>49</v>
      </c>
    </row>
    <row r="23" spans="1:1" x14ac:dyDescent="0.3">
      <c r="A23" t="s">
        <v>39</v>
      </c>
    </row>
    <row r="24" spans="1:1" x14ac:dyDescent="0.3">
      <c r="A24" t="s">
        <v>13</v>
      </c>
    </row>
    <row r="25" spans="1:1" x14ac:dyDescent="0.3">
      <c r="A25" t="s">
        <v>50</v>
      </c>
    </row>
    <row r="26" spans="1:1" x14ac:dyDescent="0.3">
      <c r="A26" t="s">
        <v>1151</v>
      </c>
    </row>
    <row r="27" spans="1:1" x14ac:dyDescent="0.3">
      <c r="A27" t="s">
        <v>1152</v>
      </c>
    </row>
    <row r="28" spans="1:1" x14ac:dyDescent="0.3">
      <c r="A28" t="s">
        <v>1153</v>
      </c>
    </row>
    <row r="29" spans="1:1" x14ac:dyDescent="0.3">
      <c r="A29" t="s">
        <v>110</v>
      </c>
    </row>
    <row r="30" spans="1:1" x14ac:dyDescent="0.3">
      <c r="A30" t="s">
        <v>2815</v>
      </c>
    </row>
    <row r="31" spans="1:1" x14ac:dyDescent="0.3">
      <c r="A31" t="s">
        <v>1155</v>
      </c>
    </row>
    <row r="32" spans="1:1" x14ac:dyDescent="0.3">
      <c r="A32" t="s">
        <v>51</v>
      </c>
    </row>
    <row r="33" spans="1:1" x14ac:dyDescent="0.3">
      <c r="A33" t="s">
        <v>52</v>
      </c>
    </row>
    <row r="34" spans="1:1" x14ac:dyDescent="0.3">
      <c r="A34" t="s">
        <v>79</v>
      </c>
    </row>
    <row r="35" spans="1:1" x14ac:dyDescent="0.3">
      <c r="A35" t="s">
        <v>98</v>
      </c>
    </row>
    <row r="36" spans="1:1" x14ac:dyDescent="0.3">
      <c r="A36" t="s">
        <v>13</v>
      </c>
    </row>
    <row r="37" spans="1:1" x14ac:dyDescent="0.3">
      <c r="A37" t="s">
        <v>105</v>
      </c>
    </row>
    <row r="38" spans="1:1" x14ac:dyDescent="0.3">
      <c r="A38" t="s">
        <v>1156</v>
      </c>
    </row>
    <row r="39" spans="1:1" x14ac:dyDescent="0.3">
      <c r="A39" t="s">
        <v>1157</v>
      </c>
    </row>
    <row r="40" spans="1:1" x14ac:dyDescent="0.3">
      <c r="A40" t="s">
        <v>1158</v>
      </c>
    </row>
    <row r="41" spans="1:1" x14ac:dyDescent="0.3">
      <c r="A41" t="s">
        <v>12</v>
      </c>
    </row>
    <row r="42" spans="1:1" x14ac:dyDescent="0.3">
      <c r="A42" t="s">
        <v>13</v>
      </c>
    </row>
    <row r="43" spans="1:1" x14ac:dyDescent="0.3">
      <c r="A43" t="s">
        <v>106</v>
      </c>
    </row>
    <row r="44" spans="1:1" x14ac:dyDescent="0.3">
      <c r="A44" t="s">
        <v>1159</v>
      </c>
    </row>
    <row r="45" spans="1:1" x14ac:dyDescent="0.3">
      <c r="A45" t="s">
        <v>1157</v>
      </c>
    </row>
    <row r="46" spans="1:1" x14ac:dyDescent="0.3">
      <c r="A46" t="s">
        <v>1160</v>
      </c>
    </row>
    <row r="47" spans="1:1" x14ac:dyDescent="0.3">
      <c r="A47" t="s">
        <v>12</v>
      </c>
    </row>
    <row r="48" spans="1:1" x14ac:dyDescent="0.3">
      <c r="A48" t="s">
        <v>40</v>
      </c>
    </row>
    <row r="50" spans="1:1" x14ac:dyDescent="0.3">
      <c r="A50" t="s">
        <v>12</v>
      </c>
    </row>
    <row r="51" spans="1:1" x14ac:dyDescent="0.3">
      <c r="A51" t="s">
        <v>13</v>
      </c>
    </row>
    <row r="52" spans="1:1" x14ac:dyDescent="0.3">
      <c r="A52" t="s">
        <v>53</v>
      </c>
    </row>
    <row r="53" spans="1:1" x14ac:dyDescent="0.3">
      <c r="A53" t="s">
        <v>1161</v>
      </c>
    </row>
    <row r="54" spans="1:1" x14ac:dyDescent="0.3">
      <c r="A54" t="s">
        <v>1162</v>
      </c>
    </row>
    <row r="55" spans="1:1" x14ac:dyDescent="0.3">
      <c r="A55" t="s">
        <v>1153</v>
      </c>
    </row>
    <row r="56" spans="1:1" x14ac:dyDescent="0.3">
      <c r="A56" t="s">
        <v>110</v>
      </c>
    </row>
    <row r="57" spans="1:1" x14ac:dyDescent="0.3">
      <c r="A57" t="s">
        <v>2816</v>
      </c>
    </row>
    <row r="58" spans="1:1" x14ac:dyDescent="0.3">
      <c r="A58" t="s">
        <v>1163</v>
      </c>
    </row>
    <row r="59" spans="1:1" x14ac:dyDescent="0.3">
      <c r="A59" t="s">
        <v>51</v>
      </c>
    </row>
    <row r="60" spans="1:1" x14ac:dyDescent="0.3">
      <c r="A60" t="s">
        <v>52</v>
      </c>
    </row>
    <row r="61" spans="1:1" x14ac:dyDescent="0.3">
      <c r="A61" t="s">
        <v>79</v>
      </c>
    </row>
    <row r="62" spans="1:1" x14ac:dyDescent="0.3">
      <c r="A62" t="s">
        <v>98</v>
      </c>
    </row>
    <row r="63" spans="1:1" x14ac:dyDescent="0.3">
      <c r="A63" t="s">
        <v>13</v>
      </c>
    </row>
    <row r="64" spans="1:1" x14ac:dyDescent="0.3">
      <c r="A64" t="s">
        <v>105</v>
      </c>
    </row>
    <row r="65" spans="1:1" x14ac:dyDescent="0.3">
      <c r="A65" t="s">
        <v>1164</v>
      </c>
    </row>
    <row r="66" spans="1:1" x14ac:dyDescent="0.3">
      <c r="A66" t="s">
        <v>1157</v>
      </c>
    </row>
    <row r="67" spans="1:1" x14ac:dyDescent="0.3">
      <c r="A67" t="s">
        <v>1165</v>
      </c>
    </row>
    <row r="68" spans="1:1" x14ac:dyDescent="0.3">
      <c r="A68" t="s">
        <v>12</v>
      </c>
    </row>
    <row r="69" spans="1:1" x14ac:dyDescent="0.3">
      <c r="A69" t="s">
        <v>13</v>
      </c>
    </row>
    <row r="70" spans="1:1" x14ac:dyDescent="0.3">
      <c r="A70" t="s">
        <v>106</v>
      </c>
    </row>
    <row r="71" spans="1:1" x14ac:dyDescent="0.3">
      <c r="A71" t="s">
        <v>1166</v>
      </c>
    </row>
    <row r="72" spans="1:1" x14ac:dyDescent="0.3">
      <c r="A72" t="s">
        <v>1157</v>
      </c>
    </row>
    <row r="73" spans="1:1" x14ac:dyDescent="0.3">
      <c r="A73" t="s">
        <v>1167</v>
      </c>
    </row>
    <row r="74" spans="1:1" x14ac:dyDescent="0.3">
      <c r="A74" t="s">
        <v>12</v>
      </c>
    </row>
    <row r="75" spans="1:1" x14ac:dyDescent="0.3">
      <c r="A75" t="s">
        <v>40</v>
      </c>
    </row>
    <row r="77" spans="1:1" x14ac:dyDescent="0.3">
      <c r="A77" t="s">
        <v>12</v>
      </c>
    </row>
    <row r="78" spans="1:1" x14ac:dyDescent="0.3">
      <c r="A78" t="s">
        <v>13</v>
      </c>
    </row>
    <row r="79" spans="1:1" x14ac:dyDescent="0.3">
      <c r="A79" t="s">
        <v>54</v>
      </c>
    </row>
    <row r="80" spans="1:1" x14ac:dyDescent="0.3">
      <c r="A80" t="s">
        <v>1161</v>
      </c>
    </row>
    <row r="81" spans="1:1" x14ac:dyDescent="0.3">
      <c r="A81" t="s">
        <v>1168</v>
      </c>
    </row>
    <row r="82" spans="1:1" x14ac:dyDescent="0.3">
      <c r="A82" t="s">
        <v>1153</v>
      </c>
    </row>
    <row r="83" spans="1:1" x14ac:dyDescent="0.3">
      <c r="A83" t="s">
        <v>110</v>
      </c>
    </row>
    <row r="84" spans="1:1" x14ac:dyDescent="0.3">
      <c r="A84" t="s">
        <v>2816</v>
      </c>
    </row>
    <row r="85" spans="1:1" x14ac:dyDescent="0.3">
      <c r="A85" t="s">
        <v>1169</v>
      </c>
    </row>
    <row r="86" spans="1:1" x14ac:dyDescent="0.3">
      <c r="A86" t="s">
        <v>51</v>
      </c>
    </row>
    <row r="87" spans="1:1" x14ac:dyDescent="0.3">
      <c r="A87" t="s">
        <v>52</v>
      </c>
    </row>
    <row r="88" spans="1:1" x14ac:dyDescent="0.3">
      <c r="A88" t="s">
        <v>79</v>
      </c>
    </row>
    <row r="89" spans="1:1" x14ac:dyDescent="0.3">
      <c r="A89" t="s">
        <v>98</v>
      </c>
    </row>
    <row r="90" spans="1:1" x14ac:dyDescent="0.3">
      <c r="A90" t="s">
        <v>13</v>
      </c>
    </row>
    <row r="91" spans="1:1" x14ac:dyDescent="0.3">
      <c r="A91" t="s">
        <v>105</v>
      </c>
    </row>
    <row r="92" spans="1:1" x14ac:dyDescent="0.3">
      <c r="A92" t="s">
        <v>1164</v>
      </c>
    </row>
    <row r="93" spans="1:1" x14ac:dyDescent="0.3">
      <c r="A93" t="s">
        <v>1157</v>
      </c>
    </row>
    <row r="94" spans="1:1" x14ac:dyDescent="0.3">
      <c r="A94" t="s">
        <v>1165</v>
      </c>
    </row>
    <row r="95" spans="1:1" x14ac:dyDescent="0.3">
      <c r="A95" t="s">
        <v>12</v>
      </c>
    </row>
    <row r="96" spans="1:1" x14ac:dyDescent="0.3">
      <c r="A96" t="s">
        <v>13</v>
      </c>
    </row>
    <row r="97" spans="1:1" x14ac:dyDescent="0.3">
      <c r="A97" t="s">
        <v>106</v>
      </c>
    </row>
    <row r="98" spans="1:1" x14ac:dyDescent="0.3">
      <c r="A98" t="s">
        <v>1166</v>
      </c>
    </row>
    <row r="99" spans="1:1" x14ac:dyDescent="0.3">
      <c r="A99" t="s">
        <v>1157</v>
      </c>
    </row>
    <row r="100" spans="1:1" x14ac:dyDescent="0.3">
      <c r="A100" t="s">
        <v>1167</v>
      </c>
    </row>
    <row r="101" spans="1:1" x14ac:dyDescent="0.3">
      <c r="A101" t="s">
        <v>12</v>
      </c>
    </row>
    <row r="102" spans="1:1" x14ac:dyDescent="0.3">
      <c r="A102" t="s">
        <v>40</v>
      </c>
    </row>
    <row r="104" spans="1:1" x14ac:dyDescent="0.3">
      <c r="A104" t="s">
        <v>12</v>
      </c>
    </row>
    <row r="105" spans="1:1" x14ac:dyDescent="0.3">
      <c r="A105" t="s">
        <v>13</v>
      </c>
    </row>
    <row r="106" spans="1:1" x14ac:dyDescent="0.3">
      <c r="A106" t="s">
        <v>107</v>
      </c>
    </row>
    <row r="107" spans="1:1" x14ac:dyDescent="0.3">
      <c r="A107" t="s">
        <v>1170</v>
      </c>
    </row>
    <row r="108" spans="1:1" x14ac:dyDescent="0.3">
      <c r="A108" t="s">
        <v>1171</v>
      </c>
    </row>
    <row r="109" spans="1:1" x14ac:dyDescent="0.3">
      <c r="A109" t="s">
        <v>1153</v>
      </c>
    </row>
    <row r="110" spans="1:1" x14ac:dyDescent="0.3">
      <c r="A110" t="s">
        <v>110</v>
      </c>
    </row>
    <row r="111" spans="1:1" x14ac:dyDescent="0.3">
      <c r="A111" t="s">
        <v>2817</v>
      </c>
    </row>
    <row r="112" spans="1:1" x14ac:dyDescent="0.3">
      <c r="A112" t="s">
        <v>1172</v>
      </c>
    </row>
    <row r="113" spans="1:1" x14ac:dyDescent="0.3">
      <c r="A113" t="s">
        <v>51</v>
      </c>
    </row>
    <row r="114" spans="1:1" x14ac:dyDescent="0.3">
      <c r="A114" t="s">
        <v>52</v>
      </c>
    </row>
    <row r="115" spans="1:1" x14ac:dyDescent="0.3">
      <c r="A115" t="s">
        <v>79</v>
      </c>
    </row>
    <row r="116" spans="1:1" x14ac:dyDescent="0.3">
      <c r="A116" t="s">
        <v>98</v>
      </c>
    </row>
    <row r="117" spans="1:1" x14ac:dyDescent="0.3">
      <c r="A117" t="s">
        <v>13</v>
      </c>
    </row>
    <row r="118" spans="1:1" x14ac:dyDescent="0.3">
      <c r="A118" t="s">
        <v>105</v>
      </c>
    </row>
    <row r="119" spans="1:1" x14ac:dyDescent="0.3">
      <c r="A119" t="s">
        <v>1173</v>
      </c>
    </row>
    <row r="120" spans="1:1" x14ac:dyDescent="0.3">
      <c r="A120" t="s">
        <v>1157</v>
      </c>
    </row>
    <row r="121" spans="1:1" x14ac:dyDescent="0.3">
      <c r="A121" t="s">
        <v>1174</v>
      </c>
    </row>
    <row r="122" spans="1:1" x14ac:dyDescent="0.3">
      <c r="A122" t="s">
        <v>12</v>
      </c>
    </row>
    <row r="123" spans="1:1" x14ac:dyDescent="0.3">
      <c r="A123" t="s">
        <v>13</v>
      </c>
    </row>
    <row r="124" spans="1:1" x14ac:dyDescent="0.3">
      <c r="A124" t="s">
        <v>106</v>
      </c>
    </row>
    <row r="125" spans="1:1" x14ac:dyDescent="0.3">
      <c r="A125" t="s">
        <v>1175</v>
      </c>
    </row>
    <row r="126" spans="1:1" x14ac:dyDescent="0.3">
      <c r="A126" t="s">
        <v>1157</v>
      </c>
    </row>
    <row r="127" spans="1:1" x14ac:dyDescent="0.3">
      <c r="A127" t="s">
        <v>1176</v>
      </c>
    </row>
    <row r="128" spans="1:1" x14ac:dyDescent="0.3">
      <c r="A128" t="s">
        <v>12</v>
      </c>
    </row>
    <row r="129" spans="1:1" x14ac:dyDescent="0.3">
      <c r="A129" t="s">
        <v>40</v>
      </c>
    </row>
    <row r="131" spans="1:1" x14ac:dyDescent="0.3">
      <c r="A131" t="s">
        <v>12</v>
      </c>
    </row>
    <row r="132" spans="1:1" x14ac:dyDescent="0.3">
      <c r="A132" t="s">
        <v>13</v>
      </c>
    </row>
    <row r="133" spans="1:1" x14ac:dyDescent="0.3">
      <c r="A133" t="s">
        <v>108</v>
      </c>
    </row>
    <row r="134" spans="1:1" x14ac:dyDescent="0.3">
      <c r="A134" t="s">
        <v>1177</v>
      </c>
    </row>
    <row r="135" spans="1:1" x14ac:dyDescent="0.3">
      <c r="A135" t="s">
        <v>1178</v>
      </c>
    </row>
    <row r="136" spans="1:1" x14ac:dyDescent="0.3">
      <c r="A136" t="s">
        <v>1153</v>
      </c>
    </row>
    <row r="137" spans="1:1" x14ac:dyDescent="0.3">
      <c r="A137" t="s">
        <v>110</v>
      </c>
    </row>
    <row r="138" spans="1:1" x14ac:dyDescent="0.3">
      <c r="A138" t="s">
        <v>2818</v>
      </c>
    </row>
    <row r="139" spans="1:1" x14ac:dyDescent="0.3">
      <c r="A139" t="s">
        <v>1179</v>
      </c>
    </row>
    <row r="140" spans="1:1" x14ac:dyDescent="0.3">
      <c r="A140" t="s">
        <v>51</v>
      </c>
    </row>
    <row r="141" spans="1:1" x14ac:dyDescent="0.3">
      <c r="A141" t="s">
        <v>52</v>
      </c>
    </row>
    <row r="142" spans="1:1" x14ac:dyDescent="0.3">
      <c r="A142" t="s">
        <v>79</v>
      </c>
    </row>
    <row r="143" spans="1:1" x14ac:dyDescent="0.3">
      <c r="A143" t="s">
        <v>98</v>
      </c>
    </row>
    <row r="144" spans="1:1" x14ac:dyDescent="0.3">
      <c r="A144" t="s">
        <v>13</v>
      </c>
    </row>
    <row r="145" spans="1:1" x14ac:dyDescent="0.3">
      <c r="A145" t="s">
        <v>105</v>
      </c>
    </row>
    <row r="146" spans="1:1" x14ac:dyDescent="0.3">
      <c r="A146" t="s">
        <v>1180</v>
      </c>
    </row>
    <row r="147" spans="1:1" x14ac:dyDescent="0.3">
      <c r="A147" t="s">
        <v>1157</v>
      </c>
    </row>
    <row r="148" spans="1:1" x14ac:dyDescent="0.3">
      <c r="A148" t="s">
        <v>1181</v>
      </c>
    </row>
    <row r="149" spans="1:1" x14ac:dyDescent="0.3">
      <c r="A149" t="s">
        <v>12</v>
      </c>
    </row>
    <row r="150" spans="1:1" x14ac:dyDescent="0.3">
      <c r="A150" t="s">
        <v>13</v>
      </c>
    </row>
    <row r="151" spans="1:1" x14ac:dyDescent="0.3">
      <c r="A151" t="s">
        <v>106</v>
      </c>
    </row>
    <row r="152" spans="1:1" x14ac:dyDescent="0.3">
      <c r="A152" t="s">
        <v>1182</v>
      </c>
    </row>
    <row r="153" spans="1:1" x14ac:dyDescent="0.3">
      <c r="A153" t="s">
        <v>1157</v>
      </c>
    </row>
    <row r="154" spans="1:1" x14ac:dyDescent="0.3">
      <c r="A154" t="s">
        <v>1183</v>
      </c>
    </row>
    <row r="155" spans="1:1" x14ac:dyDescent="0.3">
      <c r="A155" t="s">
        <v>12</v>
      </c>
    </row>
    <row r="156" spans="1:1" x14ac:dyDescent="0.3">
      <c r="A156" t="s">
        <v>40</v>
      </c>
    </row>
    <row r="158" spans="1:1" x14ac:dyDescent="0.3">
      <c r="A158" t="s">
        <v>12</v>
      </c>
    </row>
    <row r="159" spans="1:1" x14ac:dyDescent="0.3">
      <c r="A159" t="s">
        <v>13</v>
      </c>
    </row>
    <row r="160" spans="1:1" x14ac:dyDescent="0.3">
      <c r="A160" t="s">
        <v>1184</v>
      </c>
    </row>
    <row r="161" spans="1:1" x14ac:dyDescent="0.3">
      <c r="A161" t="s">
        <v>1170</v>
      </c>
    </row>
    <row r="162" spans="1:1" x14ac:dyDescent="0.3">
      <c r="A162" t="s">
        <v>1185</v>
      </c>
    </row>
    <row r="163" spans="1:1" x14ac:dyDescent="0.3">
      <c r="A163" t="s">
        <v>1153</v>
      </c>
    </row>
    <row r="164" spans="1:1" x14ac:dyDescent="0.3">
      <c r="A164" t="s">
        <v>110</v>
      </c>
    </row>
    <row r="165" spans="1:1" x14ac:dyDescent="0.3">
      <c r="A165" t="s">
        <v>2817</v>
      </c>
    </row>
    <row r="166" spans="1:1" x14ac:dyDescent="0.3">
      <c r="A166" t="s">
        <v>1186</v>
      </c>
    </row>
    <row r="167" spans="1:1" x14ac:dyDescent="0.3">
      <c r="A167" t="s">
        <v>51</v>
      </c>
    </row>
    <row r="168" spans="1:1" x14ac:dyDescent="0.3">
      <c r="A168" t="s">
        <v>52</v>
      </c>
    </row>
    <row r="169" spans="1:1" x14ac:dyDescent="0.3">
      <c r="A169" t="s">
        <v>79</v>
      </c>
    </row>
    <row r="170" spans="1:1" x14ac:dyDescent="0.3">
      <c r="A170" t="s">
        <v>98</v>
      </c>
    </row>
    <row r="171" spans="1:1" x14ac:dyDescent="0.3">
      <c r="A171" t="s">
        <v>13</v>
      </c>
    </row>
    <row r="172" spans="1:1" x14ac:dyDescent="0.3">
      <c r="A172" t="s">
        <v>105</v>
      </c>
    </row>
    <row r="173" spans="1:1" x14ac:dyDescent="0.3">
      <c r="A173" t="s">
        <v>1173</v>
      </c>
    </row>
    <row r="174" spans="1:1" x14ac:dyDescent="0.3">
      <c r="A174" t="s">
        <v>1157</v>
      </c>
    </row>
    <row r="175" spans="1:1" x14ac:dyDescent="0.3">
      <c r="A175" t="s">
        <v>1174</v>
      </c>
    </row>
    <row r="176" spans="1:1" x14ac:dyDescent="0.3">
      <c r="A176" t="s">
        <v>12</v>
      </c>
    </row>
    <row r="177" spans="1:1" x14ac:dyDescent="0.3">
      <c r="A177" t="s">
        <v>13</v>
      </c>
    </row>
    <row r="178" spans="1:1" x14ac:dyDescent="0.3">
      <c r="A178" t="s">
        <v>106</v>
      </c>
    </row>
    <row r="179" spans="1:1" x14ac:dyDescent="0.3">
      <c r="A179" t="s">
        <v>1175</v>
      </c>
    </row>
    <row r="180" spans="1:1" x14ac:dyDescent="0.3">
      <c r="A180" t="s">
        <v>1157</v>
      </c>
    </row>
    <row r="181" spans="1:1" x14ac:dyDescent="0.3">
      <c r="A181" t="s">
        <v>1176</v>
      </c>
    </row>
    <row r="182" spans="1:1" x14ac:dyDescent="0.3">
      <c r="A182" t="s">
        <v>12</v>
      </c>
    </row>
    <row r="183" spans="1:1" x14ac:dyDescent="0.3">
      <c r="A183" t="s">
        <v>40</v>
      </c>
    </row>
    <row r="185" spans="1:1" x14ac:dyDescent="0.3">
      <c r="A185" t="s">
        <v>12</v>
      </c>
    </row>
    <row r="186" spans="1:1" x14ac:dyDescent="0.3">
      <c r="A186" t="s">
        <v>13</v>
      </c>
    </row>
    <row r="187" spans="1:1" x14ac:dyDescent="0.3">
      <c r="A187" t="s">
        <v>1187</v>
      </c>
    </row>
    <row r="188" spans="1:1" x14ac:dyDescent="0.3">
      <c r="A188" t="s">
        <v>1177</v>
      </c>
    </row>
    <row r="189" spans="1:1" x14ac:dyDescent="0.3">
      <c r="A189" t="s">
        <v>1188</v>
      </c>
    </row>
    <row r="190" spans="1:1" x14ac:dyDescent="0.3">
      <c r="A190" t="s">
        <v>1153</v>
      </c>
    </row>
    <row r="191" spans="1:1" x14ac:dyDescent="0.3">
      <c r="A191" t="s">
        <v>110</v>
      </c>
    </row>
    <row r="192" spans="1:1" x14ac:dyDescent="0.3">
      <c r="A192" t="s">
        <v>2818</v>
      </c>
    </row>
    <row r="193" spans="1:1" x14ac:dyDescent="0.3">
      <c r="A193" t="s">
        <v>1189</v>
      </c>
    </row>
    <row r="194" spans="1:1" x14ac:dyDescent="0.3">
      <c r="A194" t="s">
        <v>51</v>
      </c>
    </row>
    <row r="195" spans="1:1" x14ac:dyDescent="0.3">
      <c r="A195" t="s">
        <v>52</v>
      </c>
    </row>
    <row r="196" spans="1:1" x14ac:dyDescent="0.3">
      <c r="A196" t="s">
        <v>79</v>
      </c>
    </row>
    <row r="197" spans="1:1" x14ac:dyDescent="0.3">
      <c r="A197" t="s">
        <v>98</v>
      </c>
    </row>
    <row r="198" spans="1:1" x14ac:dyDescent="0.3">
      <c r="A198" t="s">
        <v>13</v>
      </c>
    </row>
    <row r="199" spans="1:1" x14ac:dyDescent="0.3">
      <c r="A199" t="s">
        <v>105</v>
      </c>
    </row>
    <row r="200" spans="1:1" x14ac:dyDescent="0.3">
      <c r="A200" t="s">
        <v>1180</v>
      </c>
    </row>
    <row r="201" spans="1:1" x14ac:dyDescent="0.3">
      <c r="A201" t="s">
        <v>1157</v>
      </c>
    </row>
    <row r="202" spans="1:1" x14ac:dyDescent="0.3">
      <c r="A202" t="s">
        <v>1181</v>
      </c>
    </row>
    <row r="203" spans="1:1" x14ac:dyDescent="0.3">
      <c r="A203" t="s">
        <v>12</v>
      </c>
    </row>
    <row r="204" spans="1:1" x14ac:dyDescent="0.3">
      <c r="A204" t="s">
        <v>13</v>
      </c>
    </row>
    <row r="205" spans="1:1" x14ac:dyDescent="0.3">
      <c r="A205" t="s">
        <v>106</v>
      </c>
    </row>
    <row r="206" spans="1:1" x14ac:dyDescent="0.3">
      <c r="A206" t="s">
        <v>1182</v>
      </c>
    </row>
    <row r="207" spans="1:1" x14ac:dyDescent="0.3">
      <c r="A207" t="s">
        <v>1157</v>
      </c>
    </row>
    <row r="208" spans="1:1" x14ac:dyDescent="0.3">
      <c r="A208" t="s">
        <v>1183</v>
      </c>
    </row>
    <row r="209" spans="1:1" x14ac:dyDescent="0.3">
      <c r="A209" t="s">
        <v>12</v>
      </c>
    </row>
    <row r="210" spans="1:1" x14ac:dyDescent="0.3">
      <c r="A210" t="s">
        <v>40</v>
      </c>
    </row>
    <row r="212" spans="1:1" x14ac:dyDescent="0.3">
      <c r="A212" t="s">
        <v>12</v>
      </c>
    </row>
    <row r="213" spans="1:1" x14ac:dyDescent="0.3">
      <c r="A213" t="s">
        <v>13</v>
      </c>
    </row>
    <row r="214" spans="1:1" x14ac:dyDescent="0.3">
      <c r="A214" t="s">
        <v>1190</v>
      </c>
    </row>
    <row r="215" spans="1:1" x14ac:dyDescent="0.3">
      <c r="A215" t="s">
        <v>1151</v>
      </c>
    </row>
    <row r="216" spans="1:1" x14ac:dyDescent="0.3">
      <c r="A216" t="s">
        <v>1191</v>
      </c>
    </row>
    <row r="217" spans="1:1" x14ac:dyDescent="0.3">
      <c r="A217" t="s">
        <v>1153</v>
      </c>
    </row>
    <row r="218" spans="1:1" x14ac:dyDescent="0.3">
      <c r="A218" t="s">
        <v>110</v>
      </c>
    </row>
    <row r="219" spans="1:1" x14ac:dyDescent="0.3">
      <c r="A219" t="s">
        <v>2815</v>
      </c>
    </row>
    <row r="220" spans="1:1" x14ac:dyDescent="0.3">
      <c r="A220" t="s">
        <v>1192</v>
      </c>
    </row>
    <row r="221" spans="1:1" x14ac:dyDescent="0.3">
      <c r="A221" t="s">
        <v>51</v>
      </c>
    </row>
    <row r="222" spans="1:1" x14ac:dyDescent="0.3">
      <c r="A222" t="s">
        <v>52</v>
      </c>
    </row>
    <row r="223" spans="1:1" x14ac:dyDescent="0.3">
      <c r="A223" t="s">
        <v>79</v>
      </c>
    </row>
    <row r="224" spans="1:1" x14ac:dyDescent="0.3">
      <c r="A224" t="s">
        <v>98</v>
      </c>
    </row>
    <row r="225" spans="1:1" x14ac:dyDescent="0.3">
      <c r="A225" t="s">
        <v>13</v>
      </c>
    </row>
    <row r="226" spans="1:1" x14ac:dyDescent="0.3">
      <c r="A226" t="s">
        <v>105</v>
      </c>
    </row>
    <row r="227" spans="1:1" x14ac:dyDescent="0.3">
      <c r="A227" t="s">
        <v>1156</v>
      </c>
    </row>
    <row r="228" spans="1:1" x14ac:dyDescent="0.3">
      <c r="A228" t="s">
        <v>1157</v>
      </c>
    </row>
    <row r="229" spans="1:1" x14ac:dyDescent="0.3">
      <c r="A229" t="s">
        <v>1158</v>
      </c>
    </row>
    <row r="230" spans="1:1" x14ac:dyDescent="0.3">
      <c r="A230" t="s">
        <v>12</v>
      </c>
    </row>
    <row r="231" spans="1:1" x14ac:dyDescent="0.3">
      <c r="A231" t="s">
        <v>13</v>
      </c>
    </row>
    <row r="232" spans="1:1" x14ac:dyDescent="0.3">
      <c r="A232" t="s">
        <v>106</v>
      </c>
    </row>
    <row r="233" spans="1:1" x14ac:dyDescent="0.3">
      <c r="A233" t="s">
        <v>1159</v>
      </c>
    </row>
    <row r="234" spans="1:1" x14ac:dyDescent="0.3">
      <c r="A234" t="s">
        <v>1157</v>
      </c>
    </row>
    <row r="235" spans="1:1" x14ac:dyDescent="0.3">
      <c r="A235" t="s">
        <v>1160</v>
      </c>
    </row>
    <row r="236" spans="1:1" x14ac:dyDescent="0.3">
      <c r="A236" t="s">
        <v>12</v>
      </c>
    </row>
    <row r="237" spans="1:1" x14ac:dyDescent="0.3">
      <c r="A237" t="s">
        <v>40</v>
      </c>
    </row>
    <row r="239" spans="1:1" x14ac:dyDescent="0.3">
      <c r="A239" t="s">
        <v>12</v>
      </c>
    </row>
    <row r="240" spans="1:1" x14ac:dyDescent="0.3">
      <c r="A240" t="s">
        <v>13</v>
      </c>
    </row>
    <row r="241" spans="1:1" x14ac:dyDescent="0.3">
      <c r="A241" t="s">
        <v>1193</v>
      </c>
    </row>
    <row r="242" spans="1:1" x14ac:dyDescent="0.3">
      <c r="A242" t="s">
        <v>1194</v>
      </c>
    </row>
    <row r="243" spans="1:1" x14ac:dyDescent="0.3">
      <c r="A243" t="s">
        <v>1195</v>
      </c>
    </row>
    <row r="244" spans="1:1" x14ac:dyDescent="0.3">
      <c r="A244" t="s">
        <v>1153</v>
      </c>
    </row>
    <row r="245" spans="1:1" x14ac:dyDescent="0.3">
      <c r="A245" t="s">
        <v>110</v>
      </c>
    </row>
    <row r="246" spans="1:1" x14ac:dyDescent="0.3">
      <c r="A246" t="s">
        <v>2819</v>
      </c>
    </row>
    <row r="247" spans="1:1" x14ac:dyDescent="0.3">
      <c r="A247" t="s">
        <v>1196</v>
      </c>
    </row>
    <row r="248" spans="1:1" x14ac:dyDescent="0.3">
      <c r="A248" t="s">
        <v>51</v>
      </c>
    </row>
    <row r="249" spans="1:1" x14ac:dyDescent="0.3">
      <c r="A249" t="s">
        <v>52</v>
      </c>
    </row>
    <row r="250" spans="1:1" x14ac:dyDescent="0.3">
      <c r="A250" t="s">
        <v>79</v>
      </c>
    </row>
    <row r="251" spans="1:1" x14ac:dyDescent="0.3">
      <c r="A251" t="s">
        <v>98</v>
      </c>
    </row>
    <row r="252" spans="1:1" x14ac:dyDescent="0.3">
      <c r="A252" t="s">
        <v>13</v>
      </c>
    </row>
    <row r="253" spans="1:1" x14ac:dyDescent="0.3">
      <c r="A253" t="s">
        <v>105</v>
      </c>
    </row>
    <row r="254" spans="1:1" x14ac:dyDescent="0.3">
      <c r="A254" t="s">
        <v>1197</v>
      </c>
    </row>
    <row r="255" spans="1:1" x14ac:dyDescent="0.3">
      <c r="A255" t="s">
        <v>1157</v>
      </c>
    </row>
    <row r="256" spans="1:1" x14ac:dyDescent="0.3">
      <c r="A256" t="s">
        <v>1198</v>
      </c>
    </row>
    <row r="257" spans="1:1" x14ac:dyDescent="0.3">
      <c r="A257" t="s">
        <v>12</v>
      </c>
    </row>
    <row r="258" spans="1:1" x14ac:dyDescent="0.3">
      <c r="A258" t="s">
        <v>13</v>
      </c>
    </row>
    <row r="259" spans="1:1" x14ac:dyDescent="0.3">
      <c r="A259" t="s">
        <v>106</v>
      </c>
    </row>
    <row r="260" spans="1:1" x14ac:dyDescent="0.3">
      <c r="A260" t="s">
        <v>1199</v>
      </c>
    </row>
    <row r="261" spans="1:1" x14ac:dyDescent="0.3">
      <c r="A261" t="s">
        <v>1157</v>
      </c>
    </row>
    <row r="262" spans="1:1" x14ac:dyDescent="0.3">
      <c r="A262" t="s">
        <v>1200</v>
      </c>
    </row>
    <row r="263" spans="1:1" x14ac:dyDescent="0.3">
      <c r="A263" t="s">
        <v>12</v>
      </c>
    </row>
    <row r="264" spans="1:1" x14ac:dyDescent="0.3">
      <c r="A264" t="s">
        <v>40</v>
      </c>
    </row>
    <row r="266" spans="1:1" x14ac:dyDescent="0.3">
      <c r="A266" t="s">
        <v>12</v>
      </c>
    </row>
    <row r="267" spans="1:1" x14ac:dyDescent="0.3">
      <c r="A267" t="s">
        <v>13</v>
      </c>
    </row>
    <row r="268" spans="1:1" x14ac:dyDescent="0.3">
      <c r="A268" t="s">
        <v>1201</v>
      </c>
    </row>
    <row r="269" spans="1:1" x14ac:dyDescent="0.3">
      <c r="A269" t="s">
        <v>1151</v>
      </c>
    </row>
    <row r="270" spans="1:1" x14ac:dyDescent="0.3">
      <c r="A270" t="s">
        <v>1202</v>
      </c>
    </row>
    <row r="271" spans="1:1" x14ac:dyDescent="0.3">
      <c r="A271" t="s">
        <v>1153</v>
      </c>
    </row>
    <row r="272" spans="1:1" x14ac:dyDescent="0.3">
      <c r="A272" t="s">
        <v>110</v>
      </c>
    </row>
    <row r="273" spans="1:1" x14ac:dyDescent="0.3">
      <c r="A273" t="s">
        <v>2815</v>
      </c>
    </row>
    <row r="274" spans="1:1" x14ac:dyDescent="0.3">
      <c r="A274" t="s">
        <v>1203</v>
      </c>
    </row>
    <row r="275" spans="1:1" x14ac:dyDescent="0.3">
      <c r="A275" t="s">
        <v>51</v>
      </c>
    </row>
    <row r="276" spans="1:1" x14ac:dyDescent="0.3">
      <c r="A276" t="s">
        <v>52</v>
      </c>
    </row>
    <row r="277" spans="1:1" x14ac:dyDescent="0.3">
      <c r="A277" t="s">
        <v>79</v>
      </c>
    </row>
    <row r="278" spans="1:1" x14ac:dyDescent="0.3">
      <c r="A278" t="s">
        <v>98</v>
      </c>
    </row>
    <row r="279" spans="1:1" x14ac:dyDescent="0.3">
      <c r="A279" t="s">
        <v>13</v>
      </c>
    </row>
    <row r="280" spans="1:1" x14ac:dyDescent="0.3">
      <c r="A280" t="s">
        <v>105</v>
      </c>
    </row>
    <row r="281" spans="1:1" x14ac:dyDescent="0.3">
      <c r="A281" t="s">
        <v>1156</v>
      </c>
    </row>
    <row r="282" spans="1:1" x14ac:dyDescent="0.3">
      <c r="A282" t="s">
        <v>1157</v>
      </c>
    </row>
    <row r="283" spans="1:1" x14ac:dyDescent="0.3">
      <c r="A283" t="s">
        <v>1158</v>
      </c>
    </row>
    <row r="284" spans="1:1" x14ac:dyDescent="0.3">
      <c r="A284" t="s">
        <v>12</v>
      </c>
    </row>
    <row r="285" spans="1:1" x14ac:dyDescent="0.3">
      <c r="A285" t="s">
        <v>13</v>
      </c>
    </row>
    <row r="286" spans="1:1" x14ac:dyDescent="0.3">
      <c r="A286" t="s">
        <v>106</v>
      </c>
    </row>
    <row r="287" spans="1:1" x14ac:dyDescent="0.3">
      <c r="A287" t="s">
        <v>1159</v>
      </c>
    </row>
    <row r="288" spans="1:1" x14ac:dyDescent="0.3">
      <c r="A288" t="s">
        <v>1157</v>
      </c>
    </row>
    <row r="289" spans="1:1" x14ac:dyDescent="0.3">
      <c r="A289" t="s">
        <v>1160</v>
      </c>
    </row>
    <row r="290" spans="1:1" x14ac:dyDescent="0.3">
      <c r="A290" t="s">
        <v>12</v>
      </c>
    </row>
    <row r="291" spans="1:1" x14ac:dyDescent="0.3">
      <c r="A291" t="s">
        <v>40</v>
      </c>
    </row>
    <row r="293" spans="1:1" x14ac:dyDescent="0.3">
      <c r="A293" t="s">
        <v>12</v>
      </c>
    </row>
    <row r="294" spans="1:1" x14ac:dyDescent="0.3">
      <c r="A294" t="s">
        <v>13</v>
      </c>
    </row>
    <row r="295" spans="1:1" x14ac:dyDescent="0.3">
      <c r="A295" t="s">
        <v>1204</v>
      </c>
    </row>
    <row r="296" spans="1:1" x14ac:dyDescent="0.3">
      <c r="A296" t="s">
        <v>1205</v>
      </c>
    </row>
    <row r="297" spans="1:1" x14ac:dyDescent="0.3">
      <c r="A297" t="s">
        <v>1206</v>
      </c>
    </row>
    <row r="298" spans="1:1" x14ac:dyDescent="0.3">
      <c r="A298" t="s">
        <v>1153</v>
      </c>
    </row>
    <row r="299" spans="1:1" x14ac:dyDescent="0.3">
      <c r="A299" t="s">
        <v>110</v>
      </c>
    </row>
    <row r="300" spans="1:1" x14ac:dyDescent="0.3">
      <c r="A300" t="s">
        <v>2820</v>
      </c>
    </row>
    <row r="301" spans="1:1" x14ac:dyDescent="0.3">
      <c r="A301" t="s">
        <v>1207</v>
      </c>
    </row>
    <row r="302" spans="1:1" x14ac:dyDescent="0.3">
      <c r="A302" t="s">
        <v>51</v>
      </c>
    </row>
    <row r="303" spans="1:1" x14ac:dyDescent="0.3">
      <c r="A303" t="s">
        <v>52</v>
      </c>
    </row>
    <row r="304" spans="1:1" x14ac:dyDescent="0.3">
      <c r="A304" t="s">
        <v>79</v>
      </c>
    </row>
    <row r="305" spans="1:1" x14ac:dyDescent="0.3">
      <c r="A305" t="s">
        <v>98</v>
      </c>
    </row>
    <row r="306" spans="1:1" x14ac:dyDescent="0.3">
      <c r="A306" t="s">
        <v>13</v>
      </c>
    </row>
    <row r="307" spans="1:1" x14ac:dyDescent="0.3">
      <c r="A307" t="s">
        <v>105</v>
      </c>
    </row>
    <row r="308" spans="1:1" x14ac:dyDescent="0.3">
      <c r="A308" t="s">
        <v>1208</v>
      </c>
    </row>
    <row r="309" spans="1:1" x14ac:dyDescent="0.3">
      <c r="A309" t="s">
        <v>1157</v>
      </c>
    </row>
    <row r="310" spans="1:1" x14ac:dyDescent="0.3">
      <c r="A310" t="s">
        <v>1209</v>
      </c>
    </row>
    <row r="311" spans="1:1" x14ac:dyDescent="0.3">
      <c r="A311" t="s">
        <v>12</v>
      </c>
    </row>
    <row r="312" spans="1:1" x14ac:dyDescent="0.3">
      <c r="A312" t="s">
        <v>13</v>
      </c>
    </row>
    <row r="313" spans="1:1" x14ac:dyDescent="0.3">
      <c r="A313" t="s">
        <v>106</v>
      </c>
    </row>
    <row r="314" spans="1:1" x14ac:dyDescent="0.3">
      <c r="A314" t="s">
        <v>1210</v>
      </c>
    </row>
    <row r="315" spans="1:1" x14ac:dyDescent="0.3">
      <c r="A315" t="s">
        <v>1157</v>
      </c>
    </row>
    <row r="316" spans="1:1" x14ac:dyDescent="0.3">
      <c r="A316" t="s">
        <v>1211</v>
      </c>
    </row>
    <row r="317" spans="1:1" x14ac:dyDescent="0.3">
      <c r="A317" t="s">
        <v>12</v>
      </c>
    </row>
    <row r="318" spans="1:1" x14ac:dyDescent="0.3">
      <c r="A318" t="s">
        <v>40</v>
      </c>
    </row>
    <row r="320" spans="1:1" x14ac:dyDescent="0.3">
      <c r="A320" t="s">
        <v>12</v>
      </c>
    </row>
    <row r="321" spans="1:1" x14ac:dyDescent="0.3">
      <c r="A321" t="s">
        <v>13</v>
      </c>
    </row>
    <row r="322" spans="1:1" x14ac:dyDescent="0.3">
      <c r="A322" t="s">
        <v>1212</v>
      </c>
    </row>
    <row r="323" spans="1:1" x14ac:dyDescent="0.3">
      <c r="A323" t="s">
        <v>1213</v>
      </c>
    </row>
    <row r="324" spans="1:1" x14ac:dyDescent="0.3">
      <c r="A324" t="s">
        <v>1214</v>
      </c>
    </row>
    <row r="325" spans="1:1" x14ac:dyDescent="0.3">
      <c r="A325" t="s">
        <v>1153</v>
      </c>
    </row>
    <row r="326" spans="1:1" x14ac:dyDescent="0.3">
      <c r="A326" t="s">
        <v>110</v>
      </c>
    </row>
    <row r="327" spans="1:1" x14ac:dyDescent="0.3">
      <c r="A327" t="s">
        <v>2821</v>
      </c>
    </row>
    <row r="328" spans="1:1" x14ac:dyDescent="0.3">
      <c r="A328" t="s">
        <v>1215</v>
      </c>
    </row>
    <row r="329" spans="1:1" x14ac:dyDescent="0.3">
      <c r="A329" t="s">
        <v>51</v>
      </c>
    </row>
    <row r="330" spans="1:1" x14ac:dyDescent="0.3">
      <c r="A330" t="s">
        <v>52</v>
      </c>
    </row>
    <row r="331" spans="1:1" x14ac:dyDescent="0.3">
      <c r="A331" t="s">
        <v>79</v>
      </c>
    </row>
    <row r="332" spans="1:1" x14ac:dyDescent="0.3">
      <c r="A332" t="s">
        <v>98</v>
      </c>
    </row>
    <row r="333" spans="1:1" x14ac:dyDescent="0.3">
      <c r="A333" t="s">
        <v>13</v>
      </c>
    </row>
    <row r="334" spans="1:1" x14ac:dyDescent="0.3">
      <c r="A334" t="s">
        <v>105</v>
      </c>
    </row>
    <row r="335" spans="1:1" x14ac:dyDescent="0.3">
      <c r="A335" t="s">
        <v>1216</v>
      </c>
    </row>
    <row r="336" spans="1:1" x14ac:dyDescent="0.3">
      <c r="A336" t="s">
        <v>1157</v>
      </c>
    </row>
    <row r="337" spans="1:1" x14ac:dyDescent="0.3">
      <c r="A337" t="s">
        <v>1217</v>
      </c>
    </row>
    <row r="338" spans="1:1" x14ac:dyDescent="0.3">
      <c r="A338" t="s">
        <v>12</v>
      </c>
    </row>
    <row r="339" spans="1:1" x14ac:dyDescent="0.3">
      <c r="A339" t="s">
        <v>13</v>
      </c>
    </row>
    <row r="340" spans="1:1" x14ac:dyDescent="0.3">
      <c r="A340" t="s">
        <v>106</v>
      </c>
    </row>
    <row r="341" spans="1:1" x14ac:dyDescent="0.3">
      <c r="A341" t="s">
        <v>1218</v>
      </c>
    </row>
    <row r="342" spans="1:1" x14ac:dyDescent="0.3">
      <c r="A342" t="s">
        <v>1157</v>
      </c>
    </row>
    <row r="343" spans="1:1" x14ac:dyDescent="0.3">
      <c r="A343" t="s">
        <v>1219</v>
      </c>
    </row>
    <row r="344" spans="1:1" x14ac:dyDescent="0.3">
      <c r="A344" t="s">
        <v>12</v>
      </c>
    </row>
    <row r="345" spans="1:1" x14ac:dyDescent="0.3">
      <c r="A345" t="s">
        <v>40</v>
      </c>
    </row>
    <row r="347" spans="1:1" x14ac:dyDescent="0.3">
      <c r="A347" t="s">
        <v>12</v>
      </c>
    </row>
    <row r="348" spans="1:1" x14ac:dyDescent="0.3">
      <c r="A348" t="s">
        <v>13</v>
      </c>
    </row>
    <row r="349" spans="1:1" x14ac:dyDescent="0.3">
      <c r="A349" t="s">
        <v>1220</v>
      </c>
    </row>
    <row r="350" spans="1:1" x14ac:dyDescent="0.3">
      <c r="A350" t="s">
        <v>1221</v>
      </c>
    </row>
    <row r="351" spans="1:1" x14ac:dyDescent="0.3">
      <c r="A351" t="s">
        <v>1222</v>
      </c>
    </row>
    <row r="352" spans="1:1" x14ac:dyDescent="0.3">
      <c r="A352" t="s">
        <v>1153</v>
      </c>
    </row>
    <row r="353" spans="1:1" x14ac:dyDescent="0.3">
      <c r="A353" t="s">
        <v>110</v>
      </c>
    </row>
    <row r="354" spans="1:1" x14ac:dyDescent="0.3">
      <c r="A354" t="s">
        <v>2822</v>
      </c>
    </row>
    <row r="355" spans="1:1" x14ac:dyDescent="0.3">
      <c r="A355" t="s">
        <v>1223</v>
      </c>
    </row>
    <row r="356" spans="1:1" x14ac:dyDescent="0.3">
      <c r="A356" t="s">
        <v>51</v>
      </c>
    </row>
    <row r="357" spans="1:1" x14ac:dyDescent="0.3">
      <c r="A357" t="s">
        <v>52</v>
      </c>
    </row>
    <row r="358" spans="1:1" x14ac:dyDescent="0.3">
      <c r="A358" t="s">
        <v>79</v>
      </c>
    </row>
    <row r="359" spans="1:1" x14ac:dyDescent="0.3">
      <c r="A359" t="s">
        <v>98</v>
      </c>
    </row>
    <row r="360" spans="1:1" x14ac:dyDescent="0.3">
      <c r="A360" t="s">
        <v>13</v>
      </c>
    </row>
    <row r="361" spans="1:1" x14ac:dyDescent="0.3">
      <c r="A361" t="s">
        <v>105</v>
      </c>
    </row>
    <row r="362" spans="1:1" x14ac:dyDescent="0.3">
      <c r="A362" t="s">
        <v>1224</v>
      </c>
    </row>
    <row r="363" spans="1:1" x14ac:dyDescent="0.3">
      <c r="A363" t="s">
        <v>1157</v>
      </c>
    </row>
    <row r="364" spans="1:1" x14ac:dyDescent="0.3">
      <c r="A364" t="s">
        <v>1225</v>
      </c>
    </row>
    <row r="365" spans="1:1" x14ac:dyDescent="0.3">
      <c r="A365" t="s">
        <v>12</v>
      </c>
    </row>
    <row r="366" spans="1:1" x14ac:dyDescent="0.3">
      <c r="A366" t="s">
        <v>13</v>
      </c>
    </row>
    <row r="367" spans="1:1" x14ac:dyDescent="0.3">
      <c r="A367" t="s">
        <v>106</v>
      </c>
    </row>
    <row r="368" spans="1:1" x14ac:dyDescent="0.3">
      <c r="A368" t="s">
        <v>1226</v>
      </c>
    </row>
    <row r="369" spans="1:1" x14ac:dyDescent="0.3">
      <c r="A369" t="s">
        <v>1157</v>
      </c>
    </row>
    <row r="370" spans="1:1" x14ac:dyDescent="0.3">
      <c r="A370" t="s">
        <v>1227</v>
      </c>
    </row>
    <row r="371" spans="1:1" x14ac:dyDescent="0.3">
      <c r="A371" t="s">
        <v>12</v>
      </c>
    </row>
    <row r="372" spans="1:1" x14ac:dyDescent="0.3">
      <c r="A372" t="s">
        <v>40</v>
      </c>
    </row>
    <row r="374" spans="1:1" x14ac:dyDescent="0.3">
      <c r="A374" t="s">
        <v>12</v>
      </c>
    </row>
    <row r="375" spans="1:1" x14ac:dyDescent="0.3">
      <c r="A375" t="s">
        <v>13</v>
      </c>
    </row>
    <row r="376" spans="1:1" x14ac:dyDescent="0.3">
      <c r="A376" t="s">
        <v>1228</v>
      </c>
    </row>
    <row r="377" spans="1:1" x14ac:dyDescent="0.3">
      <c r="A377" t="s">
        <v>1229</v>
      </c>
    </row>
    <row r="378" spans="1:1" x14ac:dyDescent="0.3">
      <c r="A378" t="s">
        <v>1230</v>
      </c>
    </row>
    <row r="379" spans="1:1" x14ac:dyDescent="0.3">
      <c r="A379" t="s">
        <v>1153</v>
      </c>
    </row>
    <row r="380" spans="1:1" x14ac:dyDescent="0.3">
      <c r="A380" t="s">
        <v>110</v>
      </c>
    </row>
    <row r="381" spans="1:1" x14ac:dyDescent="0.3">
      <c r="A381" t="s">
        <v>2823</v>
      </c>
    </row>
    <row r="382" spans="1:1" x14ac:dyDescent="0.3">
      <c r="A382" t="s">
        <v>1231</v>
      </c>
    </row>
    <row r="383" spans="1:1" x14ac:dyDescent="0.3">
      <c r="A383" t="s">
        <v>51</v>
      </c>
    </row>
    <row r="384" spans="1:1" x14ac:dyDescent="0.3">
      <c r="A384" t="s">
        <v>52</v>
      </c>
    </row>
    <row r="385" spans="1:1" x14ac:dyDescent="0.3">
      <c r="A385" t="s">
        <v>79</v>
      </c>
    </row>
    <row r="386" spans="1:1" x14ac:dyDescent="0.3">
      <c r="A386" t="s">
        <v>98</v>
      </c>
    </row>
    <row r="387" spans="1:1" x14ac:dyDescent="0.3">
      <c r="A387" t="s">
        <v>13</v>
      </c>
    </row>
    <row r="388" spans="1:1" x14ac:dyDescent="0.3">
      <c r="A388" t="s">
        <v>105</v>
      </c>
    </row>
    <row r="389" spans="1:1" x14ac:dyDescent="0.3">
      <c r="A389" t="s">
        <v>1232</v>
      </c>
    </row>
    <row r="390" spans="1:1" x14ac:dyDescent="0.3">
      <c r="A390" t="s">
        <v>1157</v>
      </c>
    </row>
    <row r="391" spans="1:1" x14ac:dyDescent="0.3">
      <c r="A391" t="s">
        <v>1233</v>
      </c>
    </row>
    <row r="392" spans="1:1" x14ac:dyDescent="0.3">
      <c r="A392" t="s">
        <v>12</v>
      </c>
    </row>
    <row r="393" spans="1:1" x14ac:dyDescent="0.3">
      <c r="A393" t="s">
        <v>13</v>
      </c>
    </row>
    <row r="394" spans="1:1" x14ac:dyDescent="0.3">
      <c r="A394" t="s">
        <v>106</v>
      </c>
    </row>
    <row r="395" spans="1:1" x14ac:dyDescent="0.3">
      <c r="A395" t="s">
        <v>1234</v>
      </c>
    </row>
    <row r="396" spans="1:1" x14ac:dyDescent="0.3">
      <c r="A396" t="s">
        <v>1157</v>
      </c>
    </row>
    <row r="397" spans="1:1" x14ac:dyDescent="0.3">
      <c r="A397" t="s">
        <v>1235</v>
      </c>
    </row>
    <row r="398" spans="1:1" x14ac:dyDescent="0.3">
      <c r="A398" t="s">
        <v>12</v>
      </c>
    </row>
    <row r="399" spans="1:1" x14ac:dyDescent="0.3">
      <c r="A399" t="s">
        <v>40</v>
      </c>
    </row>
    <row r="401" spans="1:1" x14ac:dyDescent="0.3">
      <c r="A401" t="s">
        <v>12</v>
      </c>
    </row>
    <row r="402" spans="1:1" x14ac:dyDescent="0.3">
      <c r="A402" t="s">
        <v>13</v>
      </c>
    </row>
    <row r="403" spans="1:1" x14ac:dyDescent="0.3">
      <c r="A403" t="s">
        <v>1236</v>
      </c>
    </row>
    <row r="404" spans="1:1" x14ac:dyDescent="0.3">
      <c r="A404" t="s">
        <v>1237</v>
      </c>
    </row>
    <row r="405" spans="1:1" x14ac:dyDescent="0.3">
      <c r="A405" t="s">
        <v>1238</v>
      </c>
    </row>
    <row r="406" spans="1:1" x14ac:dyDescent="0.3">
      <c r="A406" t="s">
        <v>1153</v>
      </c>
    </row>
    <row r="407" spans="1:1" x14ac:dyDescent="0.3">
      <c r="A407" t="s">
        <v>110</v>
      </c>
    </row>
    <row r="408" spans="1:1" x14ac:dyDescent="0.3">
      <c r="A408" t="s">
        <v>2824</v>
      </c>
    </row>
    <row r="409" spans="1:1" x14ac:dyDescent="0.3">
      <c r="A409" t="s">
        <v>1239</v>
      </c>
    </row>
    <row r="410" spans="1:1" x14ac:dyDescent="0.3">
      <c r="A410" t="s">
        <v>51</v>
      </c>
    </row>
    <row r="411" spans="1:1" x14ac:dyDescent="0.3">
      <c r="A411" t="s">
        <v>52</v>
      </c>
    </row>
    <row r="412" spans="1:1" x14ac:dyDescent="0.3">
      <c r="A412" t="s">
        <v>79</v>
      </c>
    </row>
    <row r="413" spans="1:1" x14ac:dyDescent="0.3">
      <c r="A413" t="s">
        <v>98</v>
      </c>
    </row>
    <row r="414" spans="1:1" x14ac:dyDescent="0.3">
      <c r="A414" t="s">
        <v>13</v>
      </c>
    </row>
    <row r="415" spans="1:1" x14ac:dyDescent="0.3">
      <c r="A415" t="s">
        <v>105</v>
      </c>
    </row>
    <row r="416" spans="1:1" x14ac:dyDescent="0.3">
      <c r="A416" t="s">
        <v>1240</v>
      </c>
    </row>
    <row r="417" spans="1:1" x14ac:dyDescent="0.3">
      <c r="A417" t="s">
        <v>1157</v>
      </c>
    </row>
    <row r="418" spans="1:1" x14ac:dyDescent="0.3">
      <c r="A418" t="s">
        <v>1241</v>
      </c>
    </row>
    <row r="419" spans="1:1" x14ac:dyDescent="0.3">
      <c r="A419" t="s">
        <v>12</v>
      </c>
    </row>
    <row r="420" spans="1:1" x14ac:dyDescent="0.3">
      <c r="A420" t="s">
        <v>13</v>
      </c>
    </row>
    <row r="421" spans="1:1" x14ac:dyDescent="0.3">
      <c r="A421" t="s">
        <v>106</v>
      </c>
    </row>
    <row r="422" spans="1:1" x14ac:dyDescent="0.3">
      <c r="A422" t="s">
        <v>1242</v>
      </c>
    </row>
    <row r="423" spans="1:1" x14ac:dyDescent="0.3">
      <c r="A423" t="s">
        <v>1157</v>
      </c>
    </row>
    <row r="424" spans="1:1" x14ac:dyDescent="0.3">
      <c r="A424" t="s">
        <v>1243</v>
      </c>
    </row>
    <row r="425" spans="1:1" x14ac:dyDescent="0.3">
      <c r="A425" t="s">
        <v>12</v>
      </c>
    </row>
    <row r="426" spans="1:1" x14ac:dyDescent="0.3">
      <c r="A426" t="s">
        <v>40</v>
      </c>
    </row>
    <row r="428" spans="1:1" x14ac:dyDescent="0.3">
      <c r="A428" t="s">
        <v>12</v>
      </c>
    </row>
    <row r="429" spans="1:1" x14ac:dyDescent="0.3">
      <c r="A429" t="s">
        <v>13</v>
      </c>
    </row>
    <row r="430" spans="1:1" x14ac:dyDescent="0.3">
      <c r="A430" t="s">
        <v>1244</v>
      </c>
    </row>
    <row r="431" spans="1:1" x14ac:dyDescent="0.3">
      <c r="A431" t="s">
        <v>1245</v>
      </c>
    </row>
    <row r="432" spans="1:1" x14ac:dyDescent="0.3">
      <c r="A432" t="s">
        <v>1246</v>
      </c>
    </row>
    <row r="433" spans="1:1" x14ac:dyDescent="0.3">
      <c r="A433" t="s">
        <v>1153</v>
      </c>
    </row>
    <row r="434" spans="1:1" x14ac:dyDescent="0.3">
      <c r="A434" t="s">
        <v>110</v>
      </c>
    </row>
    <row r="435" spans="1:1" x14ac:dyDescent="0.3">
      <c r="A435" t="s">
        <v>2825</v>
      </c>
    </row>
    <row r="436" spans="1:1" x14ac:dyDescent="0.3">
      <c r="A436" t="s">
        <v>1247</v>
      </c>
    </row>
    <row r="437" spans="1:1" x14ac:dyDescent="0.3">
      <c r="A437" t="s">
        <v>51</v>
      </c>
    </row>
    <row r="438" spans="1:1" x14ac:dyDescent="0.3">
      <c r="A438" t="s">
        <v>52</v>
      </c>
    </row>
    <row r="439" spans="1:1" x14ac:dyDescent="0.3">
      <c r="A439" t="s">
        <v>79</v>
      </c>
    </row>
    <row r="440" spans="1:1" x14ac:dyDescent="0.3">
      <c r="A440" t="s">
        <v>98</v>
      </c>
    </row>
    <row r="441" spans="1:1" x14ac:dyDescent="0.3">
      <c r="A441" t="s">
        <v>13</v>
      </c>
    </row>
    <row r="442" spans="1:1" x14ac:dyDescent="0.3">
      <c r="A442" t="s">
        <v>105</v>
      </c>
    </row>
    <row r="443" spans="1:1" x14ac:dyDescent="0.3">
      <c r="A443" t="s">
        <v>1248</v>
      </c>
    </row>
    <row r="444" spans="1:1" x14ac:dyDescent="0.3">
      <c r="A444" t="s">
        <v>1157</v>
      </c>
    </row>
    <row r="445" spans="1:1" x14ac:dyDescent="0.3">
      <c r="A445" t="s">
        <v>1249</v>
      </c>
    </row>
    <row r="446" spans="1:1" x14ac:dyDescent="0.3">
      <c r="A446" t="s">
        <v>12</v>
      </c>
    </row>
    <row r="447" spans="1:1" x14ac:dyDescent="0.3">
      <c r="A447" t="s">
        <v>13</v>
      </c>
    </row>
    <row r="448" spans="1:1" x14ac:dyDescent="0.3">
      <c r="A448" t="s">
        <v>106</v>
      </c>
    </row>
    <row r="449" spans="1:1" x14ac:dyDescent="0.3">
      <c r="A449" t="s">
        <v>1250</v>
      </c>
    </row>
    <row r="450" spans="1:1" x14ac:dyDescent="0.3">
      <c r="A450" t="s">
        <v>1157</v>
      </c>
    </row>
    <row r="451" spans="1:1" x14ac:dyDescent="0.3">
      <c r="A451" t="s">
        <v>1251</v>
      </c>
    </row>
    <row r="452" spans="1:1" x14ac:dyDescent="0.3">
      <c r="A452" t="s">
        <v>12</v>
      </c>
    </row>
    <row r="453" spans="1:1" x14ac:dyDescent="0.3">
      <c r="A453" t="s">
        <v>40</v>
      </c>
    </row>
    <row r="455" spans="1:1" x14ac:dyDescent="0.3">
      <c r="A455" t="s">
        <v>12</v>
      </c>
    </row>
    <row r="456" spans="1:1" x14ac:dyDescent="0.3">
      <c r="A456" t="s">
        <v>13</v>
      </c>
    </row>
    <row r="457" spans="1:1" x14ac:dyDescent="0.3">
      <c r="A457" t="s">
        <v>1252</v>
      </c>
    </row>
    <row r="458" spans="1:1" x14ac:dyDescent="0.3">
      <c r="A458" t="s">
        <v>1253</v>
      </c>
    </row>
    <row r="459" spans="1:1" x14ac:dyDescent="0.3">
      <c r="A459" t="s">
        <v>1254</v>
      </c>
    </row>
    <row r="460" spans="1:1" x14ac:dyDescent="0.3">
      <c r="A460" t="s">
        <v>1153</v>
      </c>
    </row>
    <row r="461" spans="1:1" x14ac:dyDescent="0.3">
      <c r="A461" t="s">
        <v>110</v>
      </c>
    </row>
    <row r="462" spans="1:1" x14ac:dyDescent="0.3">
      <c r="A462" t="s">
        <v>2826</v>
      </c>
    </row>
    <row r="463" spans="1:1" x14ac:dyDescent="0.3">
      <c r="A463" t="s">
        <v>1255</v>
      </c>
    </row>
    <row r="464" spans="1:1" x14ac:dyDescent="0.3">
      <c r="A464" t="s">
        <v>51</v>
      </c>
    </row>
    <row r="465" spans="1:1" x14ac:dyDescent="0.3">
      <c r="A465" t="s">
        <v>52</v>
      </c>
    </row>
    <row r="466" spans="1:1" x14ac:dyDescent="0.3">
      <c r="A466" t="s">
        <v>79</v>
      </c>
    </row>
    <row r="468" spans="1:1" x14ac:dyDescent="0.3">
      <c r="A468" t="s">
        <v>12</v>
      </c>
    </row>
    <row r="469" spans="1:1" x14ac:dyDescent="0.3">
      <c r="A469" t="s">
        <v>13</v>
      </c>
    </row>
    <row r="470" spans="1:1" x14ac:dyDescent="0.3">
      <c r="A470" t="s">
        <v>1256</v>
      </c>
    </row>
    <row r="471" spans="1:1" x14ac:dyDescent="0.3">
      <c r="A471" t="s">
        <v>1257</v>
      </c>
    </row>
    <row r="472" spans="1:1" x14ac:dyDescent="0.3">
      <c r="A472" t="s">
        <v>1258</v>
      </c>
    </row>
    <row r="473" spans="1:1" x14ac:dyDescent="0.3">
      <c r="A473" t="s">
        <v>1153</v>
      </c>
    </row>
    <row r="474" spans="1:1" x14ac:dyDescent="0.3">
      <c r="A474" t="s">
        <v>110</v>
      </c>
    </row>
    <row r="475" spans="1:1" x14ac:dyDescent="0.3">
      <c r="A475" t="s">
        <v>2827</v>
      </c>
    </row>
    <row r="476" spans="1:1" x14ac:dyDescent="0.3">
      <c r="A476" t="s">
        <v>1259</v>
      </c>
    </row>
    <row r="477" spans="1:1" x14ac:dyDescent="0.3">
      <c r="A477" t="s">
        <v>51</v>
      </c>
    </row>
    <row r="478" spans="1:1" x14ac:dyDescent="0.3">
      <c r="A478" t="s">
        <v>52</v>
      </c>
    </row>
    <row r="479" spans="1:1" x14ac:dyDescent="0.3">
      <c r="A479" t="s">
        <v>79</v>
      </c>
    </row>
    <row r="481" spans="1:1" x14ac:dyDescent="0.3">
      <c r="A481" t="s">
        <v>12</v>
      </c>
    </row>
    <row r="482" spans="1:1" x14ac:dyDescent="0.3">
      <c r="A482" t="s">
        <v>13</v>
      </c>
    </row>
    <row r="483" spans="1:1" x14ac:dyDescent="0.3">
      <c r="A483" t="s">
        <v>1260</v>
      </c>
    </row>
    <row r="484" spans="1:1" x14ac:dyDescent="0.3">
      <c r="A484" t="s">
        <v>1261</v>
      </c>
    </row>
    <row r="485" spans="1:1" x14ac:dyDescent="0.3">
      <c r="A485" t="s">
        <v>1262</v>
      </c>
    </row>
    <row r="486" spans="1:1" x14ac:dyDescent="0.3">
      <c r="A486" t="s">
        <v>1153</v>
      </c>
    </row>
    <row r="487" spans="1:1" x14ac:dyDescent="0.3">
      <c r="A487" t="s">
        <v>110</v>
      </c>
    </row>
    <row r="488" spans="1:1" x14ac:dyDescent="0.3">
      <c r="A488" t="s">
        <v>2828</v>
      </c>
    </row>
    <row r="489" spans="1:1" x14ac:dyDescent="0.3">
      <c r="A489" t="s">
        <v>1263</v>
      </c>
    </row>
    <row r="490" spans="1:1" x14ac:dyDescent="0.3">
      <c r="A490" t="s">
        <v>51</v>
      </c>
    </row>
    <row r="491" spans="1:1" x14ac:dyDescent="0.3">
      <c r="A491" t="s">
        <v>52</v>
      </c>
    </row>
    <row r="492" spans="1:1" x14ac:dyDescent="0.3">
      <c r="A492" t="s">
        <v>79</v>
      </c>
    </row>
    <row r="494" spans="1:1" x14ac:dyDescent="0.3">
      <c r="A494" t="s">
        <v>12</v>
      </c>
    </row>
    <row r="495" spans="1:1" x14ac:dyDescent="0.3">
      <c r="A495" t="s">
        <v>13</v>
      </c>
    </row>
    <row r="496" spans="1:1" x14ac:dyDescent="0.3">
      <c r="A496" t="s">
        <v>1264</v>
      </c>
    </row>
    <row r="497" spans="1:1" x14ac:dyDescent="0.3">
      <c r="A497" t="s">
        <v>1265</v>
      </c>
    </row>
    <row r="498" spans="1:1" x14ac:dyDescent="0.3">
      <c r="A498" t="s">
        <v>1266</v>
      </c>
    </row>
    <row r="499" spans="1:1" x14ac:dyDescent="0.3">
      <c r="A499" t="s">
        <v>1153</v>
      </c>
    </row>
    <row r="500" spans="1:1" x14ac:dyDescent="0.3">
      <c r="A500" t="s">
        <v>110</v>
      </c>
    </row>
    <row r="501" spans="1:1" x14ac:dyDescent="0.3">
      <c r="A501" t="s">
        <v>2829</v>
      </c>
    </row>
    <row r="502" spans="1:1" x14ac:dyDescent="0.3">
      <c r="A502" t="s">
        <v>1267</v>
      </c>
    </row>
    <row r="503" spans="1:1" x14ac:dyDescent="0.3">
      <c r="A503" t="s">
        <v>51</v>
      </c>
    </row>
    <row r="504" spans="1:1" x14ac:dyDescent="0.3">
      <c r="A504" t="s">
        <v>52</v>
      </c>
    </row>
    <row r="505" spans="1:1" x14ac:dyDescent="0.3">
      <c r="A505" t="s">
        <v>79</v>
      </c>
    </row>
    <row r="507" spans="1:1" x14ac:dyDescent="0.3">
      <c r="A507" t="s">
        <v>12</v>
      </c>
    </row>
    <row r="508" spans="1:1" x14ac:dyDescent="0.3">
      <c r="A508" t="s">
        <v>13</v>
      </c>
    </row>
    <row r="509" spans="1:1" x14ac:dyDescent="0.3">
      <c r="A509" t="s">
        <v>1268</v>
      </c>
    </row>
    <row r="510" spans="1:1" x14ac:dyDescent="0.3">
      <c r="A510" t="s">
        <v>1269</v>
      </c>
    </row>
    <row r="511" spans="1:1" x14ac:dyDescent="0.3">
      <c r="A511" t="s">
        <v>1270</v>
      </c>
    </row>
    <row r="512" spans="1:1" x14ac:dyDescent="0.3">
      <c r="A512" t="s">
        <v>1153</v>
      </c>
    </row>
    <row r="513" spans="1:1" x14ac:dyDescent="0.3">
      <c r="A513" t="s">
        <v>110</v>
      </c>
    </row>
    <row r="514" spans="1:1" x14ac:dyDescent="0.3">
      <c r="A514" t="s">
        <v>2830</v>
      </c>
    </row>
    <row r="515" spans="1:1" x14ac:dyDescent="0.3">
      <c r="A515" t="s">
        <v>1271</v>
      </c>
    </row>
    <row r="516" spans="1:1" x14ac:dyDescent="0.3">
      <c r="A516" t="s">
        <v>51</v>
      </c>
    </row>
    <row r="517" spans="1:1" x14ac:dyDescent="0.3">
      <c r="A517" t="s">
        <v>52</v>
      </c>
    </row>
    <row r="518" spans="1:1" x14ac:dyDescent="0.3">
      <c r="A518" t="s">
        <v>79</v>
      </c>
    </row>
    <row r="519" spans="1:1" x14ac:dyDescent="0.3">
      <c r="A519" t="s">
        <v>98</v>
      </c>
    </row>
    <row r="520" spans="1:1" x14ac:dyDescent="0.3">
      <c r="A520" t="s">
        <v>13</v>
      </c>
    </row>
    <row r="521" spans="1:1" x14ac:dyDescent="0.3">
      <c r="A521" t="s">
        <v>105</v>
      </c>
    </row>
    <row r="522" spans="1:1" x14ac:dyDescent="0.3">
      <c r="A522" t="s">
        <v>1272</v>
      </c>
    </row>
    <row r="523" spans="1:1" x14ac:dyDescent="0.3">
      <c r="A523" t="s">
        <v>1157</v>
      </c>
    </row>
    <row r="524" spans="1:1" x14ac:dyDescent="0.3">
      <c r="A524" t="s">
        <v>1273</v>
      </c>
    </row>
    <row r="525" spans="1:1" x14ac:dyDescent="0.3">
      <c r="A525" t="s">
        <v>12</v>
      </c>
    </row>
    <row r="526" spans="1:1" x14ac:dyDescent="0.3">
      <c r="A526" t="s">
        <v>13</v>
      </c>
    </row>
    <row r="527" spans="1:1" x14ac:dyDescent="0.3">
      <c r="A527" t="s">
        <v>106</v>
      </c>
    </row>
    <row r="528" spans="1:1" x14ac:dyDescent="0.3">
      <c r="A528" t="s">
        <v>1274</v>
      </c>
    </row>
    <row r="529" spans="1:1" x14ac:dyDescent="0.3">
      <c r="A529" t="s">
        <v>1157</v>
      </c>
    </row>
    <row r="530" spans="1:1" x14ac:dyDescent="0.3">
      <c r="A530" t="s">
        <v>1275</v>
      </c>
    </row>
    <row r="531" spans="1:1" x14ac:dyDescent="0.3">
      <c r="A531" t="s">
        <v>12</v>
      </c>
    </row>
    <row r="532" spans="1:1" x14ac:dyDescent="0.3">
      <c r="A532" t="s">
        <v>40</v>
      </c>
    </row>
    <row r="534" spans="1:1" x14ac:dyDescent="0.3">
      <c r="A534" t="s">
        <v>12</v>
      </c>
    </row>
    <row r="535" spans="1:1" x14ac:dyDescent="0.3">
      <c r="A535" t="s">
        <v>13</v>
      </c>
    </row>
    <row r="536" spans="1:1" x14ac:dyDescent="0.3">
      <c r="A536" t="s">
        <v>1276</v>
      </c>
    </row>
    <row r="537" spans="1:1" x14ac:dyDescent="0.3">
      <c r="A537" t="s">
        <v>1269</v>
      </c>
    </row>
    <row r="538" spans="1:1" x14ac:dyDescent="0.3">
      <c r="A538" t="s">
        <v>1277</v>
      </c>
    </row>
    <row r="539" spans="1:1" x14ac:dyDescent="0.3">
      <c r="A539" t="s">
        <v>1153</v>
      </c>
    </row>
    <row r="540" spans="1:1" x14ac:dyDescent="0.3">
      <c r="A540" t="s">
        <v>110</v>
      </c>
    </row>
    <row r="541" spans="1:1" x14ac:dyDescent="0.3">
      <c r="A541" t="s">
        <v>2830</v>
      </c>
    </row>
    <row r="542" spans="1:1" x14ac:dyDescent="0.3">
      <c r="A542" t="s">
        <v>1278</v>
      </c>
    </row>
    <row r="543" spans="1:1" x14ac:dyDescent="0.3">
      <c r="A543" t="s">
        <v>51</v>
      </c>
    </row>
    <row r="544" spans="1:1" x14ac:dyDescent="0.3">
      <c r="A544" t="s">
        <v>52</v>
      </c>
    </row>
    <row r="545" spans="1:1" x14ac:dyDescent="0.3">
      <c r="A545" t="s">
        <v>79</v>
      </c>
    </row>
    <row r="546" spans="1:1" x14ac:dyDescent="0.3">
      <c r="A546" t="s">
        <v>98</v>
      </c>
    </row>
    <row r="547" spans="1:1" x14ac:dyDescent="0.3">
      <c r="A547" t="s">
        <v>13</v>
      </c>
    </row>
    <row r="548" spans="1:1" x14ac:dyDescent="0.3">
      <c r="A548" t="s">
        <v>105</v>
      </c>
    </row>
    <row r="549" spans="1:1" x14ac:dyDescent="0.3">
      <c r="A549" t="s">
        <v>1272</v>
      </c>
    </row>
    <row r="550" spans="1:1" x14ac:dyDescent="0.3">
      <c r="A550" t="s">
        <v>1157</v>
      </c>
    </row>
    <row r="551" spans="1:1" x14ac:dyDescent="0.3">
      <c r="A551" t="s">
        <v>1273</v>
      </c>
    </row>
    <row r="552" spans="1:1" x14ac:dyDescent="0.3">
      <c r="A552" t="s">
        <v>12</v>
      </c>
    </row>
    <row r="553" spans="1:1" x14ac:dyDescent="0.3">
      <c r="A553" t="s">
        <v>13</v>
      </c>
    </row>
    <row r="554" spans="1:1" x14ac:dyDescent="0.3">
      <c r="A554" t="s">
        <v>106</v>
      </c>
    </row>
    <row r="555" spans="1:1" x14ac:dyDescent="0.3">
      <c r="A555" t="s">
        <v>1274</v>
      </c>
    </row>
    <row r="556" spans="1:1" x14ac:dyDescent="0.3">
      <c r="A556" t="s">
        <v>1157</v>
      </c>
    </row>
    <row r="557" spans="1:1" x14ac:dyDescent="0.3">
      <c r="A557" t="s">
        <v>1275</v>
      </c>
    </row>
    <row r="558" spans="1:1" x14ac:dyDescent="0.3">
      <c r="A558" t="s">
        <v>12</v>
      </c>
    </row>
    <row r="559" spans="1:1" x14ac:dyDescent="0.3">
      <c r="A559" t="s">
        <v>40</v>
      </c>
    </row>
    <row r="561" spans="1:1" x14ac:dyDescent="0.3">
      <c r="A561" t="s">
        <v>12</v>
      </c>
    </row>
    <row r="562" spans="1:1" x14ac:dyDescent="0.3">
      <c r="A562" t="s">
        <v>13</v>
      </c>
    </row>
    <row r="563" spans="1:1" x14ac:dyDescent="0.3">
      <c r="A563" t="s">
        <v>1279</v>
      </c>
    </row>
    <row r="564" spans="1:1" x14ac:dyDescent="0.3">
      <c r="A564" t="s">
        <v>1280</v>
      </c>
    </row>
    <row r="565" spans="1:1" x14ac:dyDescent="0.3">
      <c r="A565" t="s">
        <v>1281</v>
      </c>
    </row>
    <row r="566" spans="1:1" x14ac:dyDescent="0.3">
      <c r="A566" t="s">
        <v>1153</v>
      </c>
    </row>
    <row r="567" spans="1:1" x14ac:dyDescent="0.3">
      <c r="A567" t="s">
        <v>110</v>
      </c>
    </row>
    <row r="568" spans="1:1" x14ac:dyDescent="0.3">
      <c r="A568" t="s">
        <v>2831</v>
      </c>
    </row>
    <row r="569" spans="1:1" x14ac:dyDescent="0.3">
      <c r="A569" t="s">
        <v>1282</v>
      </c>
    </row>
    <row r="570" spans="1:1" x14ac:dyDescent="0.3">
      <c r="A570" t="s">
        <v>51</v>
      </c>
    </row>
    <row r="571" spans="1:1" x14ac:dyDescent="0.3">
      <c r="A571" t="s">
        <v>52</v>
      </c>
    </row>
    <row r="572" spans="1:1" x14ac:dyDescent="0.3">
      <c r="A572" t="s">
        <v>79</v>
      </c>
    </row>
    <row r="573" spans="1:1" x14ac:dyDescent="0.3">
      <c r="A573" t="s">
        <v>98</v>
      </c>
    </row>
    <row r="574" spans="1:1" x14ac:dyDescent="0.3">
      <c r="A574" t="s">
        <v>13</v>
      </c>
    </row>
    <row r="575" spans="1:1" x14ac:dyDescent="0.3">
      <c r="A575" t="s">
        <v>105</v>
      </c>
    </row>
    <row r="576" spans="1:1" x14ac:dyDescent="0.3">
      <c r="A576" t="s">
        <v>1283</v>
      </c>
    </row>
    <row r="577" spans="1:1" x14ac:dyDescent="0.3">
      <c r="A577" t="s">
        <v>1157</v>
      </c>
    </row>
    <row r="578" spans="1:1" x14ac:dyDescent="0.3">
      <c r="A578" t="s">
        <v>1284</v>
      </c>
    </row>
    <row r="579" spans="1:1" x14ac:dyDescent="0.3">
      <c r="A579" t="s">
        <v>12</v>
      </c>
    </row>
    <row r="580" spans="1:1" x14ac:dyDescent="0.3">
      <c r="A580" t="s">
        <v>13</v>
      </c>
    </row>
    <row r="581" spans="1:1" x14ac:dyDescent="0.3">
      <c r="A581" t="s">
        <v>106</v>
      </c>
    </row>
    <row r="582" spans="1:1" x14ac:dyDescent="0.3">
      <c r="A582" t="s">
        <v>1285</v>
      </c>
    </row>
    <row r="583" spans="1:1" x14ac:dyDescent="0.3">
      <c r="A583" t="s">
        <v>1157</v>
      </c>
    </row>
    <row r="584" spans="1:1" x14ac:dyDescent="0.3">
      <c r="A584" t="s">
        <v>1286</v>
      </c>
    </row>
    <row r="585" spans="1:1" x14ac:dyDescent="0.3">
      <c r="A585" t="s">
        <v>12</v>
      </c>
    </row>
    <row r="586" spans="1:1" x14ac:dyDescent="0.3">
      <c r="A586" t="s">
        <v>40</v>
      </c>
    </row>
    <row r="588" spans="1:1" x14ac:dyDescent="0.3">
      <c r="A588" t="s">
        <v>12</v>
      </c>
    </row>
    <row r="589" spans="1:1" x14ac:dyDescent="0.3">
      <c r="A589" t="s">
        <v>13</v>
      </c>
    </row>
    <row r="590" spans="1:1" x14ac:dyDescent="0.3">
      <c r="A590" t="s">
        <v>1287</v>
      </c>
    </row>
    <row r="591" spans="1:1" x14ac:dyDescent="0.3">
      <c r="A591" t="s">
        <v>1288</v>
      </c>
    </row>
    <row r="592" spans="1:1" x14ac:dyDescent="0.3">
      <c r="A592" t="s">
        <v>1289</v>
      </c>
    </row>
    <row r="593" spans="1:1" x14ac:dyDescent="0.3">
      <c r="A593" t="s">
        <v>1153</v>
      </c>
    </row>
    <row r="594" spans="1:1" x14ac:dyDescent="0.3">
      <c r="A594" t="s">
        <v>110</v>
      </c>
    </row>
    <row r="595" spans="1:1" x14ac:dyDescent="0.3">
      <c r="A595" t="s">
        <v>2832</v>
      </c>
    </row>
    <row r="596" spans="1:1" x14ac:dyDescent="0.3">
      <c r="A596" t="s">
        <v>1290</v>
      </c>
    </row>
    <row r="597" spans="1:1" x14ac:dyDescent="0.3">
      <c r="A597" t="s">
        <v>51</v>
      </c>
    </row>
    <row r="598" spans="1:1" x14ac:dyDescent="0.3">
      <c r="A598" t="s">
        <v>52</v>
      </c>
    </row>
    <row r="599" spans="1:1" x14ac:dyDescent="0.3">
      <c r="A599" t="s">
        <v>79</v>
      </c>
    </row>
    <row r="600" spans="1:1" x14ac:dyDescent="0.3">
      <c r="A600" t="s">
        <v>98</v>
      </c>
    </row>
    <row r="601" spans="1:1" x14ac:dyDescent="0.3">
      <c r="A601" t="s">
        <v>13</v>
      </c>
    </row>
    <row r="602" spans="1:1" x14ac:dyDescent="0.3">
      <c r="A602" t="s">
        <v>105</v>
      </c>
    </row>
    <row r="603" spans="1:1" x14ac:dyDescent="0.3">
      <c r="A603" t="s">
        <v>1291</v>
      </c>
    </row>
    <row r="604" spans="1:1" x14ac:dyDescent="0.3">
      <c r="A604" t="s">
        <v>1157</v>
      </c>
    </row>
    <row r="605" spans="1:1" x14ac:dyDescent="0.3">
      <c r="A605" t="s">
        <v>1292</v>
      </c>
    </row>
    <row r="606" spans="1:1" x14ac:dyDescent="0.3">
      <c r="A606" t="s">
        <v>12</v>
      </c>
    </row>
    <row r="607" spans="1:1" x14ac:dyDescent="0.3">
      <c r="A607" t="s">
        <v>13</v>
      </c>
    </row>
    <row r="608" spans="1:1" x14ac:dyDescent="0.3">
      <c r="A608" t="s">
        <v>106</v>
      </c>
    </row>
    <row r="609" spans="1:1" x14ac:dyDescent="0.3">
      <c r="A609" t="s">
        <v>1293</v>
      </c>
    </row>
    <row r="610" spans="1:1" x14ac:dyDescent="0.3">
      <c r="A610" t="s">
        <v>1157</v>
      </c>
    </row>
    <row r="611" spans="1:1" x14ac:dyDescent="0.3">
      <c r="A611" t="s">
        <v>1294</v>
      </c>
    </row>
    <row r="612" spans="1:1" x14ac:dyDescent="0.3">
      <c r="A612" t="s">
        <v>12</v>
      </c>
    </row>
    <row r="613" spans="1:1" x14ac:dyDescent="0.3">
      <c r="A613" t="s">
        <v>40</v>
      </c>
    </row>
    <row r="615" spans="1:1" x14ac:dyDescent="0.3">
      <c r="A615" t="s">
        <v>12</v>
      </c>
    </row>
    <row r="616" spans="1:1" x14ac:dyDescent="0.3">
      <c r="A616" t="s">
        <v>13</v>
      </c>
    </row>
    <row r="617" spans="1:1" x14ac:dyDescent="0.3">
      <c r="A617" t="s">
        <v>1295</v>
      </c>
    </row>
    <row r="618" spans="1:1" x14ac:dyDescent="0.3">
      <c r="A618" t="s">
        <v>1288</v>
      </c>
    </row>
    <row r="619" spans="1:1" x14ac:dyDescent="0.3">
      <c r="A619" t="s">
        <v>1296</v>
      </c>
    </row>
    <row r="620" spans="1:1" x14ac:dyDescent="0.3">
      <c r="A620" t="s">
        <v>1153</v>
      </c>
    </row>
    <row r="621" spans="1:1" x14ac:dyDescent="0.3">
      <c r="A621" t="s">
        <v>110</v>
      </c>
    </row>
    <row r="622" spans="1:1" x14ac:dyDescent="0.3">
      <c r="A622" t="s">
        <v>2832</v>
      </c>
    </row>
    <row r="623" spans="1:1" x14ac:dyDescent="0.3">
      <c r="A623" t="s">
        <v>1297</v>
      </c>
    </row>
    <row r="624" spans="1:1" x14ac:dyDescent="0.3">
      <c r="A624" t="s">
        <v>51</v>
      </c>
    </row>
    <row r="625" spans="1:1" x14ac:dyDescent="0.3">
      <c r="A625" t="s">
        <v>52</v>
      </c>
    </row>
    <row r="626" spans="1:1" x14ac:dyDescent="0.3">
      <c r="A626" t="s">
        <v>79</v>
      </c>
    </row>
    <row r="627" spans="1:1" x14ac:dyDescent="0.3">
      <c r="A627" t="s">
        <v>98</v>
      </c>
    </row>
    <row r="628" spans="1:1" x14ac:dyDescent="0.3">
      <c r="A628" t="s">
        <v>13</v>
      </c>
    </row>
    <row r="629" spans="1:1" x14ac:dyDescent="0.3">
      <c r="A629" t="s">
        <v>105</v>
      </c>
    </row>
    <row r="630" spans="1:1" x14ac:dyDescent="0.3">
      <c r="A630" t="s">
        <v>1291</v>
      </c>
    </row>
    <row r="631" spans="1:1" x14ac:dyDescent="0.3">
      <c r="A631" t="s">
        <v>1157</v>
      </c>
    </row>
    <row r="632" spans="1:1" x14ac:dyDescent="0.3">
      <c r="A632" t="s">
        <v>1292</v>
      </c>
    </row>
    <row r="633" spans="1:1" x14ac:dyDescent="0.3">
      <c r="A633" t="s">
        <v>12</v>
      </c>
    </row>
    <row r="634" spans="1:1" x14ac:dyDescent="0.3">
      <c r="A634" t="s">
        <v>13</v>
      </c>
    </row>
    <row r="635" spans="1:1" x14ac:dyDescent="0.3">
      <c r="A635" t="s">
        <v>106</v>
      </c>
    </row>
    <row r="636" spans="1:1" x14ac:dyDescent="0.3">
      <c r="A636" t="s">
        <v>1293</v>
      </c>
    </row>
    <row r="637" spans="1:1" x14ac:dyDescent="0.3">
      <c r="A637" t="s">
        <v>1157</v>
      </c>
    </row>
    <row r="638" spans="1:1" x14ac:dyDescent="0.3">
      <c r="A638" t="s">
        <v>1294</v>
      </c>
    </row>
    <row r="639" spans="1:1" x14ac:dyDescent="0.3">
      <c r="A639" t="s">
        <v>12</v>
      </c>
    </row>
    <row r="640" spans="1:1" x14ac:dyDescent="0.3">
      <c r="A640" t="s">
        <v>40</v>
      </c>
    </row>
    <row r="642" spans="1:1" x14ac:dyDescent="0.3">
      <c r="A642" t="s">
        <v>12</v>
      </c>
    </row>
    <row r="643" spans="1:1" x14ac:dyDescent="0.3">
      <c r="A643" t="s">
        <v>13</v>
      </c>
    </row>
    <row r="644" spans="1:1" x14ac:dyDescent="0.3">
      <c r="A644" t="s">
        <v>1298</v>
      </c>
    </row>
    <row r="645" spans="1:1" x14ac:dyDescent="0.3">
      <c r="A645" t="s">
        <v>1299</v>
      </c>
    </row>
    <row r="646" spans="1:1" x14ac:dyDescent="0.3">
      <c r="A646" t="s">
        <v>1300</v>
      </c>
    </row>
    <row r="647" spans="1:1" x14ac:dyDescent="0.3">
      <c r="A647" t="s">
        <v>1153</v>
      </c>
    </row>
    <row r="648" spans="1:1" x14ac:dyDescent="0.3">
      <c r="A648" t="s">
        <v>110</v>
      </c>
    </row>
    <row r="649" spans="1:1" x14ac:dyDescent="0.3">
      <c r="A649" t="s">
        <v>2833</v>
      </c>
    </row>
    <row r="650" spans="1:1" x14ac:dyDescent="0.3">
      <c r="A650" t="s">
        <v>1301</v>
      </c>
    </row>
    <row r="651" spans="1:1" x14ac:dyDescent="0.3">
      <c r="A651" t="s">
        <v>51</v>
      </c>
    </row>
    <row r="652" spans="1:1" x14ac:dyDescent="0.3">
      <c r="A652" t="s">
        <v>52</v>
      </c>
    </row>
    <row r="653" spans="1:1" x14ac:dyDescent="0.3">
      <c r="A653" t="s">
        <v>79</v>
      </c>
    </row>
    <row r="654" spans="1:1" x14ac:dyDescent="0.3">
      <c r="A654" t="s">
        <v>98</v>
      </c>
    </row>
    <row r="655" spans="1:1" x14ac:dyDescent="0.3">
      <c r="A655" t="s">
        <v>13</v>
      </c>
    </row>
    <row r="656" spans="1:1" x14ac:dyDescent="0.3">
      <c r="A656" t="s">
        <v>105</v>
      </c>
    </row>
    <row r="657" spans="1:1" x14ac:dyDescent="0.3">
      <c r="A657" t="s">
        <v>1302</v>
      </c>
    </row>
    <row r="658" spans="1:1" x14ac:dyDescent="0.3">
      <c r="A658" t="s">
        <v>1157</v>
      </c>
    </row>
    <row r="659" spans="1:1" x14ac:dyDescent="0.3">
      <c r="A659" t="s">
        <v>1303</v>
      </c>
    </row>
    <row r="660" spans="1:1" x14ac:dyDescent="0.3">
      <c r="A660" t="s">
        <v>12</v>
      </c>
    </row>
    <row r="661" spans="1:1" x14ac:dyDescent="0.3">
      <c r="A661" t="s">
        <v>13</v>
      </c>
    </row>
    <row r="662" spans="1:1" x14ac:dyDescent="0.3">
      <c r="A662" t="s">
        <v>106</v>
      </c>
    </row>
    <row r="663" spans="1:1" x14ac:dyDescent="0.3">
      <c r="A663" t="s">
        <v>1304</v>
      </c>
    </row>
    <row r="664" spans="1:1" x14ac:dyDescent="0.3">
      <c r="A664" t="s">
        <v>1157</v>
      </c>
    </row>
    <row r="665" spans="1:1" x14ac:dyDescent="0.3">
      <c r="A665" t="s">
        <v>1305</v>
      </c>
    </row>
    <row r="666" spans="1:1" x14ac:dyDescent="0.3">
      <c r="A666" t="s">
        <v>12</v>
      </c>
    </row>
    <row r="667" spans="1:1" x14ac:dyDescent="0.3">
      <c r="A667" t="s">
        <v>40</v>
      </c>
    </row>
    <row r="669" spans="1:1" x14ac:dyDescent="0.3">
      <c r="A669" t="s">
        <v>12</v>
      </c>
    </row>
    <row r="670" spans="1:1" x14ac:dyDescent="0.3">
      <c r="A670" t="s">
        <v>13</v>
      </c>
    </row>
    <row r="671" spans="1:1" x14ac:dyDescent="0.3">
      <c r="A671" t="s">
        <v>1306</v>
      </c>
    </row>
    <row r="672" spans="1:1" x14ac:dyDescent="0.3">
      <c r="A672" t="s">
        <v>1307</v>
      </c>
    </row>
    <row r="673" spans="1:1" x14ac:dyDescent="0.3">
      <c r="A673" t="s">
        <v>1308</v>
      </c>
    </row>
    <row r="674" spans="1:1" x14ac:dyDescent="0.3">
      <c r="A674" t="s">
        <v>1153</v>
      </c>
    </row>
    <row r="675" spans="1:1" x14ac:dyDescent="0.3">
      <c r="A675" t="s">
        <v>110</v>
      </c>
    </row>
    <row r="676" spans="1:1" x14ac:dyDescent="0.3">
      <c r="A676" t="s">
        <v>2834</v>
      </c>
    </row>
    <row r="677" spans="1:1" x14ac:dyDescent="0.3">
      <c r="A677" t="s">
        <v>1309</v>
      </c>
    </row>
    <row r="678" spans="1:1" x14ac:dyDescent="0.3">
      <c r="A678" t="s">
        <v>51</v>
      </c>
    </row>
    <row r="679" spans="1:1" x14ac:dyDescent="0.3">
      <c r="A679" t="s">
        <v>52</v>
      </c>
    </row>
    <row r="680" spans="1:1" x14ac:dyDescent="0.3">
      <c r="A680" t="s">
        <v>79</v>
      </c>
    </row>
    <row r="681" spans="1:1" x14ac:dyDescent="0.3">
      <c r="A681" t="s">
        <v>98</v>
      </c>
    </row>
    <row r="682" spans="1:1" x14ac:dyDescent="0.3">
      <c r="A682" t="s">
        <v>13</v>
      </c>
    </row>
    <row r="683" spans="1:1" x14ac:dyDescent="0.3">
      <c r="A683" t="s">
        <v>105</v>
      </c>
    </row>
    <row r="684" spans="1:1" x14ac:dyDescent="0.3">
      <c r="A684" t="s">
        <v>1310</v>
      </c>
    </row>
    <row r="685" spans="1:1" x14ac:dyDescent="0.3">
      <c r="A685" t="s">
        <v>1157</v>
      </c>
    </row>
    <row r="686" spans="1:1" x14ac:dyDescent="0.3">
      <c r="A686" t="s">
        <v>1311</v>
      </c>
    </row>
    <row r="687" spans="1:1" x14ac:dyDescent="0.3">
      <c r="A687" t="s">
        <v>12</v>
      </c>
    </row>
    <row r="688" spans="1:1" x14ac:dyDescent="0.3">
      <c r="A688" t="s">
        <v>13</v>
      </c>
    </row>
    <row r="689" spans="1:1" x14ac:dyDescent="0.3">
      <c r="A689" t="s">
        <v>106</v>
      </c>
    </row>
    <row r="690" spans="1:1" x14ac:dyDescent="0.3">
      <c r="A690" t="s">
        <v>1312</v>
      </c>
    </row>
    <row r="691" spans="1:1" x14ac:dyDescent="0.3">
      <c r="A691" t="s">
        <v>1157</v>
      </c>
    </row>
    <row r="692" spans="1:1" x14ac:dyDescent="0.3">
      <c r="A692" t="s">
        <v>1313</v>
      </c>
    </row>
    <row r="693" spans="1:1" x14ac:dyDescent="0.3">
      <c r="A693" t="s">
        <v>12</v>
      </c>
    </row>
    <row r="694" spans="1:1" x14ac:dyDescent="0.3">
      <c r="A694" t="s">
        <v>40</v>
      </c>
    </row>
    <row r="696" spans="1:1" x14ac:dyDescent="0.3">
      <c r="A696" t="s">
        <v>12</v>
      </c>
    </row>
    <row r="697" spans="1:1" x14ac:dyDescent="0.3">
      <c r="A697" t="s">
        <v>13</v>
      </c>
    </row>
    <row r="698" spans="1:1" x14ac:dyDescent="0.3">
      <c r="A698" t="s">
        <v>1314</v>
      </c>
    </row>
    <row r="699" spans="1:1" x14ac:dyDescent="0.3">
      <c r="A699" t="s">
        <v>1315</v>
      </c>
    </row>
    <row r="700" spans="1:1" x14ac:dyDescent="0.3">
      <c r="A700" t="s">
        <v>1316</v>
      </c>
    </row>
    <row r="701" spans="1:1" x14ac:dyDescent="0.3">
      <c r="A701" t="s">
        <v>1153</v>
      </c>
    </row>
    <row r="702" spans="1:1" x14ac:dyDescent="0.3">
      <c r="A702" t="s">
        <v>110</v>
      </c>
    </row>
    <row r="703" spans="1:1" x14ac:dyDescent="0.3">
      <c r="A703" t="s">
        <v>1154</v>
      </c>
    </row>
    <row r="704" spans="1:1" x14ac:dyDescent="0.3">
      <c r="A704" t="s">
        <v>1317</v>
      </c>
    </row>
    <row r="705" spans="1:1" x14ac:dyDescent="0.3">
      <c r="A705" t="s">
        <v>51</v>
      </c>
    </row>
    <row r="706" spans="1:1" x14ac:dyDescent="0.3">
      <c r="A706" t="s">
        <v>52</v>
      </c>
    </row>
    <row r="707" spans="1:1" x14ac:dyDescent="0.3">
      <c r="A707" t="s">
        <v>79</v>
      </c>
    </row>
    <row r="708" spans="1:1" x14ac:dyDescent="0.3">
      <c r="A708" t="s">
        <v>98</v>
      </c>
    </row>
    <row r="709" spans="1:1" x14ac:dyDescent="0.3">
      <c r="A709" t="s">
        <v>13</v>
      </c>
    </row>
    <row r="710" spans="1:1" x14ac:dyDescent="0.3">
      <c r="A710" t="s">
        <v>105</v>
      </c>
    </row>
    <row r="711" spans="1:1" x14ac:dyDescent="0.3">
      <c r="A711" t="s">
        <v>1318</v>
      </c>
    </row>
    <row r="712" spans="1:1" x14ac:dyDescent="0.3">
      <c r="A712" t="s">
        <v>1157</v>
      </c>
    </row>
    <row r="713" spans="1:1" x14ac:dyDescent="0.3">
      <c r="A713" t="s">
        <v>1319</v>
      </c>
    </row>
    <row r="714" spans="1:1" x14ac:dyDescent="0.3">
      <c r="A714" t="s">
        <v>12</v>
      </c>
    </row>
    <row r="715" spans="1:1" x14ac:dyDescent="0.3">
      <c r="A715" t="s">
        <v>13</v>
      </c>
    </row>
    <row r="716" spans="1:1" x14ac:dyDescent="0.3">
      <c r="A716" t="s">
        <v>106</v>
      </c>
    </row>
    <row r="717" spans="1:1" x14ac:dyDescent="0.3">
      <c r="A717" t="s">
        <v>1320</v>
      </c>
    </row>
    <row r="718" spans="1:1" x14ac:dyDescent="0.3">
      <c r="A718" t="s">
        <v>1157</v>
      </c>
    </row>
    <row r="719" spans="1:1" x14ac:dyDescent="0.3">
      <c r="A719" t="s">
        <v>1321</v>
      </c>
    </row>
    <row r="720" spans="1:1" x14ac:dyDescent="0.3">
      <c r="A720" t="s">
        <v>12</v>
      </c>
    </row>
    <row r="721" spans="1:1" x14ac:dyDescent="0.3">
      <c r="A721" t="s">
        <v>40</v>
      </c>
    </row>
    <row r="723" spans="1:1" x14ac:dyDescent="0.3">
      <c r="A723" t="s">
        <v>12</v>
      </c>
    </row>
    <row r="724" spans="1:1" x14ac:dyDescent="0.3">
      <c r="A724" t="s">
        <v>13</v>
      </c>
    </row>
    <row r="725" spans="1:1" x14ac:dyDescent="0.3">
      <c r="A725" t="s">
        <v>1322</v>
      </c>
    </row>
    <row r="726" spans="1:1" x14ac:dyDescent="0.3">
      <c r="A726" t="s">
        <v>1323</v>
      </c>
    </row>
    <row r="727" spans="1:1" x14ac:dyDescent="0.3">
      <c r="A727" t="s">
        <v>1324</v>
      </c>
    </row>
    <row r="728" spans="1:1" x14ac:dyDescent="0.3">
      <c r="A728" t="s">
        <v>1153</v>
      </c>
    </row>
    <row r="729" spans="1:1" x14ac:dyDescent="0.3">
      <c r="A729" t="s">
        <v>110</v>
      </c>
    </row>
    <row r="730" spans="1:1" x14ac:dyDescent="0.3">
      <c r="A730" t="s">
        <v>2835</v>
      </c>
    </row>
    <row r="731" spans="1:1" x14ac:dyDescent="0.3">
      <c r="A731" t="s">
        <v>1325</v>
      </c>
    </row>
    <row r="732" spans="1:1" x14ac:dyDescent="0.3">
      <c r="A732" t="s">
        <v>51</v>
      </c>
    </row>
    <row r="733" spans="1:1" x14ac:dyDescent="0.3">
      <c r="A733" t="s">
        <v>52</v>
      </c>
    </row>
    <row r="734" spans="1:1" x14ac:dyDescent="0.3">
      <c r="A734" t="s">
        <v>79</v>
      </c>
    </row>
    <row r="735" spans="1:1" x14ac:dyDescent="0.3">
      <c r="A735" t="s">
        <v>98</v>
      </c>
    </row>
    <row r="736" spans="1:1" x14ac:dyDescent="0.3">
      <c r="A736" t="s">
        <v>13</v>
      </c>
    </row>
    <row r="737" spans="1:1" x14ac:dyDescent="0.3">
      <c r="A737" t="s">
        <v>106</v>
      </c>
    </row>
    <row r="738" spans="1:1" x14ac:dyDescent="0.3">
      <c r="A738" t="s">
        <v>1326</v>
      </c>
    </row>
    <row r="739" spans="1:1" x14ac:dyDescent="0.3">
      <c r="A739" t="s">
        <v>1157</v>
      </c>
    </row>
    <row r="740" spans="1:1" x14ac:dyDescent="0.3">
      <c r="A740" t="s">
        <v>1327</v>
      </c>
    </row>
    <row r="741" spans="1:1" x14ac:dyDescent="0.3">
      <c r="A741" t="s">
        <v>12</v>
      </c>
    </row>
    <row r="742" spans="1:1" x14ac:dyDescent="0.3">
      <c r="A742" t="s">
        <v>40</v>
      </c>
    </row>
    <row r="744" spans="1:1" x14ac:dyDescent="0.3">
      <c r="A744" t="s">
        <v>12</v>
      </c>
    </row>
    <row r="745" spans="1:1" x14ac:dyDescent="0.3">
      <c r="A745" t="s">
        <v>13</v>
      </c>
    </row>
    <row r="746" spans="1:1" x14ac:dyDescent="0.3">
      <c r="A746" t="s">
        <v>1328</v>
      </c>
    </row>
    <row r="747" spans="1:1" x14ac:dyDescent="0.3">
      <c r="A747" t="s">
        <v>1329</v>
      </c>
    </row>
    <row r="748" spans="1:1" x14ac:dyDescent="0.3">
      <c r="A748" t="s">
        <v>1330</v>
      </c>
    </row>
    <row r="749" spans="1:1" x14ac:dyDescent="0.3">
      <c r="A749" t="s">
        <v>1153</v>
      </c>
    </row>
    <row r="750" spans="1:1" x14ac:dyDescent="0.3">
      <c r="A750" t="s">
        <v>110</v>
      </c>
    </row>
    <row r="751" spans="1:1" x14ac:dyDescent="0.3">
      <c r="A751" t="s">
        <v>2836</v>
      </c>
    </row>
    <row r="752" spans="1:1" x14ac:dyDescent="0.3">
      <c r="A752" t="s">
        <v>1331</v>
      </c>
    </row>
    <row r="753" spans="1:1" x14ac:dyDescent="0.3">
      <c r="A753" t="s">
        <v>51</v>
      </c>
    </row>
    <row r="754" spans="1:1" x14ac:dyDescent="0.3">
      <c r="A754" t="s">
        <v>52</v>
      </c>
    </row>
    <row r="755" spans="1:1" x14ac:dyDescent="0.3">
      <c r="A755" t="s">
        <v>79</v>
      </c>
    </row>
    <row r="757" spans="1:1" x14ac:dyDescent="0.3">
      <c r="A757" t="s">
        <v>12</v>
      </c>
    </row>
    <row r="758" spans="1:1" x14ac:dyDescent="0.3">
      <c r="A758" t="s">
        <v>13</v>
      </c>
    </row>
    <row r="759" spans="1:1" x14ac:dyDescent="0.3">
      <c r="A759" t="s">
        <v>1332</v>
      </c>
    </row>
    <row r="760" spans="1:1" x14ac:dyDescent="0.3">
      <c r="A760" t="s">
        <v>1333</v>
      </c>
    </row>
    <row r="761" spans="1:1" x14ac:dyDescent="0.3">
      <c r="A761" t="s">
        <v>1334</v>
      </c>
    </row>
    <row r="762" spans="1:1" x14ac:dyDescent="0.3">
      <c r="A762" t="s">
        <v>1153</v>
      </c>
    </row>
    <row r="763" spans="1:1" x14ac:dyDescent="0.3">
      <c r="A763" t="s">
        <v>110</v>
      </c>
    </row>
    <row r="764" spans="1:1" x14ac:dyDescent="0.3">
      <c r="A764" t="s">
        <v>2837</v>
      </c>
    </row>
    <row r="765" spans="1:1" x14ac:dyDescent="0.3">
      <c r="A765" t="s">
        <v>1335</v>
      </c>
    </row>
    <row r="766" spans="1:1" x14ac:dyDescent="0.3">
      <c r="A766" t="s">
        <v>51</v>
      </c>
    </row>
    <row r="767" spans="1:1" x14ac:dyDescent="0.3">
      <c r="A767" t="s">
        <v>52</v>
      </c>
    </row>
    <row r="768" spans="1:1" x14ac:dyDescent="0.3">
      <c r="A768" t="s">
        <v>79</v>
      </c>
    </row>
    <row r="770" spans="1:1" x14ac:dyDescent="0.3">
      <c r="A770" t="s">
        <v>12</v>
      </c>
    </row>
    <row r="771" spans="1:1" x14ac:dyDescent="0.3">
      <c r="A771" t="s">
        <v>13</v>
      </c>
    </row>
    <row r="772" spans="1:1" x14ac:dyDescent="0.3">
      <c r="A772" t="s">
        <v>1336</v>
      </c>
    </row>
    <row r="773" spans="1:1" x14ac:dyDescent="0.3">
      <c r="A773" t="s">
        <v>1337</v>
      </c>
    </row>
    <row r="774" spans="1:1" x14ac:dyDescent="0.3">
      <c r="A774" t="s">
        <v>1338</v>
      </c>
    </row>
    <row r="775" spans="1:1" x14ac:dyDescent="0.3">
      <c r="A775" t="s">
        <v>1153</v>
      </c>
    </row>
    <row r="776" spans="1:1" x14ac:dyDescent="0.3">
      <c r="A776" t="s">
        <v>110</v>
      </c>
    </row>
    <row r="777" spans="1:1" x14ac:dyDescent="0.3">
      <c r="A777" t="s">
        <v>2838</v>
      </c>
    </row>
    <row r="778" spans="1:1" x14ac:dyDescent="0.3">
      <c r="A778" t="s">
        <v>1339</v>
      </c>
    </row>
    <row r="779" spans="1:1" x14ac:dyDescent="0.3">
      <c r="A779" t="s">
        <v>51</v>
      </c>
    </row>
    <row r="780" spans="1:1" x14ac:dyDescent="0.3">
      <c r="A780" t="s">
        <v>52</v>
      </c>
    </row>
    <row r="781" spans="1:1" x14ac:dyDescent="0.3">
      <c r="A781" t="s">
        <v>79</v>
      </c>
    </row>
    <row r="783" spans="1:1" x14ac:dyDescent="0.3">
      <c r="A783" t="s">
        <v>12</v>
      </c>
    </row>
    <row r="784" spans="1:1" x14ac:dyDescent="0.3">
      <c r="A784" t="s">
        <v>13</v>
      </c>
    </row>
    <row r="785" spans="1:1" x14ac:dyDescent="0.3">
      <c r="A785" t="s">
        <v>1340</v>
      </c>
    </row>
    <row r="786" spans="1:1" x14ac:dyDescent="0.3">
      <c r="A786" t="s">
        <v>1329</v>
      </c>
    </row>
    <row r="787" spans="1:1" x14ac:dyDescent="0.3">
      <c r="A787" t="s">
        <v>1341</v>
      </c>
    </row>
    <row r="788" spans="1:1" x14ac:dyDescent="0.3">
      <c r="A788" t="s">
        <v>1153</v>
      </c>
    </row>
    <row r="789" spans="1:1" x14ac:dyDescent="0.3">
      <c r="A789" t="s">
        <v>110</v>
      </c>
    </row>
    <row r="790" spans="1:1" x14ac:dyDescent="0.3">
      <c r="A790" t="s">
        <v>2836</v>
      </c>
    </row>
    <row r="791" spans="1:1" x14ac:dyDescent="0.3">
      <c r="A791" t="s">
        <v>1342</v>
      </c>
    </row>
    <row r="792" spans="1:1" x14ac:dyDescent="0.3">
      <c r="A792" t="s">
        <v>51</v>
      </c>
    </row>
    <row r="793" spans="1:1" x14ac:dyDescent="0.3">
      <c r="A793" t="s">
        <v>52</v>
      </c>
    </row>
    <row r="794" spans="1:1" x14ac:dyDescent="0.3">
      <c r="A794" t="s">
        <v>79</v>
      </c>
    </row>
    <row r="796" spans="1:1" x14ac:dyDescent="0.3">
      <c r="A796" t="s">
        <v>12</v>
      </c>
    </row>
    <row r="797" spans="1:1" x14ac:dyDescent="0.3">
      <c r="A797" t="s">
        <v>13</v>
      </c>
    </row>
    <row r="798" spans="1:1" x14ac:dyDescent="0.3">
      <c r="A798" t="s">
        <v>1343</v>
      </c>
    </row>
    <row r="799" spans="1:1" x14ac:dyDescent="0.3">
      <c r="A799" t="s">
        <v>1344</v>
      </c>
    </row>
    <row r="800" spans="1:1" x14ac:dyDescent="0.3">
      <c r="A800" t="s">
        <v>1345</v>
      </c>
    </row>
    <row r="801" spans="1:1" x14ac:dyDescent="0.3">
      <c r="A801" t="s">
        <v>1153</v>
      </c>
    </row>
    <row r="802" spans="1:1" x14ac:dyDescent="0.3">
      <c r="A802" t="s">
        <v>110</v>
      </c>
    </row>
    <row r="803" spans="1:1" x14ac:dyDescent="0.3">
      <c r="A803" t="s">
        <v>2839</v>
      </c>
    </row>
    <row r="804" spans="1:1" x14ac:dyDescent="0.3">
      <c r="A804" t="s">
        <v>1346</v>
      </c>
    </row>
    <row r="805" spans="1:1" x14ac:dyDescent="0.3">
      <c r="A805" t="s">
        <v>51</v>
      </c>
    </row>
    <row r="806" spans="1:1" x14ac:dyDescent="0.3">
      <c r="A806" t="s">
        <v>52</v>
      </c>
    </row>
    <row r="807" spans="1:1" x14ac:dyDescent="0.3">
      <c r="A807" t="s">
        <v>79</v>
      </c>
    </row>
    <row r="808" spans="1:1" x14ac:dyDescent="0.3">
      <c r="A808" t="s">
        <v>98</v>
      </c>
    </row>
    <row r="809" spans="1:1" x14ac:dyDescent="0.3">
      <c r="A809" t="s">
        <v>13</v>
      </c>
    </row>
    <row r="810" spans="1:1" x14ac:dyDescent="0.3">
      <c r="A810" t="s">
        <v>105</v>
      </c>
    </row>
    <row r="811" spans="1:1" x14ac:dyDescent="0.3">
      <c r="A811" t="s">
        <v>1347</v>
      </c>
    </row>
    <row r="812" spans="1:1" x14ac:dyDescent="0.3">
      <c r="A812" t="s">
        <v>1157</v>
      </c>
    </row>
    <row r="813" spans="1:1" x14ac:dyDescent="0.3">
      <c r="A813" t="s">
        <v>1348</v>
      </c>
    </row>
    <row r="814" spans="1:1" x14ac:dyDescent="0.3">
      <c r="A814" t="s">
        <v>12</v>
      </c>
    </row>
    <row r="815" spans="1:1" x14ac:dyDescent="0.3">
      <c r="A815" t="s">
        <v>13</v>
      </c>
    </row>
    <row r="816" spans="1:1" x14ac:dyDescent="0.3">
      <c r="A816" t="s">
        <v>106</v>
      </c>
    </row>
    <row r="817" spans="1:1" x14ac:dyDescent="0.3">
      <c r="A817" t="s">
        <v>1349</v>
      </c>
    </row>
    <row r="818" spans="1:1" x14ac:dyDescent="0.3">
      <c r="A818" t="s">
        <v>1157</v>
      </c>
    </row>
    <row r="819" spans="1:1" x14ac:dyDescent="0.3">
      <c r="A819" t="s">
        <v>1350</v>
      </c>
    </row>
    <row r="820" spans="1:1" x14ac:dyDescent="0.3">
      <c r="A820" t="s">
        <v>12</v>
      </c>
    </row>
    <row r="821" spans="1:1" x14ac:dyDescent="0.3">
      <c r="A821" t="s">
        <v>40</v>
      </c>
    </row>
    <row r="823" spans="1:1" x14ac:dyDescent="0.3">
      <c r="A823" t="s">
        <v>12</v>
      </c>
    </row>
    <row r="824" spans="1:1" x14ac:dyDescent="0.3">
      <c r="A824" t="s">
        <v>13</v>
      </c>
    </row>
    <row r="825" spans="1:1" x14ac:dyDescent="0.3">
      <c r="A825" t="s">
        <v>1351</v>
      </c>
    </row>
    <row r="826" spans="1:1" x14ac:dyDescent="0.3">
      <c r="A826" t="s">
        <v>1352</v>
      </c>
    </row>
    <row r="827" spans="1:1" x14ac:dyDescent="0.3">
      <c r="A827" t="s">
        <v>1353</v>
      </c>
    </row>
    <row r="828" spans="1:1" x14ac:dyDescent="0.3">
      <c r="A828" t="s">
        <v>1153</v>
      </c>
    </row>
    <row r="829" spans="1:1" x14ac:dyDescent="0.3">
      <c r="A829" t="s">
        <v>110</v>
      </c>
    </row>
    <row r="830" spans="1:1" x14ac:dyDescent="0.3">
      <c r="A830" t="s">
        <v>2840</v>
      </c>
    </row>
    <row r="831" spans="1:1" x14ac:dyDescent="0.3">
      <c r="A831" t="s">
        <v>1354</v>
      </c>
    </row>
    <row r="832" spans="1:1" x14ac:dyDescent="0.3">
      <c r="A832" t="s">
        <v>51</v>
      </c>
    </row>
    <row r="833" spans="1:1" x14ac:dyDescent="0.3">
      <c r="A833" t="s">
        <v>52</v>
      </c>
    </row>
    <row r="834" spans="1:1" x14ac:dyDescent="0.3">
      <c r="A834" t="s">
        <v>79</v>
      </c>
    </row>
    <row r="835" spans="1:1" x14ac:dyDescent="0.3">
      <c r="A835" t="s">
        <v>98</v>
      </c>
    </row>
    <row r="836" spans="1:1" x14ac:dyDescent="0.3">
      <c r="A836" t="s">
        <v>13</v>
      </c>
    </row>
    <row r="837" spans="1:1" x14ac:dyDescent="0.3">
      <c r="A837" t="s">
        <v>105</v>
      </c>
    </row>
    <row r="838" spans="1:1" x14ac:dyDescent="0.3">
      <c r="A838" t="s">
        <v>1355</v>
      </c>
    </row>
    <row r="839" spans="1:1" x14ac:dyDescent="0.3">
      <c r="A839" t="s">
        <v>1157</v>
      </c>
    </row>
    <row r="840" spans="1:1" x14ac:dyDescent="0.3">
      <c r="A840" t="s">
        <v>1356</v>
      </c>
    </row>
    <row r="841" spans="1:1" x14ac:dyDescent="0.3">
      <c r="A841" t="s">
        <v>12</v>
      </c>
    </row>
    <row r="842" spans="1:1" x14ac:dyDescent="0.3">
      <c r="A842" t="s">
        <v>13</v>
      </c>
    </row>
    <row r="843" spans="1:1" x14ac:dyDescent="0.3">
      <c r="A843" t="s">
        <v>106</v>
      </c>
    </row>
    <row r="844" spans="1:1" x14ac:dyDescent="0.3">
      <c r="A844" t="s">
        <v>1357</v>
      </c>
    </row>
    <row r="845" spans="1:1" x14ac:dyDescent="0.3">
      <c r="A845" t="s">
        <v>1157</v>
      </c>
    </row>
    <row r="846" spans="1:1" x14ac:dyDescent="0.3">
      <c r="A846" t="s">
        <v>1358</v>
      </c>
    </row>
    <row r="847" spans="1:1" x14ac:dyDescent="0.3">
      <c r="A847" t="s">
        <v>12</v>
      </c>
    </row>
    <row r="848" spans="1:1" x14ac:dyDescent="0.3">
      <c r="A848" t="s">
        <v>40</v>
      </c>
    </row>
    <row r="850" spans="1:1" x14ac:dyDescent="0.3">
      <c r="A850" t="s">
        <v>12</v>
      </c>
    </row>
    <row r="851" spans="1:1" x14ac:dyDescent="0.3">
      <c r="A851" t="s">
        <v>13</v>
      </c>
    </row>
    <row r="852" spans="1:1" x14ac:dyDescent="0.3">
      <c r="A852" t="s">
        <v>1359</v>
      </c>
    </row>
    <row r="853" spans="1:1" x14ac:dyDescent="0.3">
      <c r="A853" t="s">
        <v>1360</v>
      </c>
    </row>
    <row r="854" spans="1:1" x14ac:dyDescent="0.3">
      <c r="A854" t="s">
        <v>1361</v>
      </c>
    </row>
    <row r="855" spans="1:1" x14ac:dyDescent="0.3">
      <c r="A855" t="s">
        <v>1153</v>
      </c>
    </row>
    <row r="856" spans="1:1" x14ac:dyDescent="0.3">
      <c r="A856" t="s">
        <v>110</v>
      </c>
    </row>
    <row r="857" spans="1:1" x14ac:dyDescent="0.3">
      <c r="A857" t="s">
        <v>2818</v>
      </c>
    </row>
    <row r="858" spans="1:1" x14ac:dyDescent="0.3">
      <c r="A858" t="s">
        <v>1362</v>
      </c>
    </row>
    <row r="859" spans="1:1" x14ac:dyDescent="0.3">
      <c r="A859" t="s">
        <v>51</v>
      </c>
    </row>
    <row r="860" spans="1:1" x14ac:dyDescent="0.3">
      <c r="A860" t="s">
        <v>52</v>
      </c>
    </row>
    <row r="861" spans="1:1" x14ac:dyDescent="0.3">
      <c r="A861" t="s">
        <v>79</v>
      </c>
    </row>
    <row r="862" spans="1:1" x14ac:dyDescent="0.3">
      <c r="A862" t="s">
        <v>98</v>
      </c>
    </row>
    <row r="863" spans="1:1" x14ac:dyDescent="0.3">
      <c r="A863" t="s">
        <v>13</v>
      </c>
    </row>
    <row r="864" spans="1:1" x14ac:dyDescent="0.3">
      <c r="A864" t="s">
        <v>105</v>
      </c>
    </row>
    <row r="865" spans="1:1" x14ac:dyDescent="0.3">
      <c r="A865" t="s">
        <v>1363</v>
      </c>
    </row>
    <row r="866" spans="1:1" x14ac:dyDescent="0.3">
      <c r="A866" t="s">
        <v>1157</v>
      </c>
    </row>
    <row r="867" spans="1:1" x14ac:dyDescent="0.3">
      <c r="A867" t="s">
        <v>1364</v>
      </c>
    </row>
    <row r="868" spans="1:1" x14ac:dyDescent="0.3">
      <c r="A868" t="s">
        <v>12</v>
      </c>
    </row>
    <row r="869" spans="1:1" x14ac:dyDescent="0.3">
      <c r="A869" t="s">
        <v>13</v>
      </c>
    </row>
    <row r="870" spans="1:1" x14ac:dyDescent="0.3">
      <c r="A870" t="s">
        <v>106</v>
      </c>
    </row>
    <row r="871" spans="1:1" x14ac:dyDescent="0.3">
      <c r="A871" t="s">
        <v>1365</v>
      </c>
    </row>
    <row r="872" spans="1:1" x14ac:dyDescent="0.3">
      <c r="A872" t="s">
        <v>1157</v>
      </c>
    </row>
    <row r="873" spans="1:1" x14ac:dyDescent="0.3">
      <c r="A873" t="s">
        <v>1366</v>
      </c>
    </row>
    <row r="874" spans="1:1" x14ac:dyDescent="0.3">
      <c r="A874" t="s">
        <v>12</v>
      </c>
    </row>
    <row r="875" spans="1:1" x14ac:dyDescent="0.3">
      <c r="A875" t="s">
        <v>40</v>
      </c>
    </row>
    <row r="877" spans="1:1" x14ac:dyDescent="0.3">
      <c r="A877" t="s">
        <v>12</v>
      </c>
    </row>
    <row r="878" spans="1:1" x14ac:dyDescent="0.3">
      <c r="A878" t="s">
        <v>13</v>
      </c>
    </row>
    <row r="879" spans="1:1" x14ac:dyDescent="0.3">
      <c r="A879" t="s">
        <v>1367</v>
      </c>
    </row>
    <row r="880" spans="1:1" x14ac:dyDescent="0.3">
      <c r="A880" t="s">
        <v>1360</v>
      </c>
    </row>
    <row r="881" spans="1:1" x14ac:dyDescent="0.3">
      <c r="A881" t="s">
        <v>1368</v>
      </c>
    </row>
    <row r="882" spans="1:1" x14ac:dyDescent="0.3">
      <c r="A882" t="s">
        <v>1153</v>
      </c>
    </row>
    <row r="883" spans="1:1" x14ac:dyDescent="0.3">
      <c r="A883" t="s">
        <v>110</v>
      </c>
    </row>
    <row r="884" spans="1:1" x14ac:dyDescent="0.3">
      <c r="A884" t="s">
        <v>2818</v>
      </c>
    </row>
    <row r="885" spans="1:1" x14ac:dyDescent="0.3">
      <c r="A885" t="s">
        <v>1369</v>
      </c>
    </row>
    <row r="886" spans="1:1" x14ac:dyDescent="0.3">
      <c r="A886" t="s">
        <v>51</v>
      </c>
    </row>
    <row r="887" spans="1:1" x14ac:dyDescent="0.3">
      <c r="A887" t="s">
        <v>52</v>
      </c>
    </row>
    <row r="888" spans="1:1" x14ac:dyDescent="0.3">
      <c r="A888" t="s">
        <v>79</v>
      </c>
    </row>
    <row r="889" spans="1:1" x14ac:dyDescent="0.3">
      <c r="A889" t="s">
        <v>98</v>
      </c>
    </row>
    <row r="890" spans="1:1" x14ac:dyDescent="0.3">
      <c r="A890" t="s">
        <v>13</v>
      </c>
    </row>
    <row r="891" spans="1:1" x14ac:dyDescent="0.3">
      <c r="A891" t="s">
        <v>105</v>
      </c>
    </row>
    <row r="892" spans="1:1" x14ac:dyDescent="0.3">
      <c r="A892" t="s">
        <v>1370</v>
      </c>
    </row>
    <row r="893" spans="1:1" x14ac:dyDescent="0.3">
      <c r="A893" t="s">
        <v>1157</v>
      </c>
    </row>
    <row r="894" spans="1:1" x14ac:dyDescent="0.3">
      <c r="A894" t="s">
        <v>1366</v>
      </c>
    </row>
    <row r="895" spans="1:1" x14ac:dyDescent="0.3">
      <c r="A895" t="s">
        <v>12</v>
      </c>
    </row>
    <row r="896" spans="1:1" x14ac:dyDescent="0.3">
      <c r="A896" t="s">
        <v>13</v>
      </c>
    </row>
    <row r="897" spans="1:1" x14ac:dyDescent="0.3">
      <c r="A897" t="s">
        <v>106</v>
      </c>
    </row>
    <row r="898" spans="1:1" x14ac:dyDescent="0.3">
      <c r="A898" t="s">
        <v>1371</v>
      </c>
    </row>
    <row r="899" spans="1:1" x14ac:dyDescent="0.3">
      <c r="A899" t="s">
        <v>1157</v>
      </c>
    </row>
    <row r="900" spans="1:1" x14ac:dyDescent="0.3">
      <c r="A900" t="s">
        <v>1372</v>
      </c>
    </row>
    <row r="901" spans="1:1" x14ac:dyDescent="0.3">
      <c r="A901" t="s">
        <v>12</v>
      </c>
    </row>
    <row r="902" spans="1:1" x14ac:dyDescent="0.3">
      <c r="A902" t="s">
        <v>40</v>
      </c>
    </row>
    <row r="904" spans="1:1" x14ac:dyDescent="0.3">
      <c r="A904" t="s">
        <v>12</v>
      </c>
    </row>
    <row r="905" spans="1:1" x14ac:dyDescent="0.3">
      <c r="A905" t="s">
        <v>13</v>
      </c>
    </row>
    <row r="906" spans="1:1" x14ac:dyDescent="0.3">
      <c r="A906" t="s">
        <v>1373</v>
      </c>
    </row>
    <row r="907" spans="1:1" x14ac:dyDescent="0.3">
      <c r="A907" t="s">
        <v>1374</v>
      </c>
    </row>
    <row r="908" spans="1:1" x14ac:dyDescent="0.3">
      <c r="A908" t="s">
        <v>1375</v>
      </c>
    </row>
    <row r="909" spans="1:1" x14ac:dyDescent="0.3">
      <c r="A909" t="s">
        <v>1153</v>
      </c>
    </row>
    <row r="910" spans="1:1" x14ac:dyDescent="0.3">
      <c r="A910" t="s">
        <v>110</v>
      </c>
    </row>
    <row r="911" spans="1:1" x14ac:dyDescent="0.3">
      <c r="A911" t="s">
        <v>2841</v>
      </c>
    </row>
    <row r="912" spans="1:1" x14ac:dyDescent="0.3">
      <c r="A912" t="s">
        <v>1376</v>
      </c>
    </row>
    <row r="913" spans="1:1" x14ac:dyDescent="0.3">
      <c r="A913" t="s">
        <v>51</v>
      </c>
    </row>
    <row r="914" spans="1:1" x14ac:dyDescent="0.3">
      <c r="A914" t="s">
        <v>52</v>
      </c>
    </row>
    <row r="915" spans="1:1" x14ac:dyDescent="0.3">
      <c r="A915" t="s">
        <v>79</v>
      </c>
    </row>
    <row r="917" spans="1:1" x14ac:dyDescent="0.3">
      <c r="A917" t="s">
        <v>12</v>
      </c>
    </row>
    <row r="918" spans="1:1" x14ac:dyDescent="0.3">
      <c r="A918" t="s">
        <v>40</v>
      </c>
    </row>
    <row r="919" spans="1:1" x14ac:dyDescent="0.3">
      <c r="A919" t="s">
        <v>12</v>
      </c>
    </row>
    <row r="920" spans="1:1" x14ac:dyDescent="0.3">
      <c r="A920" t="s">
        <v>13</v>
      </c>
    </row>
    <row r="921" spans="1:1" x14ac:dyDescent="0.3">
      <c r="A921" t="s">
        <v>1377</v>
      </c>
    </row>
    <row r="922" spans="1:1" x14ac:dyDescent="0.3">
      <c r="A922" t="s">
        <v>55</v>
      </c>
    </row>
    <row r="923" spans="1:1" x14ac:dyDescent="0.3">
      <c r="A923" t="s">
        <v>39</v>
      </c>
    </row>
    <row r="924" spans="1:1" x14ac:dyDescent="0.3">
      <c r="A924" t="s">
        <v>13</v>
      </c>
    </row>
    <row r="925" spans="1:1" x14ac:dyDescent="0.3">
      <c r="A925" t="s">
        <v>50</v>
      </c>
    </row>
    <row r="926" spans="1:1" x14ac:dyDescent="0.3">
      <c r="A926" t="s">
        <v>1378</v>
      </c>
    </row>
    <row r="927" spans="1:1" x14ac:dyDescent="0.3">
      <c r="A927" t="s">
        <v>1379</v>
      </c>
    </row>
    <row r="928" spans="1:1" x14ac:dyDescent="0.3">
      <c r="A928" t="s">
        <v>1153</v>
      </c>
    </row>
    <row r="929" spans="1:1" x14ac:dyDescent="0.3">
      <c r="A929" t="s">
        <v>110</v>
      </c>
    </row>
    <row r="930" spans="1:1" x14ac:dyDescent="0.3">
      <c r="A930" t="s">
        <v>2842</v>
      </c>
    </row>
    <row r="931" spans="1:1" x14ac:dyDescent="0.3">
      <c r="A931" t="s">
        <v>1380</v>
      </c>
    </row>
    <row r="932" spans="1:1" x14ac:dyDescent="0.3">
      <c r="A932" t="s">
        <v>51</v>
      </c>
    </row>
    <row r="933" spans="1:1" x14ac:dyDescent="0.3">
      <c r="A933" t="s">
        <v>52</v>
      </c>
    </row>
    <row r="934" spans="1:1" x14ac:dyDescent="0.3">
      <c r="A934" t="s">
        <v>79</v>
      </c>
    </row>
    <row r="935" spans="1:1" x14ac:dyDescent="0.3">
      <c r="A935" t="s">
        <v>98</v>
      </c>
    </row>
    <row r="936" spans="1:1" x14ac:dyDescent="0.3">
      <c r="A936" t="s">
        <v>13</v>
      </c>
    </row>
    <row r="937" spans="1:1" x14ac:dyDescent="0.3">
      <c r="A937" t="s">
        <v>105</v>
      </c>
    </row>
    <row r="938" spans="1:1" x14ac:dyDescent="0.3">
      <c r="A938" t="s">
        <v>1381</v>
      </c>
    </row>
    <row r="939" spans="1:1" x14ac:dyDescent="0.3">
      <c r="A939" t="s">
        <v>1157</v>
      </c>
    </row>
    <row r="940" spans="1:1" x14ac:dyDescent="0.3">
      <c r="A940" t="s">
        <v>1382</v>
      </c>
    </row>
    <row r="941" spans="1:1" x14ac:dyDescent="0.3">
      <c r="A941" t="s">
        <v>12</v>
      </c>
    </row>
    <row r="942" spans="1:1" x14ac:dyDescent="0.3">
      <c r="A942" t="s">
        <v>13</v>
      </c>
    </row>
    <row r="943" spans="1:1" x14ac:dyDescent="0.3">
      <c r="A943" t="s">
        <v>106</v>
      </c>
    </row>
    <row r="944" spans="1:1" x14ac:dyDescent="0.3">
      <c r="A944" t="s">
        <v>1383</v>
      </c>
    </row>
    <row r="945" spans="1:1" x14ac:dyDescent="0.3">
      <c r="A945" t="s">
        <v>1157</v>
      </c>
    </row>
    <row r="946" spans="1:1" x14ac:dyDescent="0.3">
      <c r="A946" t="s">
        <v>1384</v>
      </c>
    </row>
    <row r="947" spans="1:1" x14ac:dyDescent="0.3">
      <c r="A947" t="s">
        <v>12</v>
      </c>
    </row>
    <row r="948" spans="1:1" x14ac:dyDescent="0.3">
      <c r="A948" t="s">
        <v>40</v>
      </c>
    </row>
    <row r="950" spans="1:1" x14ac:dyDescent="0.3">
      <c r="A950" t="s">
        <v>12</v>
      </c>
    </row>
    <row r="951" spans="1:1" x14ac:dyDescent="0.3">
      <c r="A951" t="s">
        <v>13</v>
      </c>
    </row>
    <row r="952" spans="1:1" x14ac:dyDescent="0.3">
      <c r="A952" t="s">
        <v>53</v>
      </c>
    </row>
    <row r="953" spans="1:1" x14ac:dyDescent="0.3">
      <c r="A953" t="s">
        <v>1385</v>
      </c>
    </row>
    <row r="954" spans="1:1" x14ac:dyDescent="0.3">
      <c r="A954" t="s">
        <v>1386</v>
      </c>
    </row>
    <row r="955" spans="1:1" x14ac:dyDescent="0.3">
      <c r="A955" t="s">
        <v>1153</v>
      </c>
    </row>
    <row r="956" spans="1:1" x14ac:dyDescent="0.3">
      <c r="A956" t="s">
        <v>110</v>
      </c>
    </row>
    <row r="957" spans="1:1" x14ac:dyDescent="0.3">
      <c r="A957" t="s">
        <v>2843</v>
      </c>
    </row>
    <row r="958" spans="1:1" x14ac:dyDescent="0.3">
      <c r="A958" t="s">
        <v>1387</v>
      </c>
    </row>
    <row r="959" spans="1:1" x14ac:dyDescent="0.3">
      <c r="A959" t="s">
        <v>51</v>
      </c>
    </row>
    <row r="960" spans="1:1" x14ac:dyDescent="0.3">
      <c r="A960" t="s">
        <v>52</v>
      </c>
    </row>
    <row r="961" spans="1:1" x14ac:dyDescent="0.3">
      <c r="A961" t="s">
        <v>79</v>
      </c>
    </row>
    <row r="962" spans="1:1" x14ac:dyDescent="0.3">
      <c r="A962" t="s">
        <v>98</v>
      </c>
    </row>
    <row r="963" spans="1:1" x14ac:dyDescent="0.3">
      <c r="A963" t="s">
        <v>13</v>
      </c>
    </row>
    <row r="964" spans="1:1" x14ac:dyDescent="0.3">
      <c r="A964" t="s">
        <v>105</v>
      </c>
    </row>
    <row r="965" spans="1:1" x14ac:dyDescent="0.3">
      <c r="A965" t="s">
        <v>1388</v>
      </c>
    </row>
    <row r="966" spans="1:1" x14ac:dyDescent="0.3">
      <c r="A966" t="s">
        <v>1157</v>
      </c>
    </row>
    <row r="967" spans="1:1" x14ac:dyDescent="0.3">
      <c r="A967" t="s">
        <v>1389</v>
      </c>
    </row>
    <row r="968" spans="1:1" x14ac:dyDescent="0.3">
      <c r="A968" t="s">
        <v>12</v>
      </c>
    </row>
    <row r="969" spans="1:1" x14ac:dyDescent="0.3">
      <c r="A969" t="s">
        <v>13</v>
      </c>
    </row>
    <row r="970" spans="1:1" x14ac:dyDescent="0.3">
      <c r="A970" t="s">
        <v>106</v>
      </c>
    </row>
    <row r="971" spans="1:1" x14ac:dyDescent="0.3">
      <c r="A971" t="s">
        <v>1390</v>
      </c>
    </row>
    <row r="972" spans="1:1" x14ac:dyDescent="0.3">
      <c r="A972" t="s">
        <v>1157</v>
      </c>
    </row>
    <row r="973" spans="1:1" x14ac:dyDescent="0.3">
      <c r="A973" t="s">
        <v>1391</v>
      </c>
    </row>
    <row r="974" spans="1:1" x14ac:dyDescent="0.3">
      <c r="A974" t="s">
        <v>12</v>
      </c>
    </row>
    <row r="975" spans="1:1" x14ac:dyDescent="0.3">
      <c r="A975" t="s">
        <v>40</v>
      </c>
    </row>
    <row r="977" spans="1:1" x14ac:dyDescent="0.3">
      <c r="A977" t="s">
        <v>12</v>
      </c>
    </row>
    <row r="978" spans="1:1" x14ac:dyDescent="0.3">
      <c r="A978" t="s">
        <v>13</v>
      </c>
    </row>
    <row r="979" spans="1:1" x14ac:dyDescent="0.3">
      <c r="A979" t="s">
        <v>54</v>
      </c>
    </row>
    <row r="980" spans="1:1" x14ac:dyDescent="0.3">
      <c r="A980" t="s">
        <v>1392</v>
      </c>
    </row>
    <row r="981" spans="1:1" x14ac:dyDescent="0.3">
      <c r="A981" t="s">
        <v>1393</v>
      </c>
    </row>
    <row r="982" spans="1:1" x14ac:dyDescent="0.3">
      <c r="A982" t="s">
        <v>1153</v>
      </c>
    </row>
    <row r="983" spans="1:1" x14ac:dyDescent="0.3">
      <c r="A983" t="s">
        <v>110</v>
      </c>
    </row>
    <row r="984" spans="1:1" x14ac:dyDescent="0.3">
      <c r="A984" t="s">
        <v>2844</v>
      </c>
    </row>
    <row r="985" spans="1:1" x14ac:dyDescent="0.3">
      <c r="A985" t="s">
        <v>1394</v>
      </c>
    </row>
    <row r="986" spans="1:1" x14ac:dyDescent="0.3">
      <c r="A986" t="s">
        <v>51</v>
      </c>
    </row>
    <row r="987" spans="1:1" x14ac:dyDescent="0.3">
      <c r="A987" t="s">
        <v>52</v>
      </c>
    </row>
    <row r="988" spans="1:1" x14ac:dyDescent="0.3">
      <c r="A988" t="s">
        <v>79</v>
      </c>
    </row>
    <row r="990" spans="1:1" x14ac:dyDescent="0.3">
      <c r="A990" t="s">
        <v>12</v>
      </c>
    </row>
    <row r="991" spans="1:1" x14ac:dyDescent="0.3">
      <c r="A991" t="s">
        <v>13</v>
      </c>
    </row>
    <row r="992" spans="1:1" x14ac:dyDescent="0.3">
      <c r="A992" t="s">
        <v>107</v>
      </c>
    </row>
    <row r="993" spans="1:1" x14ac:dyDescent="0.3">
      <c r="A993" t="s">
        <v>1395</v>
      </c>
    </row>
    <row r="994" spans="1:1" x14ac:dyDescent="0.3">
      <c r="A994" t="s">
        <v>1396</v>
      </c>
    </row>
    <row r="995" spans="1:1" x14ac:dyDescent="0.3">
      <c r="A995" t="s">
        <v>1153</v>
      </c>
    </row>
    <row r="996" spans="1:1" x14ac:dyDescent="0.3">
      <c r="A996" t="s">
        <v>110</v>
      </c>
    </row>
    <row r="997" spans="1:1" x14ac:dyDescent="0.3">
      <c r="A997" t="s">
        <v>1154</v>
      </c>
    </row>
    <row r="998" spans="1:1" x14ac:dyDescent="0.3">
      <c r="A998" t="s">
        <v>1397</v>
      </c>
    </row>
    <row r="999" spans="1:1" x14ac:dyDescent="0.3">
      <c r="A999" t="s">
        <v>51</v>
      </c>
    </row>
    <row r="1000" spans="1:1" x14ac:dyDescent="0.3">
      <c r="A1000" t="s">
        <v>52</v>
      </c>
    </row>
    <row r="1001" spans="1:1" x14ac:dyDescent="0.3">
      <c r="A1001" t="s">
        <v>79</v>
      </c>
    </row>
    <row r="1003" spans="1:1" x14ac:dyDescent="0.3">
      <c r="A1003" t="s">
        <v>12</v>
      </c>
    </row>
    <row r="1004" spans="1:1" x14ac:dyDescent="0.3">
      <c r="A1004" t="s">
        <v>13</v>
      </c>
    </row>
    <row r="1005" spans="1:1" x14ac:dyDescent="0.3">
      <c r="A1005" t="s">
        <v>108</v>
      </c>
    </row>
    <row r="1006" spans="1:1" x14ac:dyDescent="0.3">
      <c r="A1006" t="s">
        <v>1398</v>
      </c>
    </row>
    <row r="1007" spans="1:1" x14ac:dyDescent="0.3">
      <c r="A1007" t="s">
        <v>1399</v>
      </c>
    </row>
    <row r="1008" spans="1:1" x14ac:dyDescent="0.3">
      <c r="A1008" t="s">
        <v>1153</v>
      </c>
    </row>
    <row r="1009" spans="1:1" x14ac:dyDescent="0.3">
      <c r="A1009" t="s">
        <v>110</v>
      </c>
    </row>
    <row r="1010" spans="1:1" x14ac:dyDescent="0.3">
      <c r="A1010" t="s">
        <v>1154</v>
      </c>
    </row>
    <row r="1011" spans="1:1" x14ac:dyDescent="0.3">
      <c r="A1011" t="s">
        <v>1400</v>
      </c>
    </row>
    <row r="1012" spans="1:1" x14ac:dyDescent="0.3">
      <c r="A1012" t="s">
        <v>51</v>
      </c>
    </row>
    <row r="1013" spans="1:1" x14ac:dyDescent="0.3">
      <c r="A1013" t="s">
        <v>52</v>
      </c>
    </row>
    <row r="1014" spans="1:1" x14ac:dyDescent="0.3">
      <c r="A1014" t="s">
        <v>79</v>
      </c>
    </row>
    <row r="1016" spans="1:1" x14ac:dyDescent="0.3">
      <c r="A1016" t="s">
        <v>12</v>
      </c>
    </row>
    <row r="1017" spans="1:1" x14ac:dyDescent="0.3">
      <c r="A1017" t="s">
        <v>13</v>
      </c>
    </row>
    <row r="1018" spans="1:1" x14ac:dyDescent="0.3">
      <c r="A1018" t="s">
        <v>1184</v>
      </c>
    </row>
    <row r="1019" spans="1:1" x14ac:dyDescent="0.3">
      <c r="A1019" t="s">
        <v>1401</v>
      </c>
    </row>
    <row r="1020" spans="1:1" x14ac:dyDescent="0.3">
      <c r="A1020" t="s">
        <v>1402</v>
      </c>
    </row>
    <row r="1021" spans="1:1" x14ac:dyDescent="0.3">
      <c r="A1021" t="s">
        <v>1153</v>
      </c>
    </row>
    <row r="1022" spans="1:1" x14ac:dyDescent="0.3">
      <c r="A1022" t="s">
        <v>110</v>
      </c>
    </row>
    <row r="1023" spans="1:1" x14ac:dyDescent="0.3">
      <c r="A1023" t="s">
        <v>1154</v>
      </c>
    </row>
    <row r="1024" spans="1:1" x14ac:dyDescent="0.3">
      <c r="A1024" t="s">
        <v>1403</v>
      </c>
    </row>
    <row r="1025" spans="1:1" x14ac:dyDescent="0.3">
      <c r="A1025" t="s">
        <v>51</v>
      </c>
    </row>
    <row r="1026" spans="1:1" x14ac:dyDescent="0.3">
      <c r="A1026" t="s">
        <v>52</v>
      </c>
    </row>
    <row r="1027" spans="1:1" x14ac:dyDescent="0.3">
      <c r="A1027" t="s">
        <v>79</v>
      </c>
    </row>
    <row r="1029" spans="1:1" x14ac:dyDescent="0.3">
      <c r="A1029" t="s">
        <v>12</v>
      </c>
    </row>
    <row r="1030" spans="1:1" x14ac:dyDescent="0.3">
      <c r="A1030" t="s">
        <v>13</v>
      </c>
    </row>
    <row r="1031" spans="1:1" x14ac:dyDescent="0.3">
      <c r="A1031" t="s">
        <v>1187</v>
      </c>
    </row>
    <row r="1032" spans="1:1" x14ac:dyDescent="0.3">
      <c r="A1032" t="s">
        <v>1404</v>
      </c>
    </row>
    <row r="1033" spans="1:1" x14ac:dyDescent="0.3">
      <c r="A1033" t="s">
        <v>1405</v>
      </c>
    </row>
    <row r="1034" spans="1:1" x14ac:dyDescent="0.3">
      <c r="A1034" t="s">
        <v>1153</v>
      </c>
    </row>
    <row r="1035" spans="1:1" x14ac:dyDescent="0.3">
      <c r="A1035" t="s">
        <v>110</v>
      </c>
    </row>
    <row r="1036" spans="1:1" x14ac:dyDescent="0.3">
      <c r="A1036" t="s">
        <v>1154</v>
      </c>
    </row>
    <row r="1037" spans="1:1" x14ac:dyDescent="0.3">
      <c r="A1037" t="s">
        <v>1406</v>
      </c>
    </row>
    <row r="1038" spans="1:1" x14ac:dyDescent="0.3">
      <c r="A1038" t="s">
        <v>51</v>
      </c>
    </row>
    <row r="1039" spans="1:1" x14ac:dyDescent="0.3">
      <c r="A1039" t="s">
        <v>52</v>
      </c>
    </row>
    <row r="1040" spans="1:1" x14ac:dyDescent="0.3">
      <c r="A1040" t="s">
        <v>79</v>
      </c>
    </row>
    <row r="1042" spans="1:1" x14ac:dyDescent="0.3">
      <c r="A1042" t="s">
        <v>12</v>
      </c>
    </row>
    <row r="1043" spans="1:1" x14ac:dyDescent="0.3">
      <c r="A1043" t="s">
        <v>13</v>
      </c>
    </row>
    <row r="1044" spans="1:1" x14ac:dyDescent="0.3">
      <c r="A1044" t="s">
        <v>1190</v>
      </c>
    </row>
    <row r="1045" spans="1:1" x14ac:dyDescent="0.3">
      <c r="A1045" t="s">
        <v>1407</v>
      </c>
    </row>
    <row r="1046" spans="1:1" x14ac:dyDescent="0.3">
      <c r="A1046" t="s">
        <v>1408</v>
      </c>
    </row>
    <row r="1047" spans="1:1" x14ac:dyDescent="0.3">
      <c r="A1047" t="s">
        <v>1153</v>
      </c>
    </row>
    <row r="1048" spans="1:1" x14ac:dyDescent="0.3">
      <c r="A1048" t="s">
        <v>110</v>
      </c>
    </row>
    <row r="1049" spans="1:1" x14ac:dyDescent="0.3">
      <c r="A1049" t="s">
        <v>1154</v>
      </c>
    </row>
    <row r="1050" spans="1:1" x14ac:dyDescent="0.3">
      <c r="A1050" t="s">
        <v>1409</v>
      </c>
    </row>
    <row r="1051" spans="1:1" x14ac:dyDescent="0.3">
      <c r="A1051" t="s">
        <v>51</v>
      </c>
    </row>
    <row r="1052" spans="1:1" x14ac:dyDescent="0.3">
      <c r="A1052" t="s">
        <v>52</v>
      </c>
    </row>
    <row r="1053" spans="1:1" x14ac:dyDescent="0.3">
      <c r="A1053" t="s">
        <v>79</v>
      </c>
    </row>
    <row r="1055" spans="1:1" x14ac:dyDescent="0.3">
      <c r="A1055" t="s">
        <v>12</v>
      </c>
    </row>
    <row r="1056" spans="1:1" x14ac:dyDescent="0.3">
      <c r="A1056" t="s">
        <v>13</v>
      </c>
    </row>
    <row r="1057" spans="1:1" x14ac:dyDescent="0.3">
      <c r="A1057" t="s">
        <v>1193</v>
      </c>
    </row>
    <row r="1058" spans="1:1" x14ac:dyDescent="0.3">
      <c r="A1058" t="s">
        <v>1410</v>
      </c>
    </row>
    <row r="1059" spans="1:1" x14ac:dyDescent="0.3">
      <c r="A1059" t="s">
        <v>1411</v>
      </c>
    </row>
    <row r="1060" spans="1:1" x14ac:dyDescent="0.3">
      <c r="A1060" t="s">
        <v>1153</v>
      </c>
    </row>
    <row r="1061" spans="1:1" x14ac:dyDescent="0.3">
      <c r="A1061" t="s">
        <v>110</v>
      </c>
    </row>
    <row r="1062" spans="1:1" x14ac:dyDescent="0.3">
      <c r="A1062" t="s">
        <v>1154</v>
      </c>
    </row>
    <row r="1063" spans="1:1" x14ac:dyDescent="0.3">
      <c r="A1063" t="s">
        <v>1412</v>
      </c>
    </row>
    <row r="1064" spans="1:1" x14ac:dyDescent="0.3">
      <c r="A1064" t="s">
        <v>51</v>
      </c>
    </row>
    <row r="1065" spans="1:1" x14ac:dyDescent="0.3">
      <c r="A1065" t="s">
        <v>52</v>
      </c>
    </row>
    <row r="1066" spans="1:1" x14ac:dyDescent="0.3">
      <c r="A1066" t="s">
        <v>79</v>
      </c>
    </row>
    <row r="1068" spans="1:1" x14ac:dyDescent="0.3">
      <c r="A1068" t="s">
        <v>12</v>
      </c>
    </row>
    <row r="1069" spans="1:1" x14ac:dyDescent="0.3">
      <c r="A1069" t="s">
        <v>13</v>
      </c>
    </row>
    <row r="1070" spans="1:1" x14ac:dyDescent="0.3">
      <c r="A1070" t="s">
        <v>1201</v>
      </c>
    </row>
    <row r="1071" spans="1:1" x14ac:dyDescent="0.3">
      <c r="A1071" t="s">
        <v>1413</v>
      </c>
    </row>
    <row r="1072" spans="1:1" x14ac:dyDescent="0.3">
      <c r="A1072" t="s">
        <v>1414</v>
      </c>
    </row>
    <row r="1073" spans="1:1" x14ac:dyDescent="0.3">
      <c r="A1073" t="s">
        <v>1153</v>
      </c>
    </row>
    <row r="1074" spans="1:1" x14ac:dyDescent="0.3">
      <c r="A1074" t="s">
        <v>110</v>
      </c>
    </row>
    <row r="1075" spans="1:1" x14ac:dyDescent="0.3">
      <c r="A1075" t="s">
        <v>2845</v>
      </c>
    </row>
    <row r="1076" spans="1:1" x14ac:dyDescent="0.3">
      <c r="A1076" t="s">
        <v>1415</v>
      </c>
    </row>
    <row r="1077" spans="1:1" x14ac:dyDescent="0.3">
      <c r="A1077" t="s">
        <v>51</v>
      </c>
    </row>
    <row r="1078" spans="1:1" x14ac:dyDescent="0.3">
      <c r="A1078" t="s">
        <v>52</v>
      </c>
    </row>
    <row r="1079" spans="1:1" x14ac:dyDescent="0.3">
      <c r="A1079" t="s">
        <v>79</v>
      </c>
    </row>
    <row r="1080" spans="1:1" x14ac:dyDescent="0.3">
      <c r="A1080" t="s">
        <v>98</v>
      </c>
    </row>
    <row r="1081" spans="1:1" x14ac:dyDescent="0.3">
      <c r="A1081" t="s">
        <v>13</v>
      </c>
    </row>
    <row r="1082" spans="1:1" x14ac:dyDescent="0.3">
      <c r="A1082" t="s">
        <v>105</v>
      </c>
    </row>
    <row r="1083" spans="1:1" x14ac:dyDescent="0.3">
      <c r="A1083" t="s">
        <v>1416</v>
      </c>
    </row>
    <row r="1084" spans="1:1" x14ac:dyDescent="0.3">
      <c r="A1084" t="s">
        <v>1157</v>
      </c>
    </row>
    <row r="1085" spans="1:1" x14ac:dyDescent="0.3">
      <c r="A1085" t="s">
        <v>1417</v>
      </c>
    </row>
    <row r="1086" spans="1:1" x14ac:dyDescent="0.3">
      <c r="A1086" t="s">
        <v>12</v>
      </c>
    </row>
    <row r="1087" spans="1:1" x14ac:dyDescent="0.3">
      <c r="A1087" t="s">
        <v>13</v>
      </c>
    </row>
    <row r="1088" spans="1:1" x14ac:dyDescent="0.3">
      <c r="A1088" t="s">
        <v>106</v>
      </c>
    </row>
    <row r="1089" spans="1:1" x14ac:dyDescent="0.3">
      <c r="A1089" t="s">
        <v>1418</v>
      </c>
    </row>
    <row r="1090" spans="1:1" x14ac:dyDescent="0.3">
      <c r="A1090" t="s">
        <v>1157</v>
      </c>
    </row>
    <row r="1091" spans="1:1" x14ac:dyDescent="0.3">
      <c r="A1091" t="s">
        <v>1419</v>
      </c>
    </row>
    <row r="1092" spans="1:1" x14ac:dyDescent="0.3">
      <c r="A1092" t="s">
        <v>12</v>
      </c>
    </row>
    <row r="1093" spans="1:1" x14ac:dyDescent="0.3">
      <c r="A1093" t="s">
        <v>40</v>
      </c>
    </row>
    <row r="1095" spans="1:1" x14ac:dyDescent="0.3">
      <c r="A1095" t="s">
        <v>12</v>
      </c>
    </row>
    <row r="1096" spans="1:1" x14ac:dyDescent="0.3">
      <c r="A1096" t="s">
        <v>13</v>
      </c>
    </row>
    <row r="1097" spans="1:1" x14ac:dyDescent="0.3">
      <c r="A1097" t="s">
        <v>1204</v>
      </c>
    </row>
    <row r="1098" spans="1:1" x14ac:dyDescent="0.3">
      <c r="A1098" t="s">
        <v>1420</v>
      </c>
    </row>
    <row r="1099" spans="1:1" x14ac:dyDescent="0.3">
      <c r="A1099" t="s">
        <v>1421</v>
      </c>
    </row>
    <row r="1100" spans="1:1" x14ac:dyDescent="0.3">
      <c r="A1100" t="s">
        <v>1153</v>
      </c>
    </row>
    <row r="1101" spans="1:1" x14ac:dyDescent="0.3">
      <c r="A1101" t="s">
        <v>110</v>
      </c>
    </row>
    <row r="1102" spans="1:1" x14ac:dyDescent="0.3">
      <c r="A1102" t="s">
        <v>1154</v>
      </c>
    </row>
    <row r="1103" spans="1:1" x14ac:dyDescent="0.3">
      <c r="A1103" t="s">
        <v>1422</v>
      </c>
    </row>
    <row r="1104" spans="1:1" x14ac:dyDescent="0.3">
      <c r="A1104" t="s">
        <v>51</v>
      </c>
    </row>
    <row r="1105" spans="1:1" x14ac:dyDescent="0.3">
      <c r="A1105" t="s">
        <v>52</v>
      </c>
    </row>
    <row r="1106" spans="1:1" x14ac:dyDescent="0.3">
      <c r="A1106" t="s">
        <v>79</v>
      </c>
    </row>
    <row r="1108" spans="1:1" x14ac:dyDescent="0.3">
      <c r="A1108" t="s">
        <v>12</v>
      </c>
    </row>
    <row r="1109" spans="1:1" x14ac:dyDescent="0.3">
      <c r="A1109" t="s">
        <v>40</v>
      </c>
    </row>
    <row r="1110" spans="1:1" x14ac:dyDescent="0.3">
      <c r="A1110" t="s">
        <v>12</v>
      </c>
    </row>
    <row r="1111" spans="1:1" x14ac:dyDescent="0.3">
      <c r="A1111" t="s">
        <v>13</v>
      </c>
    </row>
    <row r="1112" spans="1:1" x14ac:dyDescent="0.3">
      <c r="A1112" t="s">
        <v>1423</v>
      </c>
    </row>
    <row r="1113" spans="1:1" x14ac:dyDescent="0.3">
      <c r="A1113" t="s">
        <v>1424</v>
      </c>
    </row>
    <row r="1114" spans="1:1" x14ac:dyDescent="0.3">
      <c r="A1114" t="s">
        <v>39</v>
      </c>
    </row>
    <row r="1115" spans="1:1" x14ac:dyDescent="0.3">
      <c r="A1115" t="s">
        <v>13</v>
      </c>
    </row>
    <row r="1116" spans="1:1" x14ac:dyDescent="0.3">
      <c r="A1116" t="s">
        <v>50</v>
      </c>
    </row>
    <row r="1117" spans="1:1" x14ac:dyDescent="0.3">
      <c r="A1117" t="s">
        <v>1425</v>
      </c>
    </row>
    <row r="1118" spans="1:1" x14ac:dyDescent="0.3">
      <c r="A1118" t="s">
        <v>1426</v>
      </c>
    </row>
    <row r="1119" spans="1:1" x14ac:dyDescent="0.3">
      <c r="A1119" t="s">
        <v>1153</v>
      </c>
    </row>
    <row r="1120" spans="1:1" x14ac:dyDescent="0.3">
      <c r="A1120" t="s">
        <v>110</v>
      </c>
    </row>
    <row r="1121" spans="1:1" x14ac:dyDescent="0.3">
      <c r="A1121" t="s">
        <v>1154</v>
      </c>
    </row>
    <row r="1122" spans="1:1" x14ac:dyDescent="0.3">
      <c r="A1122" t="s">
        <v>1427</v>
      </c>
    </row>
    <row r="1123" spans="1:1" x14ac:dyDescent="0.3">
      <c r="A1123" t="s">
        <v>51</v>
      </c>
    </row>
    <row r="1124" spans="1:1" x14ac:dyDescent="0.3">
      <c r="A1124" t="s">
        <v>52</v>
      </c>
    </row>
    <row r="1125" spans="1:1" x14ac:dyDescent="0.3">
      <c r="A1125" t="s">
        <v>79</v>
      </c>
    </row>
    <row r="1127" spans="1:1" x14ac:dyDescent="0.3">
      <c r="A1127" t="s">
        <v>12</v>
      </c>
    </row>
    <row r="1128" spans="1:1" x14ac:dyDescent="0.3">
      <c r="A1128" t="s">
        <v>40</v>
      </c>
    </row>
    <row r="1129" spans="1:1" x14ac:dyDescent="0.3">
      <c r="A1129" t="s">
        <v>12</v>
      </c>
    </row>
    <row r="1130" spans="1:1" x14ac:dyDescent="0.3">
      <c r="A1130" t="s">
        <v>13</v>
      </c>
    </row>
    <row r="1131" spans="1:1" x14ac:dyDescent="0.3">
      <c r="A1131" t="s">
        <v>1428</v>
      </c>
    </row>
    <row r="1132" spans="1:1" x14ac:dyDescent="0.3">
      <c r="A1132" t="s">
        <v>1429</v>
      </c>
    </row>
    <row r="1133" spans="1:1" x14ac:dyDescent="0.3">
      <c r="A1133" t="s">
        <v>39</v>
      </c>
    </row>
    <row r="1134" spans="1:1" x14ac:dyDescent="0.3">
      <c r="A1134" t="s">
        <v>13</v>
      </c>
    </row>
    <row r="1135" spans="1:1" x14ac:dyDescent="0.3">
      <c r="A1135" t="s">
        <v>50</v>
      </c>
    </row>
    <row r="1136" spans="1:1" x14ac:dyDescent="0.3">
      <c r="A1136" t="s">
        <v>1430</v>
      </c>
    </row>
    <row r="1137" spans="1:1" x14ac:dyDescent="0.3">
      <c r="A1137" t="s">
        <v>1431</v>
      </c>
    </row>
    <row r="1138" spans="1:1" x14ac:dyDescent="0.3">
      <c r="A1138" t="s">
        <v>1153</v>
      </c>
    </row>
    <row r="1139" spans="1:1" x14ac:dyDescent="0.3">
      <c r="A1139" t="s">
        <v>110</v>
      </c>
    </row>
    <row r="1140" spans="1:1" x14ac:dyDescent="0.3">
      <c r="A1140" t="s">
        <v>1154</v>
      </c>
    </row>
    <row r="1141" spans="1:1" x14ac:dyDescent="0.3">
      <c r="A1141" t="s">
        <v>1432</v>
      </c>
    </row>
    <row r="1142" spans="1:1" x14ac:dyDescent="0.3">
      <c r="A1142" t="s">
        <v>51</v>
      </c>
    </row>
    <row r="1143" spans="1:1" x14ac:dyDescent="0.3">
      <c r="A1143" t="s">
        <v>52</v>
      </c>
    </row>
    <row r="1144" spans="1:1" x14ac:dyDescent="0.3">
      <c r="A1144" t="s">
        <v>79</v>
      </c>
    </row>
    <row r="1145" spans="1:1" x14ac:dyDescent="0.3">
      <c r="A1145" t="s">
        <v>98</v>
      </c>
    </row>
    <row r="1146" spans="1:1" x14ac:dyDescent="0.3">
      <c r="A1146" t="s">
        <v>13</v>
      </c>
    </row>
    <row r="1147" spans="1:1" x14ac:dyDescent="0.3">
      <c r="A1147" t="s">
        <v>105</v>
      </c>
    </row>
    <row r="1148" spans="1:1" x14ac:dyDescent="0.3">
      <c r="A1148" t="s">
        <v>1433</v>
      </c>
    </row>
    <row r="1149" spans="1:1" x14ac:dyDescent="0.3">
      <c r="A1149" t="s">
        <v>1157</v>
      </c>
    </row>
    <row r="1150" spans="1:1" x14ac:dyDescent="0.3">
      <c r="A1150" t="s">
        <v>1434</v>
      </c>
    </row>
    <row r="1151" spans="1:1" x14ac:dyDescent="0.3">
      <c r="A1151" t="s">
        <v>12</v>
      </c>
    </row>
    <row r="1152" spans="1:1" x14ac:dyDescent="0.3">
      <c r="A1152" t="s">
        <v>13</v>
      </c>
    </row>
    <row r="1153" spans="1:1" x14ac:dyDescent="0.3">
      <c r="A1153" t="s">
        <v>106</v>
      </c>
    </row>
    <row r="1154" spans="1:1" x14ac:dyDescent="0.3">
      <c r="A1154" t="s">
        <v>1435</v>
      </c>
    </row>
    <row r="1155" spans="1:1" x14ac:dyDescent="0.3">
      <c r="A1155" t="s">
        <v>1157</v>
      </c>
    </row>
    <row r="1156" spans="1:1" x14ac:dyDescent="0.3">
      <c r="A1156" t="s">
        <v>1436</v>
      </c>
    </row>
    <row r="1157" spans="1:1" x14ac:dyDescent="0.3">
      <c r="A1157" t="s">
        <v>12</v>
      </c>
    </row>
    <row r="1158" spans="1:1" x14ac:dyDescent="0.3">
      <c r="A1158" t="s">
        <v>40</v>
      </c>
    </row>
    <row r="1160" spans="1:1" x14ac:dyDescent="0.3">
      <c r="A1160" t="s">
        <v>12</v>
      </c>
    </row>
    <row r="1161" spans="1:1" x14ac:dyDescent="0.3">
      <c r="A1161" t="s">
        <v>13</v>
      </c>
    </row>
    <row r="1162" spans="1:1" x14ac:dyDescent="0.3">
      <c r="A1162" t="s">
        <v>53</v>
      </c>
    </row>
    <row r="1163" spans="1:1" x14ac:dyDescent="0.3">
      <c r="A1163" t="s">
        <v>1437</v>
      </c>
    </row>
    <row r="1164" spans="1:1" x14ac:dyDescent="0.3">
      <c r="A1164" t="s">
        <v>1438</v>
      </c>
    </row>
    <row r="1165" spans="1:1" x14ac:dyDescent="0.3">
      <c r="A1165" t="s">
        <v>1153</v>
      </c>
    </row>
    <row r="1166" spans="1:1" x14ac:dyDescent="0.3">
      <c r="A1166" t="s">
        <v>110</v>
      </c>
    </row>
    <row r="1167" spans="1:1" x14ac:dyDescent="0.3">
      <c r="A1167" t="s">
        <v>1154</v>
      </c>
    </row>
    <row r="1168" spans="1:1" x14ac:dyDescent="0.3">
      <c r="A1168" t="s">
        <v>1439</v>
      </c>
    </row>
    <row r="1169" spans="1:1" x14ac:dyDescent="0.3">
      <c r="A1169" t="s">
        <v>51</v>
      </c>
    </row>
    <row r="1170" spans="1:1" x14ac:dyDescent="0.3">
      <c r="A1170" t="s">
        <v>52</v>
      </c>
    </row>
    <row r="1171" spans="1:1" x14ac:dyDescent="0.3">
      <c r="A1171" t="s">
        <v>79</v>
      </c>
    </row>
    <row r="1172" spans="1:1" x14ac:dyDescent="0.3">
      <c r="A1172" t="s">
        <v>98</v>
      </c>
    </row>
    <row r="1173" spans="1:1" x14ac:dyDescent="0.3">
      <c r="A1173" t="s">
        <v>13</v>
      </c>
    </row>
    <row r="1174" spans="1:1" x14ac:dyDescent="0.3">
      <c r="A1174" t="s">
        <v>105</v>
      </c>
    </row>
    <row r="1175" spans="1:1" x14ac:dyDescent="0.3">
      <c r="A1175" t="s">
        <v>1440</v>
      </c>
    </row>
    <row r="1176" spans="1:1" x14ac:dyDescent="0.3">
      <c r="A1176" t="s">
        <v>1157</v>
      </c>
    </row>
    <row r="1177" spans="1:1" x14ac:dyDescent="0.3">
      <c r="A1177" t="s">
        <v>1441</v>
      </c>
    </row>
    <row r="1178" spans="1:1" x14ac:dyDescent="0.3">
      <c r="A1178" t="s">
        <v>12</v>
      </c>
    </row>
    <row r="1179" spans="1:1" x14ac:dyDescent="0.3">
      <c r="A1179" t="s">
        <v>13</v>
      </c>
    </row>
    <row r="1180" spans="1:1" x14ac:dyDescent="0.3">
      <c r="A1180" t="s">
        <v>106</v>
      </c>
    </row>
    <row r="1181" spans="1:1" x14ac:dyDescent="0.3">
      <c r="A1181" t="s">
        <v>1442</v>
      </c>
    </row>
    <row r="1182" spans="1:1" x14ac:dyDescent="0.3">
      <c r="A1182" t="s">
        <v>1157</v>
      </c>
    </row>
    <row r="1183" spans="1:1" x14ac:dyDescent="0.3">
      <c r="A1183" t="s">
        <v>1443</v>
      </c>
    </row>
    <row r="1184" spans="1:1" x14ac:dyDescent="0.3">
      <c r="A1184" t="s">
        <v>12</v>
      </c>
    </row>
    <row r="1185" spans="1:1" x14ac:dyDescent="0.3">
      <c r="A1185" t="s">
        <v>40</v>
      </c>
    </row>
    <row r="1187" spans="1:1" x14ac:dyDescent="0.3">
      <c r="A1187" t="s">
        <v>12</v>
      </c>
    </row>
    <row r="1188" spans="1:1" x14ac:dyDescent="0.3">
      <c r="A1188" t="s">
        <v>13</v>
      </c>
    </row>
    <row r="1189" spans="1:1" x14ac:dyDescent="0.3">
      <c r="A1189" t="s">
        <v>54</v>
      </c>
    </row>
    <row r="1190" spans="1:1" x14ac:dyDescent="0.3">
      <c r="A1190" t="s">
        <v>1444</v>
      </c>
    </row>
    <row r="1191" spans="1:1" x14ac:dyDescent="0.3">
      <c r="A1191" t="s">
        <v>1445</v>
      </c>
    </row>
    <row r="1192" spans="1:1" x14ac:dyDescent="0.3">
      <c r="A1192" t="s">
        <v>1153</v>
      </c>
    </row>
    <row r="1193" spans="1:1" x14ac:dyDescent="0.3">
      <c r="A1193" t="s">
        <v>110</v>
      </c>
    </row>
    <row r="1194" spans="1:1" x14ac:dyDescent="0.3">
      <c r="A1194" t="s">
        <v>1154</v>
      </c>
    </row>
    <row r="1195" spans="1:1" x14ac:dyDescent="0.3">
      <c r="A1195" t="s">
        <v>1446</v>
      </c>
    </row>
    <row r="1196" spans="1:1" x14ac:dyDescent="0.3">
      <c r="A1196" t="s">
        <v>51</v>
      </c>
    </row>
    <row r="1197" spans="1:1" x14ac:dyDescent="0.3">
      <c r="A1197" t="s">
        <v>52</v>
      </c>
    </row>
    <row r="1198" spans="1:1" x14ac:dyDescent="0.3">
      <c r="A1198" t="s">
        <v>79</v>
      </c>
    </row>
    <row r="1199" spans="1:1" x14ac:dyDescent="0.3">
      <c r="A1199" t="s">
        <v>98</v>
      </c>
    </row>
    <row r="1200" spans="1:1" x14ac:dyDescent="0.3">
      <c r="A1200" t="s">
        <v>13</v>
      </c>
    </row>
    <row r="1201" spans="1:1" x14ac:dyDescent="0.3">
      <c r="A1201" t="s">
        <v>105</v>
      </c>
    </row>
    <row r="1202" spans="1:1" x14ac:dyDescent="0.3">
      <c r="A1202" t="s">
        <v>1447</v>
      </c>
    </row>
    <row r="1203" spans="1:1" x14ac:dyDescent="0.3">
      <c r="A1203" t="s">
        <v>1157</v>
      </c>
    </row>
    <row r="1204" spans="1:1" x14ac:dyDescent="0.3">
      <c r="A1204" t="s">
        <v>1448</v>
      </c>
    </row>
    <row r="1205" spans="1:1" x14ac:dyDescent="0.3">
      <c r="A1205" t="s">
        <v>12</v>
      </c>
    </row>
    <row r="1206" spans="1:1" x14ac:dyDescent="0.3">
      <c r="A1206" t="s">
        <v>13</v>
      </c>
    </row>
    <row r="1207" spans="1:1" x14ac:dyDescent="0.3">
      <c r="A1207" t="s">
        <v>106</v>
      </c>
    </row>
    <row r="1208" spans="1:1" x14ac:dyDescent="0.3">
      <c r="A1208" t="s">
        <v>1449</v>
      </c>
    </row>
    <row r="1209" spans="1:1" x14ac:dyDescent="0.3">
      <c r="A1209" t="s">
        <v>1157</v>
      </c>
    </row>
    <row r="1210" spans="1:1" x14ac:dyDescent="0.3">
      <c r="A1210" t="s">
        <v>1450</v>
      </c>
    </row>
    <row r="1211" spans="1:1" x14ac:dyDescent="0.3">
      <c r="A1211" t="s">
        <v>12</v>
      </c>
    </row>
    <row r="1212" spans="1:1" x14ac:dyDescent="0.3">
      <c r="A1212" t="s">
        <v>40</v>
      </c>
    </row>
    <row r="1214" spans="1:1" x14ac:dyDescent="0.3">
      <c r="A1214" t="s">
        <v>12</v>
      </c>
    </row>
    <row r="1215" spans="1:1" x14ac:dyDescent="0.3">
      <c r="A1215" t="s">
        <v>13</v>
      </c>
    </row>
    <row r="1216" spans="1:1" x14ac:dyDescent="0.3">
      <c r="A1216" t="s">
        <v>107</v>
      </c>
    </row>
    <row r="1217" spans="1:1" x14ac:dyDescent="0.3">
      <c r="A1217" t="s">
        <v>1451</v>
      </c>
    </row>
    <row r="1218" spans="1:1" x14ac:dyDescent="0.3">
      <c r="A1218" t="s">
        <v>1452</v>
      </c>
    </row>
    <row r="1219" spans="1:1" x14ac:dyDescent="0.3">
      <c r="A1219" t="s">
        <v>1153</v>
      </c>
    </row>
    <row r="1220" spans="1:1" x14ac:dyDescent="0.3">
      <c r="A1220" t="s">
        <v>110</v>
      </c>
    </row>
    <row r="1221" spans="1:1" x14ac:dyDescent="0.3">
      <c r="A1221" t="s">
        <v>2846</v>
      </c>
    </row>
    <row r="1222" spans="1:1" x14ac:dyDescent="0.3">
      <c r="A1222" t="s">
        <v>1453</v>
      </c>
    </row>
    <row r="1223" spans="1:1" x14ac:dyDescent="0.3">
      <c r="A1223" t="s">
        <v>51</v>
      </c>
    </row>
    <row r="1224" spans="1:1" x14ac:dyDescent="0.3">
      <c r="A1224" t="s">
        <v>52</v>
      </c>
    </row>
    <row r="1225" spans="1:1" x14ac:dyDescent="0.3">
      <c r="A1225" t="s">
        <v>79</v>
      </c>
    </row>
    <row r="1226" spans="1:1" x14ac:dyDescent="0.3">
      <c r="A1226" t="s">
        <v>98</v>
      </c>
    </row>
    <row r="1227" spans="1:1" x14ac:dyDescent="0.3">
      <c r="A1227" t="s">
        <v>13</v>
      </c>
    </row>
    <row r="1228" spans="1:1" x14ac:dyDescent="0.3">
      <c r="A1228" t="s">
        <v>105</v>
      </c>
    </row>
    <row r="1229" spans="1:1" x14ac:dyDescent="0.3">
      <c r="A1229" t="s">
        <v>1454</v>
      </c>
    </row>
    <row r="1230" spans="1:1" x14ac:dyDescent="0.3">
      <c r="A1230" t="s">
        <v>1157</v>
      </c>
    </row>
    <row r="1231" spans="1:1" x14ac:dyDescent="0.3">
      <c r="A1231" t="s">
        <v>1455</v>
      </c>
    </row>
    <row r="1232" spans="1:1" x14ac:dyDescent="0.3">
      <c r="A1232" t="s">
        <v>12</v>
      </c>
    </row>
    <row r="1233" spans="1:1" x14ac:dyDescent="0.3">
      <c r="A1233" t="s">
        <v>13</v>
      </c>
    </row>
    <row r="1234" spans="1:1" x14ac:dyDescent="0.3">
      <c r="A1234" t="s">
        <v>106</v>
      </c>
    </row>
    <row r="1235" spans="1:1" x14ac:dyDescent="0.3">
      <c r="A1235" t="s">
        <v>1456</v>
      </c>
    </row>
    <row r="1236" spans="1:1" x14ac:dyDescent="0.3">
      <c r="A1236" t="s">
        <v>1157</v>
      </c>
    </row>
    <row r="1237" spans="1:1" x14ac:dyDescent="0.3">
      <c r="A1237" t="s">
        <v>1457</v>
      </c>
    </row>
    <row r="1238" spans="1:1" x14ac:dyDescent="0.3">
      <c r="A1238" t="s">
        <v>12</v>
      </c>
    </row>
    <row r="1239" spans="1:1" x14ac:dyDescent="0.3">
      <c r="A1239" t="s">
        <v>40</v>
      </c>
    </row>
    <row r="1241" spans="1:1" x14ac:dyDescent="0.3">
      <c r="A1241" t="s">
        <v>12</v>
      </c>
    </row>
    <row r="1242" spans="1:1" x14ac:dyDescent="0.3">
      <c r="A1242" t="s">
        <v>13</v>
      </c>
    </row>
    <row r="1243" spans="1:1" x14ac:dyDescent="0.3">
      <c r="A1243" t="s">
        <v>108</v>
      </c>
    </row>
    <row r="1244" spans="1:1" x14ac:dyDescent="0.3">
      <c r="A1244" t="s">
        <v>1458</v>
      </c>
    </row>
    <row r="1245" spans="1:1" x14ac:dyDescent="0.3">
      <c r="A1245" t="s">
        <v>1459</v>
      </c>
    </row>
    <row r="1246" spans="1:1" x14ac:dyDescent="0.3">
      <c r="A1246" t="s">
        <v>1153</v>
      </c>
    </row>
    <row r="1247" spans="1:1" x14ac:dyDescent="0.3">
      <c r="A1247" t="s">
        <v>110</v>
      </c>
    </row>
    <row r="1248" spans="1:1" x14ac:dyDescent="0.3">
      <c r="A1248" t="s">
        <v>1154</v>
      </c>
    </row>
    <row r="1249" spans="1:1" x14ac:dyDescent="0.3">
      <c r="A1249" t="s">
        <v>1460</v>
      </c>
    </row>
    <row r="1250" spans="1:1" x14ac:dyDescent="0.3">
      <c r="A1250" t="s">
        <v>51</v>
      </c>
    </row>
    <row r="1251" spans="1:1" x14ac:dyDescent="0.3">
      <c r="A1251" t="s">
        <v>52</v>
      </c>
    </row>
    <row r="1252" spans="1:1" x14ac:dyDescent="0.3">
      <c r="A1252" t="s">
        <v>79</v>
      </c>
    </row>
    <row r="1253" spans="1:1" x14ac:dyDescent="0.3">
      <c r="A1253" t="s">
        <v>98</v>
      </c>
    </row>
    <row r="1254" spans="1:1" x14ac:dyDescent="0.3">
      <c r="A1254" t="s">
        <v>13</v>
      </c>
    </row>
    <row r="1255" spans="1:1" x14ac:dyDescent="0.3">
      <c r="A1255" t="s">
        <v>105</v>
      </c>
    </row>
    <row r="1256" spans="1:1" x14ac:dyDescent="0.3">
      <c r="A1256" t="s">
        <v>1461</v>
      </c>
    </row>
    <row r="1257" spans="1:1" x14ac:dyDescent="0.3">
      <c r="A1257" t="s">
        <v>1157</v>
      </c>
    </row>
    <row r="1258" spans="1:1" x14ac:dyDescent="0.3">
      <c r="A1258" t="s">
        <v>1462</v>
      </c>
    </row>
    <row r="1259" spans="1:1" x14ac:dyDescent="0.3">
      <c r="A1259" t="s">
        <v>12</v>
      </c>
    </row>
    <row r="1260" spans="1:1" x14ac:dyDescent="0.3">
      <c r="A1260" t="s">
        <v>13</v>
      </c>
    </row>
    <row r="1261" spans="1:1" x14ac:dyDescent="0.3">
      <c r="A1261" t="s">
        <v>106</v>
      </c>
    </row>
    <row r="1262" spans="1:1" x14ac:dyDescent="0.3">
      <c r="A1262" t="s">
        <v>1463</v>
      </c>
    </row>
    <row r="1263" spans="1:1" x14ac:dyDescent="0.3">
      <c r="A1263" t="s">
        <v>1157</v>
      </c>
    </row>
    <row r="1264" spans="1:1" x14ac:dyDescent="0.3">
      <c r="A1264" t="s">
        <v>1464</v>
      </c>
    </row>
    <row r="1265" spans="1:1" x14ac:dyDescent="0.3">
      <c r="A1265" t="s">
        <v>12</v>
      </c>
    </row>
    <row r="1266" spans="1:1" x14ac:dyDescent="0.3">
      <c r="A1266" t="s">
        <v>40</v>
      </c>
    </row>
    <row r="1268" spans="1:1" x14ac:dyDescent="0.3">
      <c r="A1268" t="s">
        <v>12</v>
      </c>
    </row>
    <row r="1269" spans="1:1" x14ac:dyDescent="0.3">
      <c r="A1269" t="s">
        <v>13</v>
      </c>
    </row>
    <row r="1270" spans="1:1" x14ac:dyDescent="0.3">
      <c r="A1270" t="s">
        <v>1184</v>
      </c>
    </row>
    <row r="1271" spans="1:1" x14ac:dyDescent="0.3">
      <c r="A1271" t="s">
        <v>1465</v>
      </c>
    </row>
    <row r="1272" spans="1:1" x14ac:dyDescent="0.3">
      <c r="A1272" t="s">
        <v>1466</v>
      </c>
    </row>
    <row r="1273" spans="1:1" x14ac:dyDescent="0.3">
      <c r="A1273" t="s">
        <v>1153</v>
      </c>
    </row>
    <row r="1274" spans="1:1" x14ac:dyDescent="0.3">
      <c r="A1274" t="s">
        <v>110</v>
      </c>
    </row>
    <row r="1275" spans="1:1" x14ac:dyDescent="0.3">
      <c r="A1275" t="s">
        <v>1154</v>
      </c>
    </row>
    <row r="1276" spans="1:1" x14ac:dyDescent="0.3">
      <c r="A1276" t="s">
        <v>1467</v>
      </c>
    </row>
    <row r="1277" spans="1:1" x14ac:dyDescent="0.3">
      <c r="A1277" t="s">
        <v>51</v>
      </c>
    </row>
    <row r="1278" spans="1:1" x14ac:dyDescent="0.3">
      <c r="A1278" t="s">
        <v>52</v>
      </c>
    </row>
    <row r="1279" spans="1:1" x14ac:dyDescent="0.3">
      <c r="A1279" t="s">
        <v>79</v>
      </c>
    </row>
    <row r="1280" spans="1:1" x14ac:dyDescent="0.3">
      <c r="A1280" t="s">
        <v>98</v>
      </c>
    </row>
    <row r="1281" spans="1:1" x14ac:dyDescent="0.3">
      <c r="A1281" t="s">
        <v>13</v>
      </c>
    </row>
    <row r="1282" spans="1:1" x14ac:dyDescent="0.3">
      <c r="A1282" t="s">
        <v>105</v>
      </c>
    </row>
    <row r="1283" spans="1:1" x14ac:dyDescent="0.3">
      <c r="A1283" t="s">
        <v>1468</v>
      </c>
    </row>
    <row r="1284" spans="1:1" x14ac:dyDescent="0.3">
      <c r="A1284" t="s">
        <v>1157</v>
      </c>
    </row>
    <row r="1285" spans="1:1" x14ac:dyDescent="0.3">
      <c r="A1285" t="s">
        <v>1469</v>
      </c>
    </row>
    <row r="1286" spans="1:1" x14ac:dyDescent="0.3">
      <c r="A1286" t="s">
        <v>12</v>
      </c>
    </row>
    <row r="1287" spans="1:1" x14ac:dyDescent="0.3">
      <c r="A1287" t="s">
        <v>13</v>
      </c>
    </row>
    <row r="1288" spans="1:1" x14ac:dyDescent="0.3">
      <c r="A1288" t="s">
        <v>106</v>
      </c>
    </row>
    <row r="1289" spans="1:1" x14ac:dyDescent="0.3">
      <c r="A1289" t="s">
        <v>1470</v>
      </c>
    </row>
    <row r="1290" spans="1:1" x14ac:dyDescent="0.3">
      <c r="A1290" t="s">
        <v>1157</v>
      </c>
    </row>
    <row r="1291" spans="1:1" x14ac:dyDescent="0.3">
      <c r="A1291" t="s">
        <v>1471</v>
      </c>
    </row>
    <row r="1292" spans="1:1" x14ac:dyDescent="0.3">
      <c r="A1292" t="s">
        <v>12</v>
      </c>
    </row>
    <row r="1293" spans="1:1" x14ac:dyDescent="0.3">
      <c r="A1293" t="s">
        <v>40</v>
      </c>
    </row>
    <row r="1295" spans="1:1" x14ac:dyDescent="0.3">
      <c r="A1295" t="s">
        <v>12</v>
      </c>
    </row>
    <row r="1296" spans="1:1" x14ac:dyDescent="0.3">
      <c r="A1296" t="s">
        <v>13</v>
      </c>
    </row>
    <row r="1297" spans="1:1" x14ac:dyDescent="0.3">
      <c r="A1297" t="s">
        <v>1187</v>
      </c>
    </row>
    <row r="1298" spans="1:1" x14ac:dyDescent="0.3">
      <c r="A1298" t="s">
        <v>1472</v>
      </c>
    </row>
    <row r="1299" spans="1:1" x14ac:dyDescent="0.3">
      <c r="A1299" t="s">
        <v>1473</v>
      </c>
    </row>
    <row r="1300" spans="1:1" x14ac:dyDescent="0.3">
      <c r="A1300" t="s">
        <v>1153</v>
      </c>
    </row>
    <row r="1301" spans="1:1" x14ac:dyDescent="0.3">
      <c r="A1301" t="s">
        <v>110</v>
      </c>
    </row>
    <row r="1302" spans="1:1" x14ac:dyDescent="0.3">
      <c r="A1302" t="s">
        <v>1154</v>
      </c>
    </row>
    <row r="1303" spans="1:1" x14ac:dyDescent="0.3">
      <c r="A1303" t="s">
        <v>1474</v>
      </c>
    </row>
    <row r="1304" spans="1:1" x14ac:dyDescent="0.3">
      <c r="A1304" t="s">
        <v>51</v>
      </c>
    </row>
    <row r="1305" spans="1:1" x14ac:dyDescent="0.3">
      <c r="A1305" t="s">
        <v>52</v>
      </c>
    </row>
    <row r="1306" spans="1:1" x14ac:dyDescent="0.3">
      <c r="A1306" t="s">
        <v>79</v>
      </c>
    </row>
    <row r="1307" spans="1:1" x14ac:dyDescent="0.3">
      <c r="A1307" t="s">
        <v>98</v>
      </c>
    </row>
    <row r="1308" spans="1:1" x14ac:dyDescent="0.3">
      <c r="A1308" t="s">
        <v>13</v>
      </c>
    </row>
    <row r="1309" spans="1:1" x14ac:dyDescent="0.3">
      <c r="A1309" t="s">
        <v>105</v>
      </c>
    </row>
    <row r="1310" spans="1:1" x14ac:dyDescent="0.3">
      <c r="A1310" t="s">
        <v>1475</v>
      </c>
    </row>
    <row r="1311" spans="1:1" x14ac:dyDescent="0.3">
      <c r="A1311" t="s">
        <v>1157</v>
      </c>
    </row>
    <row r="1312" spans="1:1" x14ac:dyDescent="0.3">
      <c r="A1312" t="s">
        <v>1476</v>
      </c>
    </row>
    <row r="1313" spans="1:1" x14ac:dyDescent="0.3">
      <c r="A1313" t="s">
        <v>12</v>
      </c>
    </row>
    <row r="1314" spans="1:1" x14ac:dyDescent="0.3">
      <c r="A1314" t="s">
        <v>13</v>
      </c>
    </row>
    <row r="1315" spans="1:1" x14ac:dyDescent="0.3">
      <c r="A1315" t="s">
        <v>106</v>
      </c>
    </row>
    <row r="1316" spans="1:1" x14ac:dyDescent="0.3">
      <c r="A1316" t="s">
        <v>1477</v>
      </c>
    </row>
    <row r="1317" spans="1:1" x14ac:dyDescent="0.3">
      <c r="A1317" t="s">
        <v>1157</v>
      </c>
    </row>
    <row r="1318" spans="1:1" x14ac:dyDescent="0.3">
      <c r="A1318" t="s">
        <v>1478</v>
      </c>
    </row>
    <row r="1319" spans="1:1" x14ac:dyDescent="0.3">
      <c r="A1319" t="s">
        <v>12</v>
      </c>
    </row>
    <row r="1320" spans="1:1" x14ac:dyDescent="0.3">
      <c r="A1320" t="s">
        <v>40</v>
      </c>
    </row>
    <row r="1322" spans="1:1" x14ac:dyDescent="0.3">
      <c r="A1322" t="s">
        <v>12</v>
      </c>
    </row>
    <row r="1323" spans="1:1" x14ac:dyDescent="0.3">
      <c r="A1323" t="s">
        <v>13</v>
      </c>
    </row>
    <row r="1324" spans="1:1" x14ac:dyDescent="0.3">
      <c r="A1324" t="s">
        <v>1190</v>
      </c>
    </row>
    <row r="1325" spans="1:1" x14ac:dyDescent="0.3">
      <c r="A1325" t="s">
        <v>1479</v>
      </c>
    </row>
    <row r="1326" spans="1:1" x14ac:dyDescent="0.3">
      <c r="A1326" t="s">
        <v>1480</v>
      </c>
    </row>
    <row r="1327" spans="1:1" x14ac:dyDescent="0.3">
      <c r="A1327" t="s">
        <v>1153</v>
      </c>
    </row>
    <row r="1328" spans="1:1" x14ac:dyDescent="0.3">
      <c r="A1328" t="s">
        <v>110</v>
      </c>
    </row>
    <row r="1329" spans="1:1" x14ac:dyDescent="0.3">
      <c r="A1329" t="s">
        <v>1154</v>
      </c>
    </row>
    <row r="1330" spans="1:1" x14ac:dyDescent="0.3">
      <c r="A1330" t="s">
        <v>1481</v>
      </c>
    </row>
    <row r="1331" spans="1:1" x14ac:dyDescent="0.3">
      <c r="A1331" t="s">
        <v>51</v>
      </c>
    </row>
    <row r="1332" spans="1:1" x14ac:dyDescent="0.3">
      <c r="A1332" t="s">
        <v>52</v>
      </c>
    </row>
    <row r="1333" spans="1:1" x14ac:dyDescent="0.3">
      <c r="A1333" t="s">
        <v>79</v>
      </c>
    </row>
    <row r="1334" spans="1:1" x14ac:dyDescent="0.3">
      <c r="A1334" t="s">
        <v>98</v>
      </c>
    </row>
    <row r="1335" spans="1:1" x14ac:dyDescent="0.3">
      <c r="A1335" t="s">
        <v>13</v>
      </c>
    </row>
    <row r="1336" spans="1:1" x14ac:dyDescent="0.3">
      <c r="A1336" t="s">
        <v>105</v>
      </c>
    </row>
    <row r="1337" spans="1:1" x14ac:dyDescent="0.3">
      <c r="A1337" t="s">
        <v>1482</v>
      </c>
    </row>
    <row r="1338" spans="1:1" x14ac:dyDescent="0.3">
      <c r="A1338" t="s">
        <v>1157</v>
      </c>
    </row>
    <row r="1339" spans="1:1" x14ac:dyDescent="0.3">
      <c r="A1339" t="s">
        <v>1483</v>
      </c>
    </row>
    <row r="1340" spans="1:1" x14ac:dyDescent="0.3">
      <c r="A1340" t="s">
        <v>12</v>
      </c>
    </row>
    <row r="1341" spans="1:1" x14ac:dyDescent="0.3">
      <c r="A1341" t="s">
        <v>13</v>
      </c>
    </row>
    <row r="1342" spans="1:1" x14ac:dyDescent="0.3">
      <c r="A1342" t="s">
        <v>106</v>
      </c>
    </row>
    <row r="1343" spans="1:1" x14ac:dyDescent="0.3">
      <c r="A1343" t="s">
        <v>1484</v>
      </c>
    </row>
    <row r="1344" spans="1:1" x14ac:dyDescent="0.3">
      <c r="A1344" t="s">
        <v>1157</v>
      </c>
    </row>
    <row r="1345" spans="1:1" x14ac:dyDescent="0.3">
      <c r="A1345" t="s">
        <v>1485</v>
      </c>
    </row>
    <row r="1346" spans="1:1" x14ac:dyDescent="0.3">
      <c r="A1346" t="s">
        <v>12</v>
      </c>
    </row>
    <row r="1347" spans="1:1" x14ac:dyDescent="0.3">
      <c r="A1347" t="s">
        <v>40</v>
      </c>
    </row>
    <row r="1349" spans="1:1" x14ac:dyDescent="0.3">
      <c r="A1349" t="s">
        <v>12</v>
      </c>
    </row>
    <row r="1350" spans="1:1" x14ac:dyDescent="0.3">
      <c r="A1350" t="s">
        <v>13</v>
      </c>
    </row>
    <row r="1351" spans="1:1" x14ac:dyDescent="0.3">
      <c r="A1351" t="s">
        <v>1193</v>
      </c>
    </row>
    <row r="1352" spans="1:1" x14ac:dyDescent="0.3">
      <c r="A1352" t="s">
        <v>1486</v>
      </c>
    </row>
    <row r="1353" spans="1:1" x14ac:dyDescent="0.3">
      <c r="A1353" t="s">
        <v>1487</v>
      </c>
    </row>
    <row r="1354" spans="1:1" x14ac:dyDescent="0.3">
      <c r="A1354" t="s">
        <v>1153</v>
      </c>
    </row>
    <row r="1355" spans="1:1" x14ac:dyDescent="0.3">
      <c r="A1355" t="s">
        <v>110</v>
      </c>
    </row>
    <row r="1356" spans="1:1" x14ac:dyDescent="0.3">
      <c r="A1356" t="s">
        <v>2847</v>
      </c>
    </row>
    <row r="1357" spans="1:1" x14ac:dyDescent="0.3">
      <c r="A1357" t="s">
        <v>1488</v>
      </c>
    </row>
    <row r="1358" spans="1:1" x14ac:dyDescent="0.3">
      <c r="A1358" t="s">
        <v>51</v>
      </c>
    </row>
    <row r="1359" spans="1:1" x14ac:dyDescent="0.3">
      <c r="A1359" t="s">
        <v>52</v>
      </c>
    </row>
    <row r="1360" spans="1:1" x14ac:dyDescent="0.3">
      <c r="A1360" t="s">
        <v>79</v>
      </c>
    </row>
    <row r="1361" spans="1:1" x14ac:dyDescent="0.3">
      <c r="A1361" t="s">
        <v>98</v>
      </c>
    </row>
    <row r="1362" spans="1:1" x14ac:dyDescent="0.3">
      <c r="A1362" t="s">
        <v>13</v>
      </c>
    </row>
    <row r="1363" spans="1:1" x14ac:dyDescent="0.3">
      <c r="A1363" t="s">
        <v>105</v>
      </c>
    </row>
    <row r="1364" spans="1:1" x14ac:dyDescent="0.3">
      <c r="A1364" t="s">
        <v>1489</v>
      </c>
    </row>
    <row r="1365" spans="1:1" x14ac:dyDescent="0.3">
      <c r="A1365" t="s">
        <v>1157</v>
      </c>
    </row>
    <row r="1366" spans="1:1" x14ac:dyDescent="0.3">
      <c r="A1366" t="s">
        <v>1364</v>
      </c>
    </row>
    <row r="1367" spans="1:1" x14ac:dyDescent="0.3">
      <c r="A1367" t="s">
        <v>12</v>
      </c>
    </row>
    <row r="1368" spans="1:1" x14ac:dyDescent="0.3">
      <c r="A1368" t="s">
        <v>13</v>
      </c>
    </row>
    <row r="1369" spans="1:1" x14ac:dyDescent="0.3">
      <c r="A1369" t="s">
        <v>106</v>
      </c>
    </row>
    <row r="1370" spans="1:1" x14ac:dyDescent="0.3">
      <c r="A1370" t="s">
        <v>1490</v>
      </c>
    </row>
    <row r="1371" spans="1:1" x14ac:dyDescent="0.3">
      <c r="A1371" t="s">
        <v>1157</v>
      </c>
    </row>
    <row r="1372" spans="1:1" x14ac:dyDescent="0.3">
      <c r="A1372" t="s">
        <v>1491</v>
      </c>
    </row>
    <row r="1373" spans="1:1" x14ac:dyDescent="0.3">
      <c r="A1373" t="s">
        <v>12</v>
      </c>
    </row>
    <row r="1374" spans="1:1" x14ac:dyDescent="0.3">
      <c r="A1374" t="s">
        <v>40</v>
      </c>
    </row>
    <row r="1376" spans="1:1" x14ac:dyDescent="0.3">
      <c r="A1376" t="s">
        <v>12</v>
      </c>
    </row>
    <row r="1377" spans="1:1" x14ac:dyDescent="0.3">
      <c r="A1377" t="s">
        <v>13</v>
      </c>
    </row>
    <row r="1378" spans="1:1" x14ac:dyDescent="0.3">
      <c r="A1378" t="s">
        <v>1201</v>
      </c>
    </row>
    <row r="1379" spans="1:1" x14ac:dyDescent="0.3">
      <c r="A1379" t="s">
        <v>1492</v>
      </c>
    </row>
    <row r="1380" spans="1:1" x14ac:dyDescent="0.3">
      <c r="A1380" t="s">
        <v>1493</v>
      </c>
    </row>
    <row r="1381" spans="1:1" x14ac:dyDescent="0.3">
      <c r="A1381" t="s">
        <v>1153</v>
      </c>
    </row>
    <row r="1382" spans="1:1" x14ac:dyDescent="0.3">
      <c r="A1382" t="s">
        <v>110</v>
      </c>
    </row>
    <row r="1383" spans="1:1" x14ac:dyDescent="0.3">
      <c r="A1383" t="s">
        <v>2848</v>
      </c>
    </row>
    <row r="1384" spans="1:1" x14ac:dyDescent="0.3">
      <c r="A1384" t="s">
        <v>1494</v>
      </c>
    </row>
    <row r="1385" spans="1:1" x14ac:dyDescent="0.3">
      <c r="A1385" t="s">
        <v>51</v>
      </c>
    </row>
    <row r="1386" spans="1:1" x14ac:dyDescent="0.3">
      <c r="A1386" t="s">
        <v>52</v>
      </c>
    </row>
    <row r="1387" spans="1:1" x14ac:dyDescent="0.3">
      <c r="A1387" t="s">
        <v>79</v>
      </c>
    </row>
    <row r="1389" spans="1:1" x14ac:dyDescent="0.3">
      <c r="A1389" t="s">
        <v>12</v>
      </c>
    </row>
    <row r="1390" spans="1:1" x14ac:dyDescent="0.3">
      <c r="A1390" t="s">
        <v>13</v>
      </c>
    </row>
    <row r="1391" spans="1:1" x14ac:dyDescent="0.3">
      <c r="A1391" t="s">
        <v>1204</v>
      </c>
    </row>
    <row r="1392" spans="1:1" x14ac:dyDescent="0.3">
      <c r="A1392" t="s">
        <v>1495</v>
      </c>
    </row>
    <row r="1393" spans="1:1" x14ac:dyDescent="0.3">
      <c r="A1393" t="s">
        <v>1496</v>
      </c>
    </row>
    <row r="1394" spans="1:1" x14ac:dyDescent="0.3">
      <c r="A1394" t="s">
        <v>1153</v>
      </c>
    </row>
    <row r="1395" spans="1:1" x14ac:dyDescent="0.3">
      <c r="A1395" t="s">
        <v>110</v>
      </c>
    </row>
    <row r="1396" spans="1:1" x14ac:dyDescent="0.3">
      <c r="A1396" t="s">
        <v>1154</v>
      </c>
    </row>
    <row r="1397" spans="1:1" x14ac:dyDescent="0.3">
      <c r="A1397" t="s">
        <v>1497</v>
      </c>
    </row>
    <row r="1398" spans="1:1" x14ac:dyDescent="0.3">
      <c r="A1398" t="s">
        <v>51</v>
      </c>
    </row>
    <row r="1399" spans="1:1" x14ac:dyDescent="0.3">
      <c r="A1399" t="s">
        <v>52</v>
      </c>
    </row>
    <row r="1400" spans="1:1" x14ac:dyDescent="0.3">
      <c r="A1400" t="s">
        <v>79</v>
      </c>
    </row>
    <row r="1401" spans="1:1" x14ac:dyDescent="0.3">
      <c r="A1401" t="s">
        <v>98</v>
      </c>
    </row>
    <row r="1402" spans="1:1" x14ac:dyDescent="0.3">
      <c r="A1402" t="s">
        <v>13</v>
      </c>
    </row>
    <row r="1403" spans="1:1" x14ac:dyDescent="0.3">
      <c r="A1403" t="s">
        <v>105</v>
      </c>
    </row>
    <row r="1404" spans="1:1" x14ac:dyDescent="0.3">
      <c r="A1404" t="s">
        <v>1498</v>
      </c>
    </row>
    <row r="1405" spans="1:1" x14ac:dyDescent="0.3">
      <c r="A1405" t="s">
        <v>1157</v>
      </c>
    </row>
    <row r="1406" spans="1:1" x14ac:dyDescent="0.3">
      <c r="A1406" t="s">
        <v>1499</v>
      </c>
    </row>
    <row r="1407" spans="1:1" x14ac:dyDescent="0.3">
      <c r="A1407" t="s">
        <v>12</v>
      </c>
    </row>
    <row r="1408" spans="1:1" x14ac:dyDescent="0.3">
      <c r="A1408" t="s">
        <v>13</v>
      </c>
    </row>
    <row r="1409" spans="1:1" x14ac:dyDescent="0.3">
      <c r="A1409" t="s">
        <v>106</v>
      </c>
    </row>
    <row r="1410" spans="1:1" x14ac:dyDescent="0.3">
      <c r="A1410" t="s">
        <v>1500</v>
      </c>
    </row>
    <row r="1411" spans="1:1" x14ac:dyDescent="0.3">
      <c r="A1411" t="s">
        <v>1157</v>
      </c>
    </row>
    <row r="1412" spans="1:1" x14ac:dyDescent="0.3">
      <c r="A1412" t="s">
        <v>1501</v>
      </c>
    </row>
    <row r="1413" spans="1:1" x14ac:dyDescent="0.3">
      <c r="A1413" t="s">
        <v>12</v>
      </c>
    </row>
    <row r="1414" spans="1:1" x14ac:dyDescent="0.3">
      <c r="A1414" t="s">
        <v>40</v>
      </c>
    </row>
    <row r="1416" spans="1:1" x14ac:dyDescent="0.3">
      <c r="A1416" t="s">
        <v>12</v>
      </c>
    </row>
    <row r="1417" spans="1:1" x14ac:dyDescent="0.3">
      <c r="A1417" t="s">
        <v>13</v>
      </c>
    </row>
    <row r="1418" spans="1:1" x14ac:dyDescent="0.3">
      <c r="A1418" t="s">
        <v>1212</v>
      </c>
    </row>
    <row r="1419" spans="1:1" x14ac:dyDescent="0.3">
      <c r="A1419" t="s">
        <v>1502</v>
      </c>
    </row>
    <row r="1420" spans="1:1" x14ac:dyDescent="0.3">
      <c r="A1420" t="s">
        <v>1503</v>
      </c>
    </row>
    <row r="1421" spans="1:1" x14ac:dyDescent="0.3">
      <c r="A1421" t="s">
        <v>1153</v>
      </c>
    </row>
    <row r="1422" spans="1:1" x14ac:dyDescent="0.3">
      <c r="A1422" t="s">
        <v>110</v>
      </c>
    </row>
    <row r="1423" spans="1:1" x14ac:dyDescent="0.3">
      <c r="A1423" t="s">
        <v>2849</v>
      </c>
    </row>
    <row r="1424" spans="1:1" x14ac:dyDescent="0.3">
      <c r="A1424" t="s">
        <v>1504</v>
      </c>
    </row>
    <row r="1425" spans="1:1" x14ac:dyDescent="0.3">
      <c r="A1425" t="s">
        <v>51</v>
      </c>
    </row>
    <row r="1426" spans="1:1" x14ac:dyDescent="0.3">
      <c r="A1426" t="s">
        <v>52</v>
      </c>
    </row>
    <row r="1427" spans="1:1" x14ac:dyDescent="0.3">
      <c r="A1427" t="s">
        <v>79</v>
      </c>
    </row>
    <row r="1428" spans="1:1" x14ac:dyDescent="0.3">
      <c r="A1428" t="s">
        <v>98</v>
      </c>
    </row>
    <row r="1429" spans="1:1" x14ac:dyDescent="0.3">
      <c r="A1429" t="s">
        <v>13</v>
      </c>
    </row>
    <row r="1430" spans="1:1" x14ac:dyDescent="0.3">
      <c r="A1430" t="s">
        <v>105</v>
      </c>
    </row>
    <row r="1431" spans="1:1" x14ac:dyDescent="0.3">
      <c r="A1431" t="s">
        <v>1505</v>
      </c>
    </row>
    <row r="1432" spans="1:1" x14ac:dyDescent="0.3">
      <c r="A1432" t="s">
        <v>1157</v>
      </c>
    </row>
    <row r="1433" spans="1:1" x14ac:dyDescent="0.3">
      <c r="A1433" t="s">
        <v>1506</v>
      </c>
    </row>
    <row r="1434" spans="1:1" x14ac:dyDescent="0.3">
      <c r="A1434" t="s">
        <v>12</v>
      </c>
    </row>
    <row r="1435" spans="1:1" x14ac:dyDescent="0.3">
      <c r="A1435" t="s">
        <v>13</v>
      </c>
    </row>
    <row r="1436" spans="1:1" x14ac:dyDescent="0.3">
      <c r="A1436" t="s">
        <v>106</v>
      </c>
    </row>
    <row r="1437" spans="1:1" x14ac:dyDescent="0.3">
      <c r="A1437" t="s">
        <v>1507</v>
      </c>
    </row>
    <row r="1438" spans="1:1" x14ac:dyDescent="0.3">
      <c r="A1438" t="s">
        <v>1157</v>
      </c>
    </row>
    <row r="1439" spans="1:1" x14ac:dyDescent="0.3">
      <c r="A1439" t="s">
        <v>1508</v>
      </c>
    </row>
    <row r="1440" spans="1:1" x14ac:dyDescent="0.3">
      <c r="A1440" t="s">
        <v>12</v>
      </c>
    </row>
    <row r="1441" spans="1:1" x14ac:dyDescent="0.3">
      <c r="A1441" t="s">
        <v>40</v>
      </c>
    </row>
    <row r="1443" spans="1:1" x14ac:dyDescent="0.3">
      <c r="A1443" t="s">
        <v>12</v>
      </c>
    </row>
    <row r="1444" spans="1:1" x14ac:dyDescent="0.3">
      <c r="A1444" t="s">
        <v>13</v>
      </c>
    </row>
    <row r="1445" spans="1:1" x14ac:dyDescent="0.3">
      <c r="A1445" t="s">
        <v>1220</v>
      </c>
    </row>
    <row r="1446" spans="1:1" x14ac:dyDescent="0.3">
      <c r="A1446" t="s">
        <v>1509</v>
      </c>
    </row>
    <row r="1447" spans="1:1" x14ac:dyDescent="0.3">
      <c r="A1447" t="s">
        <v>1510</v>
      </c>
    </row>
    <row r="1448" spans="1:1" x14ac:dyDescent="0.3">
      <c r="A1448" t="s">
        <v>1153</v>
      </c>
    </row>
    <row r="1449" spans="1:1" x14ac:dyDescent="0.3">
      <c r="A1449" t="s">
        <v>110</v>
      </c>
    </row>
    <row r="1450" spans="1:1" x14ac:dyDescent="0.3">
      <c r="A1450" t="s">
        <v>1154</v>
      </c>
    </row>
    <row r="1451" spans="1:1" x14ac:dyDescent="0.3">
      <c r="A1451" t="s">
        <v>1511</v>
      </c>
    </row>
    <row r="1452" spans="1:1" x14ac:dyDescent="0.3">
      <c r="A1452" t="s">
        <v>51</v>
      </c>
    </row>
    <row r="1453" spans="1:1" x14ac:dyDescent="0.3">
      <c r="A1453" t="s">
        <v>52</v>
      </c>
    </row>
    <row r="1454" spans="1:1" x14ac:dyDescent="0.3">
      <c r="A1454" t="s">
        <v>79</v>
      </c>
    </row>
    <row r="1455" spans="1:1" x14ac:dyDescent="0.3">
      <c r="A1455" t="s">
        <v>98</v>
      </c>
    </row>
    <row r="1456" spans="1:1" x14ac:dyDescent="0.3">
      <c r="A1456" t="s">
        <v>13</v>
      </c>
    </row>
    <row r="1457" spans="1:1" x14ac:dyDescent="0.3">
      <c r="A1457" t="s">
        <v>105</v>
      </c>
    </row>
    <row r="1458" spans="1:1" x14ac:dyDescent="0.3">
      <c r="A1458" t="s">
        <v>1512</v>
      </c>
    </row>
    <row r="1459" spans="1:1" x14ac:dyDescent="0.3">
      <c r="A1459" t="s">
        <v>1157</v>
      </c>
    </row>
    <row r="1460" spans="1:1" x14ac:dyDescent="0.3">
      <c r="A1460" t="s">
        <v>1513</v>
      </c>
    </row>
    <row r="1461" spans="1:1" x14ac:dyDescent="0.3">
      <c r="A1461" t="s">
        <v>12</v>
      </c>
    </row>
    <row r="1462" spans="1:1" x14ac:dyDescent="0.3">
      <c r="A1462" t="s">
        <v>13</v>
      </c>
    </row>
    <row r="1463" spans="1:1" x14ac:dyDescent="0.3">
      <c r="A1463" t="s">
        <v>106</v>
      </c>
    </row>
    <row r="1464" spans="1:1" x14ac:dyDescent="0.3">
      <c r="A1464" t="s">
        <v>1514</v>
      </c>
    </row>
    <row r="1465" spans="1:1" x14ac:dyDescent="0.3">
      <c r="A1465" t="s">
        <v>1157</v>
      </c>
    </row>
    <row r="1466" spans="1:1" x14ac:dyDescent="0.3">
      <c r="A1466" t="s">
        <v>1515</v>
      </c>
    </row>
    <row r="1467" spans="1:1" x14ac:dyDescent="0.3">
      <c r="A1467" t="s">
        <v>12</v>
      </c>
    </row>
    <row r="1468" spans="1:1" x14ac:dyDescent="0.3">
      <c r="A1468" t="s">
        <v>40</v>
      </c>
    </row>
    <row r="1470" spans="1:1" x14ac:dyDescent="0.3">
      <c r="A1470" t="s">
        <v>12</v>
      </c>
    </row>
    <row r="1471" spans="1:1" x14ac:dyDescent="0.3">
      <c r="A1471" t="s">
        <v>13</v>
      </c>
    </row>
    <row r="1472" spans="1:1" x14ac:dyDescent="0.3">
      <c r="A1472" t="s">
        <v>1228</v>
      </c>
    </row>
    <row r="1473" spans="1:1" x14ac:dyDescent="0.3">
      <c r="A1473" t="s">
        <v>1516</v>
      </c>
    </row>
    <row r="1474" spans="1:1" x14ac:dyDescent="0.3">
      <c r="A1474" t="s">
        <v>1517</v>
      </c>
    </row>
    <row r="1475" spans="1:1" x14ac:dyDescent="0.3">
      <c r="A1475" t="s">
        <v>1153</v>
      </c>
    </row>
    <row r="1476" spans="1:1" x14ac:dyDescent="0.3">
      <c r="A1476" t="s">
        <v>110</v>
      </c>
    </row>
    <row r="1477" spans="1:1" x14ac:dyDescent="0.3">
      <c r="A1477" t="s">
        <v>2850</v>
      </c>
    </row>
    <row r="1478" spans="1:1" x14ac:dyDescent="0.3">
      <c r="A1478" t="s">
        <v>1518</v>
      </c>
    </row>
    <row r="1479" spans="1:1" x14ac:dyDescent="0.3">
      <c r="A1479" t="s">
        <v>51</v>
      </c>
    </row>
    <row r="1480" spans="1:1" x14ac:dyDescent="0.3">
      <c r="A1480" t="s">
        <v>52</v>
      </c>
    </row>
    <row r="1481" spans="1:1" x14ac:dyDescent="0.3">
      <c r="A1481" t="s">
        <v>79</v>
      </c>
    </row>
    <row r="1482" spans="1:1" x14ac:dyDescent="0.3">
      <c r="A1482" t="s">
        <v>98</v>
      </c>
    </row>
    <row r="1483" spans="1:1" x14ac:dyDescent="0.3">
      <c r="A1483" t="s">
        <v>13</v>
      </c>
    </row>
    <row r="1484" spans="1:1" x14ac:dyDescent="0.3">
      <c r="A1484" t="s">
        <v>105</v>
      </c>
    </row>
    <row r="1485" spans="1:1" x14ac:dyDescent="0.3">
      <c r="A1485" t="s">
        <v>1519</v>
      </c>
    </row>
    <row r="1486" spans="1:1" x14ac:dyDescent="0.3">
      <c r="A1486" t="s">
        <v>1157</v>
      </c>
    </row>
    <row r="1487" spans="1:1" x14ac:dyDescent="0.3">
      <c r="A1487" t="s">
        <v>1520</v>
      </c>
    </row>
    <row r="1488" spans="1:1" x14ac:dyDescent="0.3">
      <c r="A1488" t="s">
        <v>12</v>
      </c>
    </row>
    <row r="1489" spans="1:1" x14ac:dyDescent="0.3">
      <c r="A1489" t="s">
        <v>13</v>
      </c>
    </row>
    <row r="1490" spans="1:1" x14ac:dyDescent="0.3">
      <c r="A1490" t="s">
        <v>106</v>
      </c>
    </row>
    <row r="1491" spans="1:1" x14ac:dyDescent="0.3">
      <c r="A1491" t="s">
        <v>1521</v>
      </c>
    </row>
    <row r="1492" spans="1:1" x14ac:dyDescent="0.3">
      <c r="A1492" t="s">
        <v>1157</v>
      </c>
    </row>
    <row r="1493" spans="1:1" x14ac:dyDescent="0.3">
      <c r="A1493" t="s">
        <v>1522</v>
      </c>
    </row>
    <row r="1494" spans="1:1" x14ac:dyDescent="0.3">
      <c r="A1494" t="s">
        <v>12</v>
      </c>
    </row>
    <row r="1495" spans="1:1" x14ac:dyDescent="0.3">
      <c r="A1495" t="s">
        <v>40</v>
      </c>
    </row>
    <row r="1497" spans="1:1" x14ac:dyDescent="0.3">
      <c r="A1497" t="s">
        <v>12</v>
      </c>
    </row>
    <row r="1498" spans="1:1" x14ac:dyDescent="0.3">
      <c r="A1498" t="s">
        <v>13</v>
      </c>
    </row>
    <row r="1499" spans="1:1" x14ac:dyDescent="0.3">
      <c r="A1499" t="s">
        <v>1236</v>
      </c>
    </row>
    <row r="1500" spans="1:1" x14ac:dyDescent="0.3">
      <c r="A1500" t="s">
        <v>1523</v>
      </c>
    </row>
    <row r="1501" spans="1:1" x14ac:dyDescent="0.3">
      <c r="A1501" t="s">
        <v>1524</v>
      </c>
    </row>
    <row r="1502" spans="1:1" x14ac:dyDescent="0.3">
      <c r="A1502" t="s">
        <v>1153</v>
      </c>
    </row>
    <row r="1503" spans="1:1" x14ac:dyDescent="0.3">
      <c r="A1503" t="s">
        <v>110</v>
      </c>
    </row>
    <row r="1504" spans="1:1" x14ac:dyDescent="0.3">
      <c r="A1504" t="s">
        <v>1154</v>
      </c>
    </row>
    <row r="1505" spans="1:1" x14ac:dyDescent="0.3">
      <c r="A1505" t="s">
        <v>1525</v>
      </c>
    </row>
    <row r="1506" spans="1:1" x14ac:dyDescent="0.3">
      <c r="A1506" t="s">
        <v>51</v>
      </c>
    </row>
    <row r="1507" spans="1:1" x14ac:dyDescent="0.3">
      <c r="A1507" t="s">
        <v>52</v>
      </c>
    </row>
    <row r="1508" spans="1:1" x14ac:dyDescent="0.3">
      <c r="A1508" t="s">
        <v>79</v>
      </c>
    </row>
    <row r="1509" spans="1:1" x14ac:dyDescent="0.3">
      <c r="A1509" t="s">
        <v>98</v>
      </c>
    </row>
    <row r="1510" spans="1:1" x14ac:dyDescent="0.3">
      <c r="A1510" t="s">
        <v>13</v>
      </c>
    </row>
    <row r="1511" spans="1:1" x14ac:dyDescent="0.3">
      <c r="A1511" t="s">
        <v>105</v>
      </c>
    </row>
    <row r="1512" spans="1:1" x14ac:dyDescent="0.3">
      <c r="A1512" t="s">
        <v>1526</v>
      </c>
    </row>
    <row r="1513" spans="1:1" x14ac:dyDescent="0.3">
      <c r="A1513" t="s">
        <v>1157</v>
      </c>
    </row>
    <row r="1514" spans="1:1" x14ac:dyDescent="0.3">
      <c r="A1514" t="s">
        <v>1527</v>
      </c>
    </row>
    <row r="1515" spans="1:1" x14ac:dyDescent="0.3">
      <c r="A1515" t="s">
        <v>12</v>
      </c>
    </row>
    <row r="1516" spans="1:1" x14ac:dyDescent="0.3">
      <c r="A1516" t="s">
        <v>13</v>
      </c>
    </row>
    <row r="1517" spans="1:1" x14ac:dyDescent="0.3">
      <c r="A1517" t="s">
        <v>106</v>
      </c>
    </row>
    <row r="1518" spans="1:1" x14ac:dyDescent="0.3">
      <c r="A1518" t="s">
        <v>1528</v>
      </c>
    </row>
    <row r="1519" spans="1:1" x14ac:dyDescent="0.3">
      <c r="A1519" t="s">
        <v>1157</v>
      </c>
    </row>
    <row r="1520" spans="1:1" x14ac:dyDescent="0.3">
      <c r="A1520" t="s">
        <v>1501</v>
      </c>
    </row>
    <row r="1521" spans="1:1" x14ac:dyDescent="0.3">
      <c r="A1521" t="s">
        <v>12</v>
      </c>
    </row>
    <row r="1522" spans="1:1" x14ac:dyDescent="0.3">
      <c r="A1522" t="s">
        <v>40</v>
      </c>
    </row>
    <row r="1524" spans="1:1" x14ac:dyDescent="0.3">
      <c r="A1524" t="s">
        <v>12</v>
      </c>
    </row>
    <row r="1525" spans="1:1" x14ac:dyDescent="0.3">
      <c r="A1525" t="s">
        <v>13</v>
      </c>
    </row>
    <row r="1526" spans="1:1" x14ac:dyDescent="0.3">
      <c r="A1526" t="s">
        <v>1244</v>
      </c>
    </row>
    <row r="1527" spans="1:1" x14ac:dyDescent="0.3">
      <c r="A1527" t="s">
        <v>1529</v>
      </c>
    </row>
    <row r="1528" spans="1:1" x14ac:dyDescent="0.3">
      <c r="A1528" t="s">
        <v>1530</v>
      </c>
    </row>
    <row r="1529" spans="1:1" x14ac:dyDescent="0.3">
      <c r="A1529" t="s">
        <v>1153</v>
      </c>
    </row>
    <row r="1530" spans="1:1" x14ac:dyDescent="0.3">
      <c r="A1530" t="s">
        <v>110</v>
      </c>
    </row>
    <row r="1531" spans="1:1" x14ac:dyDescent="0.3">
      <c r="A1531" t="s">
        <v>1154</v>
      </c>
    </row>
    <row r="1532" spans="1:1" x14ac:dyDescent="0.3">
      <c r="A1532" t="s">
        <v>1531</v>
      </c>
    </row>
    <row r="1533" spans="1:1" x14ac:dyDescent="0.3">
      <c r="A1533" t="s">
        <v>51</v>
      </c>
    </row>
    <row r="1534" spans="1:1" x14ac:dyDescent="0.3">
      <c r="A1534" t="s">
        <v>52</v>
      </c>
    </row>
    <row r="1535" spans="1:1" x14ac:dyDescent="0.3">
      <c r="A1535" t="s">
        <v>79</v>
      </c>
    </row>
    <row r="1536" spans="1:1" x14ac:dyDescent="0.3">
      <c r="A1536" t="s">
        <v>98</v>
      </c>
    </row>
    <row r="1537" spans="1:1" x14ac:dyDescent="0.3">
      <c r="A1537" t="s">
        <v>13</v>
      </c>
    </row>
    <row r="1538" spans="1:1" x14ac:dyDescent="0.3">
      <c r="A1538" t="s">
        <v>105</v>
      </c>
    </row>
    <row r="1539" spans="1:1" x14ac:dyDescent="0.3">
      <c r="A1539" t="s">
        <v>1532</v>
      </c>
    </row>
    <row r="1540" spans="1:1" x14ac:dyDescent="0.3">
      <c r="A1540" t="s">
        <v>1157</v>
      </c>
    </row>
    <row r="1541" spans="1:1" x14ac:dyDescent="0.3">
      <c r="A1541" t="s">
        <v>1533</v>
      </c>
    </row>
    <row r="1542" spans="1:1" x14ac:dyDescent="0.3">
      <c r="A1542" t="s">
        <v>12</v>
      </c>
    </row>
    <row r="1543" spans="1:1" x14ac:dyDescent="0.3">
      <c r="A1543" t="s">
        <v>13</v>
      </c>
    </row>
    <row r="1544" spans="1:1" x14ac:dyDescent="0.3">
      <c r="A1544" t="s">
        <v>106</v>
      </c>
    </row>
    <row r="1545" spans="1:1" x14ac:dyDescent="0.3">
      <c r="A1545" t="s">
        <v>1534</v>
      </c>
    </row>
    <row r="1546" spans="1:1" x14ac:dyDescent="0.3">
      <c r="A1546" t="s">
        <v>1157</v>
      </c>
    </row>
    <row r="1547" spans="1:1" x14ac:dyDescent="0.3">
      <c r="A1547" t="s">
        <v>1535</v>
      </c>
    </row>
    <row r="1548" spans="1:1" x14ac:dyDescent="0.3">
      <c r="A1548" t="s">
        <v>12</v>
      </c>
    </row>
    <row r="1549" spans="1:1" x14ac:dyDescent="0.3">
      <c r="A1549" t="s">
        <v>40</v>
      </c>
    </row>
    <row r="1551" spans="1:1" x14ac:dyDescent="0.3">
      <c r="A1551" t="s">
        <v>12</v>
      </c>
    </row>
    <row r="1552" spans="1:1" x14ac:dyDescent="0.3">
      <c r="A1552" t="s">
        <v>13</v>
      </c>
    </row>
    <row r="1553" spans="1:1" x14ac:dyDescent="0.3">
      <c r="A1553" t="s">
        <v>1252</v>
      </c>
    </row>
    <row r="1554" spans="1:1" x14ac:dyDescent="0.3">
      <c r="A1554" t="s">
        <v>1536</v>
      </c>
    </row>
    <row r="1555" spans="1:1" x14ac:dyDescent="0.3">
      <c r="A1555" t="s">
        <v>1537</v>
      </c>
    </row>
    <row r="1556" spans="1:1" x14ac:dyDescent="0.3">
      <c r="A1556" t="s">
        <v>1153</v>
      </c>
    </row>
    <row r="1557" spans="1:1" x14ac:dyDescent="0.3">
      <c r="A1557" t="s">
        <v>110</v>
      </c>
    </row>
    <row r="1558" spans="1:1" x14ac:dyDescent="0.3">
      <c r="A1558" t="s">
        <v>1154</v>
      </c>
    </row>
    <row r="1559" spans="1:1" x14ac:dyDescent="0.3">
      <c r="A1559" t="s">
        <v>1538</v>
      </c>
    </row>
    <row r="1560" spans="1:1" x14ac:dyDescent="0.3">
      <c r="A1560" t="s">
        <v>51</v>
      </c>
    </row>
    <row r="1561" spans="1:1" x14ac:dyDescent="0.3">
      <c r="A1561" t="s">
        <v>52</v>
      </c>
    </row>
    <row r="1562" spans="1:1" x14ac:dyDescent="0.3">
      <c r="A1562" t="s">
        <v>79</v>
      </c>
    </row>
    <row r="1563" spans="1:1" x14ac:dyDescent="0.3">
      <c r="A1563" t="s">
        <v>98</v>
      </c>
    </row>
    <row r="1564" spans="1:1" x14ac:dyDescent="0.3">
      <c r="A1564" t="s">
        <v>13</v>
      </c>
    </row>
    <row r="1565" spans="1:1" x14ac:dyDescent="0.3">
      <c r="A1565" t="s">
        <v>105</v>
      </c>
    </row>
    <row r="1566" spans="1:1" x14ac:dyDescent="0.3">
      <c r="A1566" t="s">
        <v>1539</v>
      </c>
    </row>
    <row r="1567" spans="1:1" x14ac:dyDescent="0.3">
      <c r="A1567" t="s">
        <v>1157</v>
      </c>
    </row>
    <row r="1568" spans="1:1" x14ac:dyDescent="0.3">
      <c r="A1568" t="s">
        <v>1540</v>
      </c>
    </row>
    <row r="1569" spans="1:1" x14ac:dyDescent="0.3">
      <c r="A1569" t="s">
        <v>12</v>
      </c>
    </row>
    <row r="1570" spans="1:1" x14ac:dyDescent="0.3">
      <c r="A1570" t="s">
        <v>13</v>
      </c>
    </row>
    <row r="1571" spans="1:1" x14ac:dyDescent="0.3">
      <c r="A1571" t="s">
        <v>106</v>
      </c>
    </row>
    <row r="1572" spans="1:1" x14ac:dyDescent="0.3">
      <c r="A1572" t="s">
        <v>1541</v>
      </c>
    </row>
    <row r="1573" spans="1:1" x14ac:dyDescent="0.3">
      <c r="A1573" t="s">
        <v>1157</v>
      </c>
    </row>
    <row r="1574" spans="1:1" x14ac:dyDescent="0.3">
      <c r="A1574" t="s">
        <v>1542</v>
      </c>
    </row>
    <row r="1575" spans="1:1" x14ac:dyDescent="0.3">
      <c r="A1575" t="s">
        <v>12</v>
      </c>
    </row>
    <row r="1576" spans="1:1" x14ac:dyDescent="0.3">
      <c r="A1576" t="s">
        <v>40</v>
      </c>
    </row>
    <row r="1578" spans="1:1" x14ac:dyDescent="0.3">
      <c r="A1578" t="s">
        <v>12</v>
      </c>
    </row>
    <row r="1579" spans="1:1" x14ac:dyDescent="0.3">
      <c r="A1579" t="s">
        <v>13</v>
      </c>
    </row>
    <row r="1580" spans="1:1" x14ac:dyDescent="0.3">
      <c r="A1580" t="s">
        <v>1256</v>
      </c>
    </row>
    <row r="1581" spans="1:1" x14ac:dyDescent="0.3">
      <c r="A1581" t="s">
        <v>1543</v>
      </c>
    </row>
    <row r="1582" spans="1:1" x14ac:dyDescent="0.3">
      <c r="A1582" t="s">
        <v>1544</v>
      </c>
    </row>
    <row r="1583" spans="1:1" x14ac:dyDescent="0.3">
      <c r="A1583" t="s">
        <v>1153</v>
      </c>
    </row>
    <row r="1584" spans="1:1" x14ac:dyDescent="0.3">
      <c r="A1584" t="s">
        <v>110</v>
      </c>
    </row>
    <row r="1585" spans="1:1" x14ac:dyDescent="0.3">
      <c r="A1585" t="s">
        <v>1154</v>
      </c>
    </row>
    <row r="1586" spans="1:1" x14ac:dyDescent="0.3">
      <c r="A1586" t="s">
        <v>1545</v>
      </c>
    </row>
    <row r="1587" spans="1:1" x14ac:dyDescent="0.3">
      <c r="A1587" t="s">
        <v>51</v>
      </c>
    </row>
    <row r="1588" spans="1:1" x14ac:dyDescent="0.3">
      <c r="A1588" t="s">
        <v>52</v>
      </c>
    </row>
    <row r="1589" spans="1:1" x14ac:dyDescent="0.3">
      <c r="A1589" t="s">
        <v>79</v>
      </c>
    </row>
    <row r="1590" spans="1:1" x14ac:dyDescent="0.3">
      <c r="A1590" t="s">
        <v>98</v>
      </c>
    </row>
    <row r="1591" spans="1:1" x14ac:dyDescent="0.3">
      <c r="A1591" t="s">
        <v>13</v>
      </c>
    </row>
    <row r="1592" spans="1:1" x14ac:dyDescent="0.3">
      <c r="A1592" t="s">
        <v>105</v>
      </c>
    </row>
    <row r="1593" spans="1:1" x14ac:dyDescent="0.3">
      <c r="A1593" t="s">
        <v>1546</v>
      </c>
    </row>
    <row r="1594" spans="1:1" x14ac:dyDescent="0.3">
      <c r="A1594" t="s">
        <v>1157</v>
      </c>
    </row>
    <row r="1595" spans="1:1" x14ac:dyDescent="0.3">
      <c r="A1595" t="s">
        <v>1547</v>
      </c>
    </row>
    <row r="1596" spans="1:1" x14ac:dyDescent="0.3">
      <c r="A1596" t="s">
        <v>12</v>
      </c>
    </row>
    <row r="1597" spans="1:1" x14ac:dyDescent="0.3">
      <c r="A1597" t="s">
        <v>13</v>
      </c>
    </row>
    <row r="1598" spans="1:1" x14ac:dyDescent="0.3">
      <c r="A1598" t="s">
        <v>106</v>
      </c>
    </row>
    <row r="1599" spans="1:1" x14ac:dyDescent="0.3">
      <c r="A1599" t="s">
        <v>1548</v>
      </c>
    </row>
    <row r="1600" spans="1:1" x14ac:dyDescent="0.3">
      <c r="A1600" t="s">
        <v>1157</v>
      </c>
    </row>
    <row r="1601" spans="1:1" x14ac:dyDescent="0.3">
      <c r="A1601" t="s">
        <v>1549</v>
      </c>
    </row>
    <row r="1602" spans="1:1" x14ac:dyDescent="0.3">
      <c r="A1602" t="s">
        <v>12</v>
      </c>
    </row>
    <row r="1603" spans="1:1" x14ac:dyDescent="0.3">
      <c r="A1603" t="s">
        <v>40</v>
      </c>
    </row>
    <row r="1605" spans="1:1" x14ac:dyDescent="0.3">
      <c r="A1605" t="s">
        <v>12</v>
      </c>
    </row>
    <row r="1606" spans="1:1" x14ac:dyDescent="0.3">
      <c r="A1606" t="s">
        <v>13</v>
      </c>
    </row>
    <row r="1607" spans="1:1" x14ac:dyDescent="0.3">
      <c r="A1607" t="s">
        <v>1260</v>
      </c>
    </row>
    <row r="1608" spans="1:1" x14ac:dyDescent="0.3">
      <c r="A1608" t="s">
        <v>1550</v>
      </c>
    </row>
    <row r="1609" spans="1:1" x14ac:dyDescent="0.3">
      <c r="A1609" t="s">
        <v>1551</v>
      </c>
    </row>
    <row r="1610" spans="1:1" x14ac:dyDescent="0.3">
      <c r="A1610" t="s">
        <v>1153</v>
      </c>
    </row>
    <row r="1611" spans="1:1" x14ac:dyDescent="0.3">
      <c r="A1611" t="s">
        <v>110</v>
      </c>
    </row>
    <row r="1612" spans="1:1" x14ac:dyDescent="0.3">
      <c r="A1612" t="s">
        <v>1154</v>
      </c>
    </row>
    <row r="1613" spans="1:1" x14ac:dyDescent="0.3">
      <c r="A1613" t="s">
        <v>1552</v>
      </c>
    </row>
    <row r="1614" spans="1:1" x14ac:dyDescent="0.3">
      <c r="A1614" t="s">
        <v>51</v>
      </c>
    </row>
    <row r="1615" spans="1:1" x14ac:dyDescent="0.3">
      <c r="A1615" t="s">
        <v>52</v>
      </c>
    </row>
    <row r="1616" spans="1:1" x14ac:dyDescent="0.3">
      <c r="A1616" t="s">
        <v>79</v>
      </c>
    </row>
    <row r="1617" spans="1:1" x14ac:dyDescent="0.3">
      <c r="A1617" t="s">
        <v>98</v>
      </c>
    </row>
    <row r="1618" spans="1:1" x14ac:dyDescent="0.3">
      <c r="A1618" t="s">
        <v>13</v>
      </c>
    </row>
    <row r="1619" spans="1:1" x14ac:dyDescent="0.3">
      <c r="A1619" t="s">
        <v>105</v>
      </c>
    </row>
    <row r="1620" spans="1:1" x14ac:dyDescent="0.3">
      <c r="A1620" t="s">
        <v>1553</v>
      </c>
    </row>
    <row r="1621" spans="1:1" x14ac:dyDescent="0.3">
      <c r="A1621" t="s">
        <v>1157</v>
      </c>
    </row>
    <row r="1622" spans="1:1" x14ac:dyDescent="0.3">
      <c r="A1622" t="s">
        <v>1554</v>
      </c>
    </row>
    <row r="1623" spans="1:1" x14ac:dyDescent="0.3">
      <c r="A1623" t="s">
        <v>12</v>
      </c>
    </row>
    <row r="1624" spans="1:1" x14ac:dyDescent="0.3">
      <c r="A1624" t="s">
        <v>13</v>
      </c>
    </row>
    <row r="1625" spans="1:1" x14ac:dyDescent="0.3">
      <c r="A1625" t="s">
        <v>106</v>
      </c>
    </row>
    <row r="1626" spans="1:1" x14ac:dyDescent="0.3">
      <c r="A1626" t="s">
        <v>1555</v>
      </c>
    </row>
    <row r="1627" spans="1:1" x14ac:dyDescent="0.3">
      <c r="A1627" t="s">
        <v>1157</v>
      </c>
    </row>
    <row r="1628" spans="1:1" x14ac:dyDescent="0.3">
      <c r="A1628" t="s">
        <v>1556</v>
      </c>
    </row>
    <row r="1629" spans="1:1" x14ac:dyDescent="0.3">
      <c r="A1629" t="s">
        <v>12</v>
      </c>
    </row>
    <row r="1630" spans="1:1" x14ac:dyDescent="0.3">
      <c r="A1630" t="s">
        <v>40</v>
      </c>
    </row>
    <row r="1632" spans="1:1" x14ac:dyDescent="0.3">
      <c r="A1632" t="s">
        <v>12</v>
      </c>
    </row>
    <row r="1633" spans="1:1" x14ac:dyDescent="0.3">
      <c r="A1633" t="s">
        <v>13</v>
      </c>
    </row>
    <row r="1634" spans="1:1" x14ac:dyDescent="0.3">
      <c r="A1634" t="s">
        <v>1264</v>
      </c>
    </row>
    <row r="1635" spans="1:1" x14ac:dyDescent="0.3">
      <c r="A1635" t="s">
        <v>1557</v>
      </c>
    </row>
    <row r="1636" spans="1:1" x14ac:dyDescent="0.3">
      <c r="A1636" t="s">
        <v>1558</v>
      </c>
    </row>
    <row r="1637" spans="1:1" x14ac:dyDescent="0.3">
      <c r="A1637" t="s">
        <v>1153</v>
      </c>
    </row>
    <row r="1638" spans="1:1" x14ac:dyDescent="0.3">
      <c r="A1638" t="s">
        <v>110</v>
      </c>
    </row>
    <row r="1639" spans="1:1" x14ac:dyDescent="0.3">
      <c r="A1639" t="s">
        <v>1154</v>
      </c>
    </row>
    <row r="1640" spans="1:1" x14ac:dyDescent="0.3">
      <c r="A1640" t="s">
        <v>1559</v>
      </c>
    </row>
    <row r="1641" spans="1:1" x14ac:dyDescent="0.3">
      <c r="A1641" t="s">
        <v>51</v>
      </c>
    </row>
    <row r="1642" spans="1:1" x14ac:dyDescent="0.3">
      <c r="A1642" t="s">
        <v>52</v>
      </c>
    </row>
    <row r="1643" spans="1:1" x14ac:dyDescent="0.3">
      <c r="A1643" t="s">
        <v>79</v>
      </c>
    </row>
    <row r="1645" spans="1:1" x14ac:dyDescent="0.3">
      <c r="A1645" t="s">
        <v>12</v>
      </c>
    </row>
    <row r="1646" spans="1:1" x14ac:dyDescent="0.3">
      <c r="A1646" t="s">
        <v>13</v>
      </c>
    </row>
    <row r="1647" spans="1:1" x14ac:dyDescent="0.3">
      <c r="A1647" t="s">
        <v>1268</v>
      </c>
    </row>
    <row r="1648" spans="1:1" x14ac:dyDescent="0.3">
      <c r="A1648" t="s">
        <v>1560</v>
      </c>
    </row>
    <row r="1649" spans="1:1" x14ac:dyDescent="0.3">
      <c r="A1649" t="s">
        <v>1561</v>
      </c>
    </row>
    <row r="1650" spans="1:1" x14ac:dyDescent="0.3">
      <c r="A1650" t="s">
        <v>1153</v>
      </c>
    </row>
    <row r="1651" spans="1:1" x14ac:dyDescent="0.3">
      <c r="A1651" t="s">
        <v>110</v>
      </c>
    </row>
    <row r="1652" spans="1:1" x14ac:dyDescent="0.3">
      <c r="A1652" t="s">
        <v>2851</v>
      </c>
    </row>
    <row r="1653" spans="1:1" x14ac:dyDescent="0.3">
      <c r="A1653" t="s">
        <v>1562</v>
      </c>
    </row>
    <row r="1654" spans="1:1" x14ac:dyDescent="0.3">
      <c r="A1654" t="s">
        <v>51</v>
      </c>
    </row>
    <row r="1655" spans="1:1" x14ac:dyDescent="0.3">
      <c r="A1655" t="s">
        <v>52</v>
      </c>
    </row>
    <row r="1656" spans="1:1" x14ac:dyDescent="0.3">
      <c r="A1656" t="s">
        <v>79</v>
      </c>
    </row>
    <row r="1658" spans="1:1" x14ac:dyDescent="0.3">
      <c r="A1658" t="s">
        <v>12</v>
      </c>
    </row>
    <row r="1659" spans="1:1" x14ac:dyDescent="0.3">
      <c r="A1659" t="s">
        <v>13</v>
      </c>
    </row>
    <row r="1660" spans="1:1" x14ac:dyDescent="0.3">
      <c r="A1660" t="s">
        <v>1276</v>
      </c>
    </row>
    <row r="1661" spans="1:1" x14ac:dyDescent="0.3">
      <c r="A1661" t="s">
        <v>1563</v>
      </c>
    </row>
    <row r="1662" spans="1:1" x14ac:dyDescent="0.3">
      <c r="A1662" t="s">
        <v>1564</v>
      </c>
    </row>
    <row r="1663" spans="1:1" x14ac:dyDescent="0.3">
      <c r="A1663" t="s">
        <v>1153</v>
      </c>
    </row>
    <row r="1664" spans="1:1" x14ac:dyDescent="0.3">
      <c r="A1664" t="s">
        <v>110</v>
      </c>
    </row>
    <row r="1665" spans="1:1" x14ac:dyDescent="0.3">
      <c r="A1665" t="s">
        <v>2852</v>
      </c>
    </row>
    <row r="1666" spans="1:1" x14ac:dyDescent="0.3">
      <c r="A1666" t="s">
        <v>1565</v>
      </c>
    </row>
    <row r="1667" spans="1:1" x14ac:dyDescent="0.3">
      <c r="A1667" t="s">
        <v>51</v>
      </c>
    </row>
    <row r="1668" spans="1:1" x14ac:dyDescent="0.3">
      <c r="A1668" t="s">
        <v>52</v>
      </c>
    </row>
    <row r="1669" spans="1:1" x14ac:dyDescent="0.3">
      <c r="A1669" t="s">
        <v>79</v>
      </c>
    </row>
    <row r="1670" spans="1:1" x14ac:dyDescent="0.3">
      <c r="A1670" t="s">
        <v>98</v>
      </c>
    </row>
    <row r="1671" spans="1:1" x14ac:dyDescent="0.3">
      <c r="A1671" t="s">
        <v>13</v>
      </c>
    </row>
    <row r="1672" spans="1:1" x14ac:dyDescent="0.3">
      <c r="A1672" t="s">
        <v>105</v>
      </c>
    </row>
    <row r="1673" spans="1:1" x14ac:dyDescent="0.3">
      <c r="A1673" t="s">
        <v>1566</v>
      </c>
    </row>
    <row r="1674" spans="1:1" x14ac:dyDescent="0.3">
      <c r="A1674" t="s">
        <v>1157</v>
      </c>
    </row>
    <row r="1675" spans="1:1" x14ac:dyDescent="0.3">
      <c r="A1675" t="s">
        <v>1567</v>
      </c>
    </row>
    <row r="1676" spans="1:1" x14ac:dyDescent="0.3">
      <c r="A1676" t="s">
        <v>12</v>
      </c>
    </row>
    <row r="1677" spans="1:1" x14ac:dyDescent="0.3">
      <c r="A1677" t="s">
        <v>13</v>
      </c>
    </row>
    <row r="1678" spans="1:1" x14ac:dyDescent="0.3">
      <c r="A1678" t="s">
        <v>106</v>
      </c>
    </row>
    <row r="1679" spans="1:1" x14ac:dyDescent="0.3">
      <c r="A1679" t="s">
        <v>1568</v>
      </c>
    </row>
    <row r="1680" spans="1:1" x14ac:dyDescent="0.3">
      <c r="A1680" t="s">
        <v>1157</v>
      </c>
    </row>
    <row r="1681" spans="1:1" x14ac:dyDescent="0.3">
      <c r="A1681" t="s">
        <v>1569</v>
      </c>
    </row>
    <row r="1682" spans="1:1" x14ac:dyDescent="0.3">
      <c r="A1682" t="s">
        <v>12</v>
      </c>
    </row>
    <row r="1683" spans="1:1" x14ac:dyDescent="0.3">
      <c r="A1683" t="s">
        <v>40</v>
      </c>
    </row>
    <row r="1685" spans="1:1" x14ac:dyDescent="0.3">
      <c r="A1685" t="s">
        <v>12</v>
      </c>
    </row>
    <row r="1686" spans="1:1" x14ac:dyDescent="0.3">
      <c r="A1686" t="s">
        <v>13</v>
      </c>
    </row>
    <row r="1687" spans="1:1" x14ac:dyDescent="0.3">
      <c r="A1687" t="s">
        <v>1279</v>
      </c>
    </row>
    <row r="1688" spans="1:1" x14ac:dyDescent="0.3">
      <c r="A1688" t="s">
        <v>1570</v>
      </c>
    </row>
    <row r="1689" spans="1:1" x14ac:dyDescent="0.3">
      <c r="A1689" t="s">
        <v>1571</v>
      </c>
    </row>
    <row r="1690" spans="1:1" x14ac:dyDescent="0.3">
      <c r="A1690" t="s">
        <v>1153</v>
      </c>
    </row>
    <row r="1691" spans="1:1" x14ac:dyDescent="0.3">
      <c r="A1691" t="s">
        <v>110</v>
      </c>
    </row>
    <row r="1692" spans="1:1" x14ac:dyDescent="0.3">
      <c r="A1692" t="s">
        <v>1154</v>
      </c>
    </row>
    <row r="1693" spans="1:1" x14ac:dyDescent="0.3">
      <c r="A1693" t="s">
        <v>1572</v>
      </c>
    </row>
    <row r="1694" spans="1:1" x14ac:dyDescent="0.3">
      <c r="A1694" t="s">
        <v>51</v>
      </c>
    </row>
    <row r="1695" spans="1:1" x14ac:dyDescent="0.3">
      <c r="A1695" t="s">
        <v>52</v>
      </c>
    </row>
    <row r="1696" spans="1:1" x14ac:dyDescent="0.3">
      <c r="A1696" t="s">
        <v>79</v>
      </c>
    </row>
    <row r="1698" spans="1:1" x14ac:dyDescent="0.3">
      <c r="A1698" t="s">
        <v>12</v>
      </c>
    </row>
    <row r="1699" spans="1:1" x14ac:dyDescent="0.3">
      <c r="A1699" t="s">
        <v>13</v>
      </c>
    </row>
    <row r="1700" spans="1:1" x14ac:dyDescent="0.3">
      <c r="A1700" t="s">
        <v>1287</v>
      </c>
    </row>
    <row r="1701" spans="1:1" x14ac:dyDescent="0.3">
      <c r="A1701" t="s">
        <v>1573</v>
      </c>
    </row>
    <row r="1702" spans="1:1" x14ac:dyDescent="0.3">
      <c r="A1702" t="s">
        <v>1574</v>
      </c>
    </row>
    <row r="1703" spans="1:1" x14ac:dyDescent="0.3">
      <c r="A1703" t="s">
        <v>1153</v>
      </c>
    </row>
    <row r="1704" spans="1:1" x14ac:dyDescent="0.3">
      <c r="A1704" t="s">
        <v>110</v>
      </c>
    </row>
    <row r="1705" spans="1:1" x14ac:dyDescent="0.3">
      <c r="A1705" t="s">
        <v>1154</v>
      </c>
    </row>
    <row r="1706" spans="1:1" x14ac:dyDescent="0.3">
      <c r="A1706" t="s">
        <v>1575</v>
      </c>
    </row>
    <row r="1707" spans="1:1" x14ac:dyDescent="0.3">
      <c r="A1707" t="s">
        <v>51</v>
      </c>
    </row>
    <row r="1708" spans="1:1" x14ac:dyDescent="0.3">
      <c r="A1708" t="s">
        <v>52</v>
      </c>
    </row>
    <row r="1709" spans="1:1" x14ac:dyDescent="0.3">
      <c r="A1709" t="s">
        <v>79</v>
      </c>
    </row>
    <row r="1711" spans="1:1" x14ac:dyDescent="0.3">
      <c r="A1711" t="s">
        <v>12</v>
      </c>
    </row>
    <row r="1712" spans="1:1" x14ac:dyDescent="0.3">
      <c r="A1712" t="s">
        <v>13</v>
      </c>
    </row>
    <row r="1713" spans="1:1" x14ac:dyDescent="0.3">
      <c r="A1713" t="s">
        <v>1295</v>
      </c>
    </row>
    <row r="1714" spans="1:1" x14ac:dyDescent="0.3">
      <c r="A1714" t="s">
        <v>1576</v>
      </c>
    </row>
    <row r="1715" spans="1:1" x14ac:dyDescent="0.3">
      <c r="A1715" t="s">
        <v>1577</v>
      </c>
    </row>
    <row r="1716" spans="1:1" x14ac:dyDescent="0.3">
      <c r="A1716" t="s">
        <v>1153</v>
      </c>
    </row>
    <row r="1717" spans="1:1" x14ac:dyDescent="0.3">
      <c r="A1717" t="s">
        <v>110</v>
      </c>
    </row>
    <row r="1718" spans="1:1" x14ac:dyDescent="0.3">
      <c r="A1718" t="s">
        <v>1154</v>
      </c>
    </row>
    <row r="1719" spans="1:1" x14ac:dyDescent="0.3">
      <c r="A1719" t="s">
        <v>1578</v>
      </c>
    </row>
    <row r="1720" spans="1:1" x14ac:dyDescent="0.3">
      <c r="A1720" t="s">
        <v>51</v>
      </c>
    </row>
    <row r="1721" spans="1:1" x14ac:dyDescent="0.3">
      <c r="A1721" t="s">
        <v>52</v>
      </c>
    </row>
    <row r="1722" spans="1:1" x14ac:dyDescent="0.3">
      <c r="A1722" t="s">
        <v>79</v>
      </c>
    </row>
    <row r="1723" spans="1:1" x14ac:dyDescent="0.3">
      <c r="A1723" t="s">
        <v>98</v>
      </c>
    </row>
    <row r="1724" spans="1:1" x14ac:dyDescent="0.3">
      <c r="A1724" t="s">
        <v>13</v>
      </c>
    </row>
    <row r="1725" spans="1:1" x14ac:dyDescent="0.3">
      <c r="A1725" t="s">
        <v>105</v>
      </c>
    </row>
    <row r="1726" spans="1:1" x14ac:dyDescent="0.3">
      <c r="A1726" t="s">
        <v>1579</v>
      </c>
    </row>
    <row r="1727" spans="1:1" x14ac:dyDescent="0.3">
      <c r="A1727" t="s">
        <v>1157</v>
      </c>
    </row>
    <row r="1728" spans="1:1" x14ac:dyDescent="0.3">
      <c r="A1728" t="s">
        <v>1580</v>
      </c>
    </row>
    <row r="1729" spans="1:1" x14ac:dyDescent="0.3">
      <c r="A1729" t="s">
        <v>12</v>
      </c>
    </row>
    <row r="1730" spans="1:1" x14ac:dyDescent="0.3">
      <c r="A1730" t="s">
        <v>40</v>
      </c>
    </row>
    <row r="1732" spans="1:1" x14ac:dyDescent="0.3">
      <c r="A1732" t="s">
        <v>12</v>
      </c>
    </row>
    <row r="1733" spans="1:1" x14ac:dyDescent="0.3">
      <c r="A1733" t="s">
        <v>13</v>
      </c>
    </row>
    <row r="1734" spans="1:1" x14ac:dyDescent="0.3">
      <c r="A1734" t="s">
        <v>1298</v>
      </c>
    </row>
    <row r="1735" spans="1:1" x14ac:dyDescent="0.3">
      <c r="A1735" t="s">
        <v>1581</v>
      </c>
    </row>
    <row r="1736" spans="1:1" x14ac:dyDescent="0.3">
      <c r="A1736" t="s">
        <v>1582</v>
      </c>
    </row>
    <row r="1737" spans="1:1" x14ac:dyDescent="0.3">
      <c r="A1737" t="s">
        <v>1153</v>
      </c>
    </row>
    <row r="1738" spans="1:1" x14ac:dyDescent="0.3">
      <c r="A1738" t="s">
        <v>110</v>
      </c>
    </row>
    <row r="1739" spans="1:1" x14ac:dyDescent="0.3">
      <c r="A1739" t="s">
        <v>1154</v>
      </c>
    </row>
    <row r="1740" spans="1:1" x14ac:dyDescent="0.3">
      <c r="A1740" t="s">
        <v>1583</v>
      </c>
    </row>
    <row r="1741" spans="1:1" x14ac:dyDescent="0.3">
      <c r="A1741" t="s">
        <v>51</v>
      </c>
    </row>
    <row r="1742" spans="1:1" x14ac:dyDescent="0.3">
      <c r="A1742" t="s">
        <v>52</v>
      </c>
    </row>
    <row r="1743" spans="1:1" x14ac:dyDescent="0.3">
      <c r="A1743" t="s">
        <v>79</v>
      </c>
    </row>
    <row r="1744" spans="1:1" x14ac:dyDescent="0.3">
      <c r="A1744" t="s">
        <v>98</v>
      </c>
    </row>
    <row r="1745" spans="1:1" x14ac:dyDescent="0.3">
      <c r="A1745" t="s">
        <v>13</v>
      </c>
    </row>
    <row r="1746" spans="1:1" x14ac:dyDescent="0.3">
      <c r="A1746" t="s">
        <v>105</v>
      </c>
    </row>
    <row r="1747" spans="1:1" x14ac:dyDescent="0.3">
      <c r="A1747" t="s">
        <v>1584</v>
      </c>
    </row>
    <row r="1748" spans="1:1" x14ac:dyDescent="0.3">
      <c r="A1748" t="s">
        <v>1157</v>
      </c>
    </row>
    <row r="1749" spans="1:1" x14ac:dyDescent="0.3">
      <c r="A1749" t="s">
        <v>1585</v>
      </c>
    </row>
    <row r="1750" spans="1:1" x14ac:dyDescent="0.3">
      <c r="A1750" t="s">
        <v>12</v>
      </c>
    </row>
    <row r="1751" spans="1:1" x14ac:dyDescent="0.3">
      <c r="A1751" t="s">
        <v>13</v>
      </c>
    </row>
    <row r="1752" spans="1:1" x14ac:dyDescent="0.3">
      <c r="A1752" t="s">
        <v>106</v>
      </c>
    </row>
    <row r="1753" spans="1:1" x14ac:dyDescent="0.3">
      <c r="A1753" t="s">
        <v>1586</v>
      </c>
    </row>
    <row r="1754" spans="1:1" x14ac:dyDescent="0.3">
      <c r="A1754" t="s">
        <v>1157</v>
      </c>
    </row>
    <row r="1755" spans="1:1" x14ac:dyDescent="0.3">
      <c r="A1755" t="s">
        <v>1501</v>
      </c>
    </row>
    <row r="1756" spans="1:1" x14ac:dyDescent="0.3">
      <c r="A1756" t="s">
        <v>12</v>
      </c>
    </row>
    <row r="1757" spans="1:1" x14ac:dyDescent="0.3">
      <c r="A1757" t="s">
        <v>40</v>
      </c>
    </row>
    <row r="1759" spans="1:1" x14ac:dyDescent="0.3">
      <c r="A1759" t="s">
        <v>12</v>
      </c>
    </row>
    <row r="1760" spans="1:1" x14ac:dyDescent="0.3">
      <c r="A1760" t="s">
        <v>13</v>
      </c>
    </row>
    <row r="1761" spans="1:1" x14ac:dyDescent="0.3">
      <c r="A1761" t="s">
        <v>1306</v>
      </c>
    </row>
    <row r="1762" spans="1:1" x14ac:dyDescent="0.3">
      <c r="A1762" t="s">
        <v>1587</v>
      </c>
    </row>
    <row r="1763" spans="1:1" x14ac:dyDescent="0.3">
      <c r="A1763" t="s">
        <v>1588</v>
      </c>
    </row>
    <row r="1764" spans="1:1" x14ac:dyDescent="0.3">
      <c r="A1764" t="s">
        <v>1153</v>
      </c>
    </row>
    <row r="1765" spans="1:1" x14ac:dyDescent="0.3">
      <c r="A1765" t="s">
        <v>110</v>
      </c>
    </row>
    <row r="1766" spans="1:1" x14ac:dyDescent="0.3">
      <c r="A1766" t="s">
        <v>1154</v>
      </c>
    </row>
    <row r="1767" spans="1:1" x14ac:dyDescent="0.3">
      <c r="A1767" t="s">
        <v>1589</v>
      </c>
    </row>
    <row r="1768" spans="1:1" x14ac:dyDescent="0.3">
      <c r="A1768" t="s">
        <v>51</v>
      </c>
    </row>
    <row r="1769" spans="1:1" x14ac:dyDescent="0.3">
      <c r="A1769" t="s">
        <v>52</v>
      </c>
    </row>
    <row r="1770" spans="1:1" x14ac:dyDescent="0.3">
      <c r="A1770" t="s">
        <v>79</v>
      </c>
    </row>
    <row r="1771" spans="1:1" x14ac:dyDescent="0.3">
      <c r="A1771" t="s">
        <v>98</v>
      </c>
    </row>
    <row r="1772" spans="1:1" x14ac:dyDescent="0.3">
      <c r="A1772" t="s">
        <v>13</v>
      </c>
    </row>
    <row r="1773" spans="1:1" x14ac:dyDescent="0.3">
      <c r="A1773" t="s">
        <v>105</v>
      </c>
    </row>
    <row r="1774" spans="1:1" x14ac:dyDescent="0.3">
      <c r="A1774" t="s">
        <v>1590</v>
      </c>
    </row>
    <row r="1775" spans="1:1" x14ac:dyDescent="0.3">
      <c r="A1775" t="s">
        <v>1157</v>
      </c>
    </row>
    <row r="1776" spans="1:1" x14ac:dyDescent="0.3">
      <c r="A1776" t="s">
        <v>1591</v>
      </c>
    </row>
    <row r="1777" spans="1:1" x14ac:dyDescent="0.3">
      <c r="A1777" t="s">
        <v>12</v>
      </c>
    </row>
    <row r="1778" spans="1:1" x14ac:dyDescent="0.3">
      <c r="A1778" t="s">
        <v>13</v>
      </c>
    </row>
    <row r="1779" spans="1:1" x14ac:dyDescent="0.3">
      <c r="A1779" t="s">
        <v>106</v>
      </c>
    </row>
    <row r="1780" spans="1:1" x14ac:dyDescent="0.3">
      <c r="A1780" t="s">
        <v>1592</v>
      </c>
    </row>
    <row r="1781" spans="1:1" x14ac:dyDescent="0.3">
      <c r="A1781" t="s">
        <v>1157</v>
      </c>
    </row>
    <row r="1782" spans="1:1" x14ac:dyDescent="0.3">
      <c r="A1782" t="s">
        <v>1593</v>
      </c>
    </row>
    <row r="1783" spans="1:1" x14ac:dyDescent="0.3">
      <c r="A1783" t="s">
        <v>12</v>
      </c>
    </row>
    <row r="1784" spans="1:1" x14ac:dyDescent="0.3">
      <c r="A1784" t="s">
        <v>40</v>
      </c>
    </row>
    <row r="1786" spans="1:1" x14ac:dyDescent="0.3">
      <c r="A1786" t="s">
        <v>12</v>
      </c>
    </row>
    <row r="1787" spans="1:1" x14ac:dyDescent="0.3">
      <c r="A1787" t="s">
        <v>13</v>
      </c>
    </row>
    <row r="1788" spans="1:1" x14ac:dyDescent="0.3">
      <c r="A1788" t="s">
        <v>1314</v>
      </c>
    </row>
    <row r="1789" spans="1:1" x14ac:dyDescent="0.3">
      <c r="A1789" t="s">
        <v>1594</v>
      </c>
    </row>
    <row r="1790" spans="1:1" x14ac:dyDescent="0.3">
      <c r="A1790" t="s">
        <v>1595</v>
      </c>
    </row>
    <row r="1791" spans="1:1" x14ac:dyDescent="0.3">
      <c r="A1791" t="s">
        <v>1153</v>
      </c>
    </row>
    <row r="1792" spans="1:1" x14ac:dyDescent="0.3">
      <c r="A1792" t="s">
        <v>110</v>
      </c>
    </row>
    <row r="1793" spans="1:1" x14ac:dyDescent="0.3">
      <c r="A1793" t="s">
        <v>2853</v>
      </c>
    </row>
    <row r="1794" spans="1:1" x14ac:dyDescent="0.3">
      <c r="A1794" t="s">
        <v>1596</v>
      </c>
    </row>
    <row r="1795" spans="1:1" x14ac:dyDescent="0.3">
      <c r="A1795" t="s">
        <v>51</v>
      </c>
    </row>
    <row r="1796" spans="1:1" x14ac:dyDescent="0.3">
      <c r="A1796" t="s">
        <v>52</v>
      </c>
    </row>
    <row r="1797" spans="1:1" x14ac:dyDescent="0.3">
      <c r="A1797" t="s">
        <v>79</v>
      </c>
    </row>
    <row r="1798" spans="1:1" x14ac:dyDescent="0.3">
      <c r="A1798" t="s">
        <v>98</v>
      </c>
    </row>
    <row r="1799" spans="1:1" x14ac:dyDescent="0.3">
      <c r="A1799" t="s">
        <v>13</v>
      </c>
    </row>
    <row r="1800" spans="1:1" x14ac:dyDescent="0.3">
      <c r="A1800" t="s">
        <v>105</v>
      </c>
    </row>
    <row r="1801" spans="1:1" x14ac:dyDescent="0.3">
      <c r="A1801" t="s">
        <v>1597</v>
      </c>
    </row>
    <row r="1802" spans="1:1" x14ac:dyDescent="0.3">
      <c r="A1802" t="s">
        <v>1157</v>
      </c>
    </row>
    <row r="1803" spans="1:1" x14ac:dyDescent="0.3">
      <c r="A1803" t="s">
        <v>1598</v>
      </c>
    </row>
    <row r="1804" spans="1:1" x14ac:dyDescent="0.3">
      <c r="A1804" t="s">
        <v>12</v>
      </c>
    </row>
    <row r="1805" spans="1:1" x14ac:dyDescent="0.3">
      <c r="A1805" t="s">
        <v>13</v>
      </c>
    </row>
    <row r="1806" spans="1:1" x14ac:dyDescent="0.3">
      <c r="A1806" t="s">
        <v>106</v>
      </c>
    </row>
    <row r="1807" spans="1:1" x14ac:dyDescent="0.3">
      <c r="A1807" t="s">
        <v>1599</v>
      </c>
    </row>
    <row r="1808" spans="1:1" x14ac:dyDescent="0.3">
      <c r="A1808" t="s">
        <v>1157</v>
      </c>
    </row>
    <row r="1809" spans="1:1" x14ac:dyDescent="0.3">
      <c r="A1809" t="s">
        <v>1600</v>
      </c>
    </row>
    <row r="1810" spans="1:1" x14ac:dyDescent="0.3">
      <c r="A1810" t="s">
        <v>12</v>
      </c>
    </row>
    <row r="1811" spans="1:1" x14ac:dyDescent="0.3">
      <c r="A1811" t="s">
        <v>40</v>
      </c>
    </row>
    <row r="1813" spans="1:1" x14ac:dyDescent="0.3">
      <c r="A1813" t="s">
        <v>12</v>
      </c>
    </row>
    <row r="1814" spans="1:1" x14ac:dyDescent="0.3">
      <c r="A1814" t="s">
        <v>13</v>
      </c>
    </row>
    <row r="1815" spans="1:1" x14ac:dyDescent="0.3">
      <c r="A1815" t="s">
        <v>1322</v>
      </c>
    </row>
    <row r="1816" spans="1:1" x14ac:dyDescent="0.3">
      <c r="A1816" t="s">
        <v>1601</v>
      </c>
    </row>
    <row r="1817" spans="1:1" x14ac:dyDescent="0.3">
      <c r="A1817" t="s">
        <v>1602</v>
      </c>
    </row>
    <row r="1818" spans="1:1" x14ac:dyDescent="0.3">
      <c r="A1818" t="s">
        <v>1153</v>
      </c>
    </row>
    <row r="1819" spans="1:1" x14ac:dyDescent="0.3">
      <c r="A1819" t="s">
        <v>110</v>
      </c>
    </row>
    <row r="1820" spans="1:1" x14ac:dyDescent="0.3">
      <c r="A1820" t="s">
        <v>2854</v>
      </c>
    </row>
    <row r="1821" spans="1:1" x14ac:dyDescent="0.3">
      <c r="A1821" t="s">
        <v>1603</v>
      </c>
    </row>
    <row r="1822" spans="1:1" x14ac:dyDescent="0.3">
      <c r="A1822" t="s">
        <v>51</v>
      </c>
    </row>
    <row r="1823" spans="1:1" x14ac:dyDescent="0.3">
      <c r="A1823" t="s">
        <v>52</v>
      </c>
    </row>
    <row r="1824" spans="1:1" x14ac:dyDescent="0.3">
      <c r="A1824" t="s">
        <v>79</v>
      </c>
    </row>
    <row r="1825" spans="1:1" x14ac:dyDescent="0.3">
      <c r="A1825" t="s">
        <v>98</v>
      </c>
    </row>
    <row r="1826" spans="1:1" x14ac:dyDescent="0.3">
      <c r="A1826" t="s">
        <v>13</v>
      </c>
    </row>
    <row r="1827" spans="1:1" x14ac:dyDescent="0.3">
      <c r="A1827" t="s">
        <v>105</v>
      </c>
    </row>
    <row r="1828" spans="1:1" x14ac:dyDescent="0.3">
      <c r="A1828" t="s">
        <v>1604</v>
      </c>
    </row>
    <row r="1829" spans="1:1" x14ac:dyDescent="0.3">
      <c r="A1829" t="s">
        <v>1157</v>
      </c>
    </row>
    <row r="1830" spans="1:1" x14ac:dyDescent="0.3">
      <c r="A1830" t="s">
        <v>1605</v>
      </c>
    </row>
    <row r="1831" spans="1:1" x14ac:dyDescent="0.3">
      <c r="A1831" t="s">
        <v>12</v>
      </c>
    </row>
    <row r="1832" spans="1:1" x14ac:dyDescent="0.3">
      <c r="A1832" t="s">
        <v>13</v>
      </c>
    </row>
    <row r="1833" spans="1:1" x14ac:dyDescent="0.3">
      <c r="A1833" t="s">
        <v>106</v>
      </c>
    </row>
    <row r="1834" spans="1:1" x14ac:dyDescent="0.3">
      <c r="A1834" t="s">
        <v>1606</v>
      </c>
    </row>
    <row r="1835" spans="1:1" x14ac:dyDescent="0.3">
      <c r="A1835" t="s">
        <v>1157</v>
      </c>
    </row>
    <row r="1836" spans="1:1" x14ac:dyDescent="0.3">
      <c r="A1836" t="s">
        <v>1607</v>
      </c>
    </row>
    <row r="1837" spans="1:1" x14ac:dyDescent="0.3">
      <c r="A1837" t="s">
        <v>12</v>
      </c>
    </row>
    <row r="1838" spans="1:1" x14ac:dyDescent="0.3">
      <c r="A1838" t="s">
        <v>40</v>
      </c>
    </row>
    <row r="1840" spans="1:1" x14ac:dyDescent="0.3">
      <c r="A1840" t="s">
        <v>12</v>
      </c>
    </row>
    <row r="1841" spans="1:1" x14ac:dyDescent="0.3">
      <c r="A1841" t="s">
        <v>13</v>
      </c>
    </row>
    <row r="1842" spans="1:1" x14ac:dyDescent="0.3">
      <c r="A1842" t="s">
        <v>1328</v>
      </c>
    </row>
    <row r="1843" spans="1:1" x14ac:dyDescent="0.3">
      <c r="A1843" t="s">
        <v>1601</v>
      </c>
    </row>
    <row r="1844" spans="1:1" x14ac:dyDescent="0.3">
      <c r="A1844" t="s">
        <v>1608</v>
      </c>
    </row>
    <row r="1845" spans="1:1" x14ac:dyDescent="0.3">
      <c r="A1845" t="s">
        <v>1153</v>
      </c>
    </row>
    <row r="1846" spans="1:1" x14ac:dyDescent="0.3">
      <c r="A1846" t="s">
        <v>110</v>
      </c>
    </row>
    <row r="1847" spans="1:1" x14ac:dyDescent="0.3">
      <c r="A1847" t="s">
        <v>2854</v>
      </c>
    </row>
    <row r="1848" spans="1:1" x14ac:dyDescent="0.3">
      <c r="A1848" t="s">
        <v>1609</v>
      </c>
    </row>
    <row r="1849" spans="1:1" x14ac:dyDescent="0.3">
      <c r="A1849" t="s">
        <v>51</v>
      </c>
    </row>
    <row r="1850" spans="1:1" x14ac:dyDescent="0.3">
      <c r="A1850" t="s">
        <v>52</v>
      </c>
    </row>
    <row r="1851" spans="1:1" x14ac:dyDescent="0.3">
      <c r="A1851" t="s">
        <v>79</v>
      </c>
    </row>
    <row r="1852" spans="1:1" x14ac:dyDescent="0.3">
      <c r="A1852" t="s">
        <v>98</v>
      </c>
    </row>
    <row r="1853" spans="1:1" x14ac:dyDescent="0.3">
      <c r="A1853" t="s">
        <v>13</v>
      </c>
    </row>
    <row r="1854" spans="1:1" x14ac:dyDescent="0.3">
      <c r="A1854" t="s">
        <v>105</v>
      </c>
    </row>
    <row r="1855" spans="1:1" x14ac:dyDescent="0.3">
      <c r="A1855" t="s">
        <v>1604</v>
      </c>
    </row>
    <row r="1856" spans="1:1" x14ac:dyDescent="0.3">
      <c r="A1856" t="s">
        <v>1157</v>
      </c>
    </row>
    <row r="1857" spans="1:1" x14ac:dyDescent="0.3">
      <c r="A1857" t="s">
        <v>1605</v>
      </c>
    </row>
    <row r="1858" spans="1:1" x14ac:dyDescent="0.3">
      <c r="A1858" t="s">
        <v>12</v>
      </c>
    </row>
    <row r="1859" spans="1:1" x14ac:dyDescent="0.3">
      <c r="A1859" t="s">
        <v>13</v>
      </c>
    </row>
    <row r="1860" spans="1:1" x14ac:dyDescent="0.3">
      <c r="A1860" t="s">
        <v>106</v>
      </c>
    </row>
    <row r="1861" spans="1:1" x14ac:dyDescent="0.3">
      <c r="A1861" t="s">
        <v>1606</v>
      </c>
    </row>
    <row r="1862" spans="1:1" x14ac:dyDescent="0.3">
      <c r="A1862" t="s">
        <v>1157</v>
      </c>
    </row>
    <row r="1863" spans="1:1" x14ac:dyDescent="0.3">
      <c r="A1863" t="s">
        <v>1607</v>
      </c>
    </row>
    <row r="1864" spans="1:1" x14ac:dyDescent="0.3">
      <c r="A1864" t="s">
        <v>12</v>
      </c>
    </row>
    <row r="1865" spans="1:1" x14ac:dyDescent="0.3">
      <c r="A1865" t="s">
        <v>40</v>
      </c>
    </row>
    <row r="1867" spans="1:1" x14ac:dyDescent="0.3">
      <c r="A1867" t="s">
        <v>12</v>
      </c>
    </row>
    <row r="1868" spans="1:1" x14ac:dyDescent="0.3">
      <c r="A1868" t="s">
        <v>13</v>
      </c>
    </row>
    <row r="1869" spans="1:1" x14ac:dyDescent="0.3">
      <c r="A1869" t="s">
        <v>1332</v>
      </c>
    </row>
    <row r="1870" spans="1:1" x14ac:dyDescent="0.3">
      <c r="A1870" t="s">
        <v>1610</v>
      </c>
    </row>
    <row r="1871" spans="1:1" x14ac:dyDescent="0.3">
      <c r="A1871" t="s">
        <v>1611</v>
      </c>
    </row>
    <row r="1872" spans="1:1" x14ac:dyDescent="0.3">
      <c r="A1872" t="s">
        <v>1153</v>
      </c>
    </row>
    <row r="1873" spans="1:1" x14ac:dyDescent="0.3">
      <c r="A1873" t="s">
        <v>110</v>
      </c>
    </row>
    <row r="1874" spans="1:1" x14ac:dyDescent="0.3">
      <c r="A1874" t="s">
        <v>1154</v>
      </c>
    </row>
    <row r="1875" spans="1:1" x14ac:dyDescent="0.3">
      <c r="A1875" t="s">
        <v>1612</v>
      </c>
    </row>
    <row r="1876" spans="1:1" x14ac:dyDescent="0.3">
      <c r="A1876" t="s">
        <v>51</v>
      </c>
    </row>
    <row r="1877" spans="1:1" x14ac:dyDescent="0.3">
      <c r="A1877" t="s">
        <v>52</v>
      </c>
    </row>
    <row r="1878" spans="1:1" x14ac:dyDescent="0.3">
      <c r="A1878" t="s">
        <v>79</v>
      </c>
    </row>
    <row r="1880" spans="1:1" x14ac:dyDescent="0.3">
      <c r="A1880" t="s">
        <v>12</v>
      </c>
    </row>
    <row r="1881" spans="1:1" x14ac:dyDescent="0.3">
      <c r="A1881" t="s">
        <v>13</v>
      </c>
    </row>
    <row r="1882" spans="1:1" x14ac:dyDescent="0.3">
      <c r="A1882" t="s">
        <v>1336</v>
      </c>
    </row>
    <row r="1883" spans="1:1" x14ac:dyDescent="0.3">
      <c r="A1883" t="s">
        <v>1613</v>
      </c>
    </row>
    <row r="1884" spans="1:1" x14ac:dyDescent="0.3">
      <c r="A1884" t="s">
        <v>1614</v>
      </c>
    </row>
    <row r="1885" spans="1:1" x14ac:dyDescent="0.3">
      <c r="A1885" t="s">
        <v>1153</v>
      </c>
    </row>
    <row r="1886" spans="1:1" x14ac:dyDescent="0.3">
      <c r="A1886" t="s">
        <v>110</v>
      </c>
    </row>
    <row r="1887" spans="1:1" x14ac:dyDescent="0.3">
      <c r="A1887" t="s">
        <v>2855</v>
      </c>
    </row>
    <row r="1888" spans="1:1" x14ac:dyDescent="0.3">
      <c r="A1888" t="s">
        <v>1615</v>
      </c>
    </row>
    <row r="1889" spans="1:1" x14ac:dyDescent="0.3">
      <c r="A1889" t="s">
        <v>51</v>
      </c>
    </row>
    <row r="1890" spans="1:1" x14ac:dyDescent="0.3">
      <c r="A1890" t="s">
        <v>52</v>
      </c>
    </row>
    <row r="1891" spans="1:1" x14ac:dyDescent="0.3">
      <c r="A1891" t="s">
        <v>79</v>
      </c>
    </row>
    <row r="1892" spans="1:1" x14ac:dyDescent="0.3">
      <c r="A1892" t="s">
        <v>98</v>
      </c>
    </row>
    <row r="1893" spans="1:1" x14ac:dyDescent="0.3">
      <c r="A1893" t="s">
        <v>13</v>
      </c>
    </row>
    <row r="1894" spans="1:1" x14ac:dyDescent="0.3">
      <c r="A1894" t="s">
        <v>105</v>
      </c>
    </row>
    <row r="1895" spans="1:1" x14ac:dyDescent="0.3">
      <c r="A1895" t="s">
        <v>1616</v>
      </c>
    </row>
    <row r="1896" spans="1:1" x14ac:dyDescent="0.3">
      <c r="A1896" t="s">
        <v>1157</v>
      </c>
    </row>
    <row r="1897" spans="1:1" x14ac:dyDescent="0.3">
      <c r="A1897" t="s">
        <v>1617</v>
      </c>
    </row>
    <row r="1898" spans="1:1" x14ac:dyDescent="0.3">
      <c r="A1898" t="s">
        <v>12</v>
      </c>
    </row>
    <row r="1899" spans="1:1" x14ac:dyDescent="0.3">
      <c r="A1899" t="s">
        <v>13</v>
      </c>
    </row>
    <row r="1900" spans="1:1" x14ac:dyDescent="0.3">
      <c r="A1900" t="s">
        <v>106</v>
      </c>
    </row>
    <row r="1901" spans="1:1" x14ac:dyDescent="0.3">
      <c r="A1901" t="s">
        <v>1618</v>
      </c>
    </row>
    <row r="1902" spans="1:1" x14ac:dyDescent="0.3">
      <c r="A1902" t="s">
        <v>1157</v>
      </c>
    </row>
    <row r="1903" spans="1:1" x14ac:dyDescent="0.3">
      <c r="A1903" t="s">
        <v>1619</v>
      </c>
    </row>
    <row r="1904" spans="1:1" x14ac:dyDescent="0.3">
      <c r="A1904" t="s">
        <v>12</v>
      </c>
    </row>
    <row r="1905" spans="1:1" x14ac:dyDescent="0.3">
      <c r="A1905" t="s">
        <v>40</v>
      </c>
    </row>
    <row r="1907" spans="1:1" x14ac:dyDescent="0.3">
      <c r="A1907" t="s">
        <v>12</v>
      </c>
    </row>
    <row r="1908" spans="1:1" x14ac:dyDescent="0.3">
      <c r="A1908" t="s">
        <v>13</v>
      </c>
    </row>
    <row r="1909" spans="1:1" x14ac:dyDescent="0.3">
      <c r="A1909" t="s">
        <v>1340</v>
      </c>
    </row>
    <row r="1910" spans="1:1" x14ac:dyDescent="0.3">
      <c r="A1910" t="s">
        <v>1601</v>
      </c>
    </row>
    <row r="1911" spans="1:1" x14ac:dyDescent="0.3">
      <c r="A1911" t="s">
        <v>1620</v>
      </c>
    </row>
    <row r="1912" spans="1:1" x14ac:dyDescent="0.3">
      <c r="A1912" t="s">
        <v>1153</v>
      </c>
    </row>
    <row r="1913" spans="1:1" x14ac:dyDescent="0.3">
      <c r="A1913" t="s">
        <v>110</v>
      </c>
    </row>
    <row r="1914" spans="1:1" x14ac:dyDescent="0.3">
      <c r="A1914" t="s">
        <v>2854</v>
      </c>
    </row>
    <row r="1915" spans="1:1" x14ac:dyDescent="0.3">
      <c r="A1915" t="s">
        <v>1621</v>
      </c>
    </row>
    <row r="1916" spans="1:1" x14ac:dyDescent="0.3">
      <c r="A1916" t="s">
        <v>51</v>
      </c>
    </row>
    <row r="1917" spans="1:1" x14ac:dyDescent="0.3">
      <c r="A1917" t="s">
        <v>52</v>
      </c>
    </row>
    <row r="1918" spans="1:1" x14ac:dyDescent="0.3">
      <c r="A1918" t="s">
        <v>79</v>
      </c>
    </row>
    <row r="1919" spans="1:1" x14ac:dyDescent="0.3">
      <c r="A1919" t="s">
        <v>98</v>
      </c>
    </row>
    <row r="1920" spans="1:1" x14ac:dyDescent="0.3">
      <c r="A1920" t="s">
        <v>13</v>
      </c>
    </row>
    <row r="1921" spans="1:1" x14ac:dyDescent="0.3">
      <c r="A1921" t="s">
        <v>105</v>
      </c>
    </row>
    <row r="1922" spans="1:1" x14ac:dyDescent="0.3">
      <c r="A1922" t="s">
        <v>1604</v>
      </c>
    </row>
    <row r="1923" spans="1:1" x14ac:dyDescent="0.3">
      <c r="A1923" t="s">
        <v>1157</v>
      </c>
    </row>
    <row r="1924" spans="1:1" x14ac:dyDescent="0.3">
      <c r="A1924" t="s">
        <v>1605</v>
      </c>
    </row>
    <row r="1925" spans="1:1" x14ac:dyDescent="0.3">
      <c r="A1925" t="s">
        <v>12</v>
      </c>
    </row>
    <row r="1926" spans="1:1" x14ac:dyDescent="0.3">
      <c r="A1926" t="s">
        <v>13</v>
      </c>
    </row>
    <row r="1927" spans="1:1" x14ac:dyDescent="0.3">
      <c r="A1927" t="s">
        <v>106</v>
      </c>
    </row>
    <row r="1928" spans="1:1" x14ac:dyDescent="0.3">
      <c r="A1928" t="s">
        <v>1606</v>
      </c>
    </row>
    <row r="1929" spans="1:1" x14ac:dyDescent="0.3">
      <c r="A1929" t="s">
        <v>1157</v>
      </c>
    </row>
    <row r="1930" spans="1:1" x14ac:dyDescent="0.3">
      <c r="A1930" t="s">
        <v>1607</v>
      </c>
    </row>
    <row r="1931" spans="1:1" x14ac:dyDescent="0.3">
      <c r="A1931" t="s">
        <v>12</v>
      </c>
    </row>
    <row r="1932" spans="1:1" x14ac:dyDescent="0.3">
      <c r="A1932" t="s">
        <v>40</v>
      </c>
    </row>
    <row r="1934" spans="1:1" x14ac:dyDescent="0.3">
      <c r="A1934" t="s">
        <v>12</v>
      </c>
    </row>
    <row r="1935" spans="1:1" x14ac:dyDescent="0.3">
      <c r="A1935" t="s">
        <v>13</v>
      </c>
    </row>
    <row r="1936" spans="1:1" x14ac:dyDescent="0.3">
      <c r="A1936" t="s">
        <v>1343</v>
      </c>
    </row>
    <row r="1937" spans="1:1" x14ac:dyDescent="0.3">
      <c r="A1937" t="s">
        <v>1622</v>
      </c>
    </row>
    <row r="1938" spans="1:1" x14ac:dyDescent="0.3">
      <c r="A1938" t="s">
        <v>1623</v>
      </c>
    </row>
    <row r="1939" spans="1:1" x14ac:dyDescent="0.3">
      <c r="A1939" t="s">
        <v>1153</v>
      </c>
    </row>
    <row r="1940" spans="1:1" x14ac:dyDescent="0.3">
      <c r="A1940" t="s">
        <v>110</v>
      </c>
    </row>
    <row r="1941" spans="1:1" x14ac:dyDescent="0.3">
      <c r="A1941" t="s">
        <v>1154</v>
      </c>
    </row>
    <row r="1942" spans="1:1" x14ac:dyDescent="0.3">
      <c r="A1942" t="s">
        <v>1624</v>
      </c>
    </row>
    <row r="1943" spans="1:1" x14ac:dyDescent="0.3">
      <c r="A1943" t="s">
        <v>51</v>
      </c>
    </row>
    <row r="1944" spans="1:1" x14ac:dyDescent="0.3">
      <c r="A1944" t="s">
        <v>52</v>
      </c>
    </row>
    <row r="1945" spans="1:1" x14ac:dyDescent="0.3">
      <c r="A1945" t="s">
        <v>79</v>
      </c>
    </row>
    <row r="1946" spans="1:1" x14ac:dyDescent="0.3">
      <c r="A1946" t="s">
        <v>98</v>
      </c>
    </row>
    <row r="1947" spans="1:1" x14ac:dyDescent="0.3">
      <c r="A1947" t="s">
        <v>13</v>
      </c>
    </row>
    <row r="1948" spans="1:1" x14ac:dyDescent="0.3">
      <c r="A1948" t="s">
        <v>105</v>
      </c>
    </row>
    <row r="1949" spans="1:1" x14ac:dyDescent="0.3">
      <c r="A1949" t="s">
        <v>1625</v>
      </c>
    </row>
    <row r="1950" spans="1:1" x14ac:dyDescent="0.3">
      <c r="A1950" t="s">
        <v>1157</v>
      </c>
    </row>
    <row r="1951" spans="1:1" x14ac:dyDescent="0.3">
      <c r="A1951" t="s">
        <v>1626</v>
      </c>
    </row>
    <row r="1952" spans="1:1" x14ac:dyDescent="0.3">
      <c r="A1952" t="s">
        <v>12</v>
      </c>
    </row>
    <row r="1953" spans="1:1" x14ac:dyDescent="0.3">
      <c r="A1953" t="s">
        <v>13</v>
      </c>
    </row>
    <row r="1954" spans="1:1" x14ac:dyDescent="0.3">
      <c r="A1954" t="s">
        <v>106</v>
      </c>
    </row>
    <row r="1955" spans="1:1" x14ac:dyDescent="0.3">
      <c r="A1955" t="s">
        <v>1627</v>
      </c>
    </row>
    <row r="1956" spans="1:1" x14ac:dyDescent="0.3">
      <c r="A1956" t="s">
        <v>1157</v>
      </c>
    </row>
    <row r="1957" spans="1:1" x14ac:dyDescent="0.3">
      <c r="A1957" t="s">
        <v>1628</v>
      </c>
    </row>
    <row r="1958" spans="1:1" x14ac:dyDescent="0.3">
      <c r="A1958" t="s">
        <v>12</v>
      </c>
    </row>
    <row r="1959" spans="1:1" x14ac:dyDescent="0.3">
      <c r="A1959" t="s">
        <v>40</v>
      </c>
    </row>
    <row r="1961" spans="1:1" x14ac:dyDescent="0.3">
      <c r="A1961" t="s">
        <v>12</v>
      </c>
    </row>
    <row r="1962" spans="1:1" x14ac:dyDescent="0.3">
      <c r="A1962" t="s">
        <v>13</v>
      </c>
    </row>
    <row r="1963" spans="1:1" x14ac:dyDescent="0.3">
      <c r="A1963" t="s">
        <v>1351</v>
      </c>
    </row>
    <row r="1964" spans="1:1" x14ac:dyDescent="0.3">
      <c r="A1964" t="s">
        <v>1629</v>
      </c>
    </row>
    <row r="1965" spans="1:1" x14ac:dyDescent="0.3">
      <c r="A1965" t="s">
        <v>1630</v>
      </c>
    </row>
    <row r="1966" spans="1:1" x14ac:dyDescent="0.3">
      <c r="A1966" t="s">
        <v>1153</v>
      </c>
    </row>
    <row r="1967" spans="1:1" x14ac:dyDescent="0.3">
      <c r="A1967" t="s">
        <v>110</v>
      </c>
    </row>
    <row r="1968" spans="1:1" x14ac:dyDescent="0.3">
      <c r="A1968" t="s">
        <v>1154</v>
      </c>
    </row>
    <row r="1969" spans="1:1" x14ac:dyDescent="0.3">
      <c r="A1969" t="s">
        <v>1631</v>
      </c>
    </row>
    <row r="1970" spans="1:1" x14ac:dyDescent="0.3">
      <c r="A1970" t="s">
        <v>51</v>
      </c>
    </row>
    <row r="1971" spans="1:1" x14ac:dyDescent="0.3">
      <c r="A1971" t="s">
        <v>52</v>
      </c>
    </row>
    <row r="1972" spans="1:1" x14ac:dyDescent="0.3">
      <c r="A1972" t="s">
        <v>79</v>
      </c>
    </row>
    <row r="1974" spans="1:1" x14ac:dyDescent="0.3">
      <c r="A1974" t="s">
        <v>12</v>
      </c>
    </row>
    <row r="1975" spans="1:1" x14ac:dyDescent="0.3">
      <c r="A1975" t="s">
        <v>13</v>
      </c>
    </row>
    <row r="1976" spans="1:1" x14ac:dyDescent="0.3">
      <c r="A1976" t="s">
        <v>1359</v>
      </c>
    </row>
    <row r="1977" spans="1:1" x14ac:dyDescent="0.3">
      <c r="A1977" t="s">
        <v>1601</v>
      </c>
    </row>
    <row r="1978" spans="1:1" x14ac:dyDescent="0.3">
      <c r="A1978" t="s">
        <v>1632</v>
      </c>
    </row>
    <row r="1979" spans="1:1" x14ac:dyDescent="0.3">
      <c r="A1979" t="s">
        <v>1153</v>
      </c>
    </row>
    <row r="1980" spans="1:1" x14ac:dyDescent="0.3">
      <c r="A1980" t="s">
        <v>110</v>
      </c>
    </row>
    <row r="1981" spans="1:1" x14ac:dyDescent="0.3">
      <c r="A1981" t="s">
        <v>2854</v>
      </c>
    </row>
    <row r="1982" spans="1:1" x14ac:dyDescent="0.3">
      <c r="A1982" t="s">
        <v>1633</v>
      </c>
    </row>
    <row r="1983" spans="1:1" x14ac:dyDescent="0.3">
      <c r="A1983" t="s">
        <v>51</v>
      </c>
    </row>
    <row r="1984" spans="1:1" x14ac:dyDescent="0.3">
      <c r="A1984" t="s">
        <v>52</v>
      </c>
    </row>
    <row r="1985" spans="1:1" x14ac:dyDescent="0.3">
      <c r="A1985" t="s">
        <v>79</v>
      </c>
    </row>
    <row r="1986" spans="1:1" x14ac:dyDescent="0.3">
      <c r="A1986" t="s">
        <v>98</v>
      </c>
    </row>
    <row r="1987" spans="1:1" x14ac:dyDescent="0.3">
      <c r="A1987" t="s">
        <v>13</v>
      </c>
    </row>
    <row r="1988" spans="1:1" x14ac:dyDescent="0.3">
      <c r="A1988" t="s">
        <v>105</v>
      </c>
    </row>
    <row r="1989" spans="1:1" x14ac:dyDescent="0.3">
      <c r="A1989" t="s">
        <v>1604</v>
      </c>
    </row>
    <row r="1990" spans="1:1" x14ac:dyDescent="0.3">
      <c r="A1990" t="s">
        <v>1157</v>
      </c>
    </row>
    <row r="1991" spans="1:1" x14ac:dyDescent="0.3">
      <c r="A1991" t="s">
        <v>1605</v>
      </c>
    </row>
    <row r="1992" spans="1:1" x14ac:dyDescent="0.3">
      <c r="A1992" t="s">
        <v>12</v>
      </c>
    </row>
    <row r="1993" spans="1:1" x14ac:dyDescent="0.3">
      <c r="A1993" t="s">
        <v>13</v>
      </c>
    </row>
    <row r="1994" spans="1:1" x14ac:dyDescent="0.3">
      <c r="A1994" t="s">
        <v>106</v>
      </c>
    </row>
    <row r="1995" spans="1:1" x14ac:dyDescent="0.3">
      <c r="A1995" t="s">
        <v>1606</v>
      </c>
    </row>
    <row r="1996" spans="1:1" x14ac:dyDescent="0.3">
      <c r="A1996" t="s">
        <v>1157</v>
      </c>
    </row>
    <row r="1997" spans="1:1" x14ac:dyDescent="0.3">
      <c r="A1997" t="s">
        <v>1607</v>
      </c>
    </row>
    <row r="1998" spans="1:1" x14ac:dyDescent="0.3">
      <c r="A1998" t="s">
        <v>12</v>
      </c>
    </row>
    <row r="1999" spans="1:1" x14ac:dyDescent="0.3">
      <c r="A1999" t="s">
        <v>40</v>
      </c>
    </row>
    <row r="2001" spans="1:1" x14ac:dyDescent="0.3">
      <c r="A2001" t="s">
        <v>12</v>
      </c>
    </row>
    <row r="2002" spans="1:1" x14ac:dyDescent="0.3">
      <c r="A2002" t="s">
        <v>13</v>
      </c>
    </row>
    <row r="2003" spans="1:1" x14ac:dyDescent="0.3">
      <c r="A2003" t="s">
        <v>1367</v>
      </c>
    </row>
    <row r="2004" spans="1:1" x14ac:dyDescent="0.3">
      <c r="A2004" t="s">
        <v>1634</v>
      </c>
    </row>
    <row r="2005" spans="1:1" x14ac:dyDescent="0.3">
      <c r="A2005" t="s">
        <v>1635</v>
      </c>
    </row>
    <row r="2006" spans="1:1" x14ac:dyDescent="0.3">
      <c r="A2006" t="s">
        <v>1153</v>
      </c>
    </row>
    <row r="2007" spans="1:1" x14ac:dyDescent="0.3">
      <c r="A2007" t="s">
        <v>110</v>
      </c>
    </row>
    <row r="2008" spans="1:1" x14ac:dyDescent="0.3">
      <c r="A2008" t="s">
        <v>1154</v>
      </c>
    </row>
    <row r="2009" spans="1:1" x14ac:dyDescent="0.3">
      <c r="A2009" t="s">
        <v>1636</v>
      </c>
    </row>
    <row r="2010" spans="1:1" x14ac:dyDescent="0.3">
      <c r="A2010" t="s">
        <v>51</v>
      </c>
    </row>
    <row r="2011" spans="1:1" x14ac:dyDescent="0.3">
      <c r="A2011" t="s">
        <v>52</v>
      </c>
    </row>
    <row r="2012" spans="1:1" x14ac:dyDescent="0.3">
      <c r="A2012" t="s">
        <v>79</v>
      </c>
    </row>
    <row r="2014" spans="1:1" x14ac:dyDescent="0.3">
      <c r="A2014" t="s">
        <v>12</v>
      </c>
    </row>
    <row r="2015" spans="1:1" x14ac:dyDescent="0.3">
      <c r="A2015" t="s">
        <v>13</v>
      </c>
    </row>
    <row r="2016" spans="1:1" x14ac:dyDescent="0.3">
      <c r="A2016" t="s">
        <v>1373</v>
      </c>
    </row>
    <row r="2017" spans="1:1" x14ac:dyDescent="0.3">
      <c r="A2017" t="s">
        <v>1637</v>
      </c>
    </row>
    <row r="2018" spans="1:1" x14ac:dyDescent="0.3">
      <c r="A2018" t="s">
        <v>1638</v>
      </c>
    </row>
    <row r="2019" spans="1:1" x14ac:dyDescent="0.3">
      <c r="A2019" t="s">
        <v>1153</v>
      </c>
    </row>
    <row r="2020" spans="1:1" x14ac:dyDescent="0.3">
      <c r="A2020" t="s">
        <v>110</v>
      </c>
    </row>
    <row r="2021" spans="1:1" x14ac:dyDescent="0.3">
      <c r="A2021" t="s">
        <v>2856</v>
      </c>
    </row>
    <row r="2022" spans="1:1" x14ac:dyDescent="0.3">
      <c r="A2022" t="s">
        <v>1639</v>
      </c>
    </row>
    <row r="2023" spans="1:1" x14ac:dyDescent="0.3">
      <c r="A2023" t="s">
        <v>51</v>
      </c>
    </row>
    <row r="2024" spans="1:1" x14ac:dyDescent="0.3">
      <c r="A2024" t="s">
        <v>52</v>
      </c>
    </row>
    <row r="2025" spans="1:1" x14ac:dyDescent="0.3">
      <c r="A2025" t="s">
        <v>79</v>
      </c>
    </row>
    <row r="2027" spans="1:1" x14ac:dyDescent="0.3">
      <c r="A2027" t="s">
        <v>12</v>
      </c>
    </row>
    <row r="2028" spans="1:1" x14ac:dyDescent="0.3">
      <c r="A2028" t="s">
        <v>13</v>
      </c>
    </row>
    <row r="2029" spans="1:1" x14ac:dyDescent="0.3">
      <c r="A2029" t="s">
        <v>1640</v>
      </c>
    </row>
    <row r="2030" spans="1:1" x14ac:dyDescent="0.3">
      <c r="A2030" t="s">
        <v>1637</v>
      </c>
    </row>
    <row r="2031" spans="1:1" x14ac:dyDescent="0.3">
      <c r="A2031" t="s">
        <v>1641</v>
      </c>
    </row>
    <row r="2032" spans="1:1" x14ac:dyDescent="0.3">
      <c r="A2032" t="s">
        <v>1153</v>
      </c>
    </row>
    <row r="2033" spans="1:1" x14ac:dyDescent="0.3">
      <c r="A2033" t="s">
        <v>110</v>
      </c>
    </row>
    <row r="2034" spans="1:1" x14ac:dyDescent="0.3">
      <c r="A2034" t="s">
        <v>2856</v>
      </c>
    </row>
    <row r="2035" spans="1:1" x14ac:dyDescent="0.3">
      <c r="A2035" t="s">
        <v>1642</v>
      </c>
    </row>
    <row r="2036" spans="1:1" x14ac:dyDescent="0.3">
      <c r="A2036" t="s">
        <v>51</v>
      </c>
    </row>
    <row r="2037" spans="1:1" x14ac:dyDescent="0.3">
      <c r="A2037" t="s">
        <v>52</v>
      </c>
    </row>
    <row r="2038" spans="1:1" x14ac:dyDescent="0.3">
      <c r="A2038" t="s">
        <v>79</v>
      </c>
    </row>
    <row r="2040" spans="1:1" x14ac:dyDescent="0.3">
      <c r="A2040" t="s">
        <v>12</v>
      </c>
    </row>
    <row r="2041" spans="1:1" x14ac:dyDescent="0.3">
      <c r="A2041" t="s">
        <v>13</v>
      </c>
    </row>
    <row r="2042" spans="1:1" x14ac:dyDescent="0.3">
      <c r="A2042" t="s">
        <v>1643</v>
      </c>
    </row>
    <row r="2043" spans="1:1" x14ac:dyDescent="0.3">
      <c r="A2043" t="s">
        <v>1644</v>
      </c>
    </row>
    <row r="2044" spans="1:1" x14ac:dyDescent="0.3">
      <c r="A2044" t="s">
        <v>1645</v>
      </c>
    </row>
    <row r="2045" spans="1:1" x14ac:dyDescent="0.3">
      <c r="A2045" t="s">
        <v>1153</v>
      </c>
    </row>
    <row r="2046" spans="1:1" x14ac:dyDescent="0.3">
      <c r="A2046" t="s">
        <v>110</v>
      </c>
    </row>
    <row r="2047" spans="1:1" x14ac:dyDescent="0.3">
      <c r="A2047" t="s">
        <v>2857</v>
      </c>
    </row>
    <row r="2048" spans="1:1" x14ac:dyDescent="0.3">
      <c r="A2048" t="s">
        <v>1646</v>
      </c>
    </row>
    <row r="2049" spans="1:1" x14ac:dyDescent="0.3">
      <c r="A2049" t="s">
        <v>51</v>
      </c>
    </row>
    <row r="2050" spans="1:1" x14ac:dyDescent="0.3">
      <c r="A2050" t="s">
        <v>52</v>
      </c>
    </row>
    <row r="2051" spans="1:1" x14ac:dyDescent="0.3">
      <c r="A2051" t="s">
        <v>79</v>
      </c>
    </row>
    <row r="2053" spans="1:1" x14ac:dyDescent="0.3">
      <c r="A2053" t="s">
        <v>12</v>
      </c>
    </row>
    <row r="2054" spans="1:1" x14ac:dyDescent="0.3">
      <c r="A2054" t="s">
        <v>13</v>
      </c>
    </row>
    <row r="2055" spans="1:1" x14ac:dyDescent="0.3">
      <c r="A2055" t="s">
        <v>1647</v>
      </c>
    </row>
    <row r="2056" spans="1:1" x14ac:dyDescent="0.3">
      <c r="A2056" t="s">
        <v>1648</v>
      </c>
    </row>
    <row r="2057" spans="1:1" x14ac:dyDescent="0.3">
      <c r="A2057" t="s">
        <v>1649</v>
      </c>
    </row>
    <row r="2058" spans="1:1" x14ac:dyDescent="0.3">
      <c r="A2058" t="s">
        <v>1153</v>
      </c>
    </row>
    <row r="2059" spans="1:1" x14ac:dyDescent="0.3">
      <c r="A2059" t="s">
        <v>110</v>
      </c>
    </row>
    <row r="2060" spans="1:1" x14ac:dyDescent="0.3">
      <c r="A2060" t="s">
        <v>1154</v>
      </c>
    </row>
    <row r="2061" spans="1:1" x14ac:dyDescent="0.3">
      <c r="A2061" t="s">
        <v>1650</v>
      </c>
    </row>
    <row r="2062" spans="1:1" x14ac:dyDescent="0.3">
      <c r="A2062" t="s">
        <v>51</v>
      </c>
    </row>
    <row r="2063" spans="1:1" x14ac:dyDescent="0.3">
      <c r="A2063" t="s">
        <v>52</v>
      </c>
    </row>
    <row r="2064" spans="1:1" x14ac:dyDescent="0.3">
      <c r="A2064" t="s">
        <v>79</v>
      </c>
    </row>
    <row r="2065" spans="1:1" x14ac:dyDescent="0.3">
      <c r="A2065" t="s">
        <v>98</v>
      </c>
    </row>
    <row r="2066" spans="1:1" x14ac:dyDescent="0.3">
      <c r="A2066" t="s">
        <v>13</v>
      </c>
    </row>
    <row r="2067" spans="1:1" x14ac:dyDescent="0.3">
      <c r="A2067" t="s">
        <v>105</v>
      </c>
    </row>
    <row r="2068" spans="1:1" x14ac:dyDescent="0.3">
      <c r="A2068" t="s">
        <v>1651</v>
      </c>
    </row>
    <row r="2069" spans="1:1" x14ac:dyDescent="0.3">
      <c r="A2069" t="s">
        <v>1157</v>
      </c>
    </row>
    <row r="2070" spans="1:1" x14ac:dyDescent="0.3">
      <c r="A2070" t="s">
        <v>1652</v>
      </c>
    </row>
    <row r="2071" spans="1:1" x14ac:dyDescent="0.3">
      <c r="A2071" t="s">
        <v>12</v>
      </c>
    </row>
    <row r="2072" spans="1:1" x14ac:dyDescent="0.3">
      <c r="A2072" t="s">
        <v>13</v>
      </c>
    </row>
    <row r="2073" spans="1:1" x14ac:dyDescent="0.3">
      <c r="A2073" t="s">
        <v>106</v>
      </c>
    </row>
    <row r="2074" spans="1:1" x14ac:dyDescent="0.3">
      <c r="A2074" t="s">
        <v>1653</v>
      </c>
    </row>
    <row r="2075" spans="1:1" x14ac:dyDescent="0.3">
      <c r="A2075" t="s">
        <v>1157</v>
      </c>
    </row>
    <row r="2076" spans="1:1" x14ac:dyDescent="0.3">
      <c r="A2076" t="s">
        <v>1654</v>
      </c>
    </row>
    <row r="2077" spans="1:1" x14ac:dyDescent="0.3">
      <c r="A2077" t="s">
        <v>12</v>
      </c>
    </row>
    <row r="2078" spans="1:1" x14ac:dyDescent="0.3">
      <c r="A2078" t="s">
        <v>40</v>
      </c>
    </row>
    <row r="2080" spans="1:1" x14ac:dyDescent="0.3">
      <c r="A2080" t="s">
        <v>12</v>
      </c>
    </row>
    <row r="2081" spans="1:1" x14ac:dyDescent="0.3">
      <c r="A2081" t="s">
        <v>13</v>
      </c>
    </row>
    <row r="2082" spans="1:1" x14ac:dyDescent="0.3">
      <c r="A2082" t="s">
        <v>1655</v>
      </c>
    </row>
    <row r="2083" spans="1:1" x14ac:dyDescent="0.3">
      <c r="A2083" t="s">
        <v>1656</v>
      </c>
    </row>
    <row r="2084" spans="1:1" x14ac:dyDescent="0.3">
      <c r="A2084" t="s">
        <v>1657</v>
      </c>
    </row>
    <row r="2085" spans="1:1" x14ac:dyDescent="0.3">
      <c r="A2085" t="s">
        <v>1153</v>
      </c>
    </row>
    <row r="2086" spans="1:1" x14ac:dyDescent="0.3">
      <c r="A2086" t="s">
        <v>110</v>
      </c>
    </row>
    <row r="2087" spans="1:1" x14ac:dyDescent="0.3">
      <c r="A2087" t="s">
        <v>2858</v>
      </c>
    </row>
    <row r="2088" spans="1:1" x14ac:dyDescent="0.3">
      <c r="A2088" t="s">
        <v>1658</v>
      </c>
    </row>
    <row r="2089" spans="1:1" x14ac:dyDescent="0.3">
      <c r="A2089" t="s">
        <v>51</v>
      </c>
    </row>
    <row r="2090" spans="1:1" x14ac:dyDescent="0.3">
      <c r="A2090" t="s">
        <v>52</v>
      </c>
    </row>
    <row r="2091" spans="1:1" x14ac:dyDescent="0.3">
      <c r="A2091" t="s">
        <v>79</v>
      </c>
    </row>
    <row r="2092" spans="1:1" x14ac:dyDescent="0.3">
      <c r="A2092" t="s">
        <v>98</v>
      </c>
    </row>
    <row r="2093" spans="1:1" x14ac:dyDescent="0.3">
      <c r="A2093" t="s">
        <v>13</v>
      </c>
    </row>
    <row r="2094" spans="1:1" x14ac:dyDescent="0.3">
      <c r="A2094" t="s">
        <v>106</v>
      </c>
    </row>
    <row r="2095" spans="1:1" x14ac:dyDescent="0.3">
      <c r="A2095" t="s">
        <v>1659</v>
      </c>
    </row>
    <row r="2096" spans="1:1" x14ac:dyDescent="0.3">
      <c r="A2096" t="s">
        <v>1157</v>
      </c>
    </row>
    <row r="2097" spans="1:1" x14ac:dyDescent="0.3">
      <c r="A2097" t="s">
        <v>1660</v>
      </c>
    </row>
    <row r="2098" spans="1:1" x14ac:dyDescent="0.3">
      <c r="A2098" t="s">
        <v>12</v>
      </c>
    </row>
    <row r="2099" spans="1:1" x14ac:dyDescent="0.3">
      <c r="A2099" t="s">
        <v>13</v>
      </c>
    </row>
    <row r="2100" spans="1:1" x14ac:dyDescent="0.3">
      <c r="A2100" t="s">
        <v>105</v>
      </c>
    </row>
    <row r="2101" spans="1:1" x14ac:dyDescent="0.3">
      <c r="A2101" t="s">
        <v>1661</v>
      </c>
    </row>
    <row r="2102" spans="1:1" x14ac:dyDescent="0.3">
      <c r="A2102" t="s">
        <v>1157</v>
      </c>
    </row>
    <row r="2103" spans="1:1" x14ac:dyDescent="0.3">
      <c r="A2103" t="s">
        <v>1662</v>
      </c>
    </row>
    <row r="2104" spans="1:1" x14ac:dyDescent="0.3">
      <c r="A2104" t="s">
        <v>12</v>
      </c>
    </row>
    <row r="2105" spans="1:1" x14ac:dyDescent="0.3">
      <c r="A2105" t="s">
        <v>40</v>
      </c>
    </row>
    <row r="2107" spans="1:1" x14ac:dyDescent="0.3">
      <c r="A2107" t="s">
        <v>12</v>
      </c>
    </row>
    <row r="2108" spans="1:1" x14ac:dyDescent="0.3">
      <c r="A2108" t="s">
        <v>13</v>
      </c>
    </row>
    <row r="2109" spans="1:1" x14ac:dyDescent="0.3">
      <c r="A2109" t="s">
        <v>1663</v>
      </c>
    </row>
    <row r="2110" spans="1:1" x14ac:dyDescent="0.3">
      <c r="A2110" t="s">
        <v>1664</v>
      </c>
    </row>
    <row r="2111" spans="1:1" x14ac:dyDescent="0.3">
      <c r="A2111" t="s">
        <v>1665</v>
      </c>
    </row>
    <row r="2112" spans="1:1" x14ac:dyDescent="0.3">
      <c r="A2112" t="s">
        <v>1153</v>
      </c>
    </row>
    <row r="2113" spans="1:1" x14ac:dyDescent="0.3">
      <c r="A2113" t="s">
        <v>110</v>
      </c>
    </row>
    <row r="2114" spans="1:1" x14ac:dyDescent="0.3">
      <c r="A2114" t="s">
        <v>2859</v>
      </c>
    </row>
    <row r="2115" spans="1:1" x14ac:dyDescent="0.3">
      <c r="A2115" t="s">
        <v>1666</v>
      </c>
    </row>
    <row r="2116" spans="1:1" x14ac:dyDescent="0.3">
      <c r="A2116" t="s">
        <v>51</v>
      </c>
    </row>
    <row r="2117" spans="1:1" x14ac:dyDescent="0.3">
      <c r="A2117" t="s">
        <v>52</v>
      </c>
    </row>
    <row r="2118" spans="1:1" x14ac:dyDescent="0.3">
      <c r="A2118" t="s">
        <v>79</v>
      </c>
    </row>
    <row r="2119" spans="1:1" x14ac:dyDescent="0.3">
      <c r="A2119" t="s">
        <v>98</v>
      </c>
    </row>
    <row r="2120" spans="1:1" x14ac:dyDescent="0.3">
      <c r="A2120" t="s">
        <v>13</v>
      </c>
    </row>
    <row r="2121" spans="1:1" x14ac:dyDescent="0.3">
      <c r="A2121" t="s">
        <v>105</v>
      </c>
    </row>
    <row r="2122" spans="1:1" x14ac:dyDescent="0.3">
      <c r="A2122" t="s">
        <v>1667</v>
      </c>
    </row>
    <row r="2123" spans="1:1" x14ac:dyDescent="0.3">
      <c r="A2123" t="s">
        <v>1157</v>
      </c>
    </row>
    <row r="2124" spans="1:1" x14ac:dyDescent="0.3">
      <c r="A2124" t="s">
        <v>1668</v>
      </c>
    </row>
    <row r="2125" spans="1:1" x14ac:dyDescent="0.3">
      <c r="A2125" t="s">
        <v>12</v>
      </c>
    </row>
    <row r="2126" spans="1:1" x14ac:dyDescent="0.3">
      <c r="A2126" t="s">
        <v>13</v>
      </c>
    </row>
    <row r="2127" spans="1:1" x14ac:dyDescent="0.3">
      <c r="A2127" t="s">
        <v>106</v>
      </c>
    </row>
    <row r="2128" spans="1:1" x14ac:dyDescent="0.3">
      <c r="A2128" t="s">
        <v>1669</v>
      </c>
    </row>
    <row r="2129" spans="1:1" x14ac:dyDescent="0.3">
      <c r="A2129" t="s">
        <v>1157</v>
      </c>
    </row>
    <row r="2130" spans="1:1" x14ac:dyDescent="0.3">
      <c r="A2130" t="s">
        <v>1670</v>
      </c>
    </row>
    <row r="2131" spans="1:1" x14ac:dyDescent="0.3">
      <c r="A2131" t="s">
        <v>12</v>
      </c>
    </row>
    <row r="2132" spans="1:1" x14ac:dyDescent="0.3">
      <c r="A2132" t="s">
        <v>40</v>
      </c>
    </row>
    <row r="2134" spans="1:1" x14ac:dyDescent="0.3">
      <c r="A2134" t="s">
        <v>12</v>
      </c>
    </row>
    <row r="2135" spans="1:1" x14ac:dyDescent="0.3">
      <c r="A2135" t="s">
        <v>13</v>
      </c>
    </row>
    <row r="2136" spans="1:1" x14ac:dyDescent="0.3">
      <c r="A2136" t="s">
        <v>1671</v>
      </c>
    </row>
    <row r="2137" spans="1:1" x14ac:dyDescent="0.3">
      <c r="A2137" t="s">
        <v>1648</v>
      </c>
    </row>
    <row r="2138" spans="1:1" x14ac:dyDescent="0.3">
      <c r="A2138" t="s">
        <v>1672</v>
      </c>
    </row>
    <row r="2139" spans="1:1" x14ac:dyDescent="0.3">
      <c r="A2139" t="s">
        <v>1153</v>
      </c>
    </row>
    <row r="2140" spans="1:1" x14ac:dyDescent="0.3">
      <c r="A2140" t="s">
        <v>110</v>
      </c>
    </row>
    <row r="2141" spans="1:1" x14ac:dyDescent="0.3">
      <c r="A2141" t="s">
        <v>1154</v>
      </c>
    </row>
    <row r="2142" spans="1:1" x14ac:dyDescent="0.3">
      <c r="A2142" t="s">
        <v>1673</v>
      </c>
    </row>
    <row r="2143" spans="1:1" x14ac:dyDescent="0.3">
      <c r="A2143" t="s">
        <v>51</v>
      </c>
    </row>
    <row r="2144" spans="1:1" x14ac:dyDescent="0.3">
      <c r="A2144" t="s">
        <v>52</v>
      </c>
    </row>
    <row r="2145" spans="1:1" x14ac:dyDescent="0.3">
      <c r="A2145" t="s">
        <v>79</v>
      </c>
    </row>
    <row r="2146" spans="1:1" x14ac:dyDescent="0.3">
      <c r="A2146" t="s">
        <v>98</v>
      </c>
    </row>
    <row r="2147" spans="1:1" x14ac:dyDescent="0.3">
      <c r="A2147" t="s">
        <v>13</v>
      </c>
    </row>
    <row r="2148" spans="1:1" x14ac:dyDescent="0.3">
      <c r="A2148" t="s">
        <v>106</v>
      </c>
    </row>
    <row r="2149" spans="1:1" x14ac:dyDescent="0.3">
      <c r="A2149" t="s">
        <v>1674</v>
      </c>
    </row>
    <row r="2150" spans="1:1" x14ac:dyDescent="0.3">
      <c r="A2150" t="s">
        <v>1157</v>
      </c>
    </row>
    <row r="2151" spans="1:1" x14ac:dyDescent="0.3">
      <c r="A2151" t="s">
        <v>1675</v>
      </c>
    </row>
    <row r="2152" spans="1:1" x14ac:dyDescent="0.3">
      <c r="A2152" t="s">
        <v>12</v>
      </c>
    </row>
    <row r="2153" spans="1:1" x14ac:dyDescent="0.3">
      <c r="A2153" t="s">
        <v>40</v>
      </c>
    </row>
    <row r="2155" spans="1:1" x14ac:dyDescent="0.3">
      <c r="A2155" t="s">
        <v>12</v>
      </c>
    </row>
    <row r="2156" spans="1:1" x14ac:dyDescent="0.3">
      <c r="A2156" t="s">
        <v>13</v>
      </c>
    </row>
    <row r="2157" spans="1:1" x14ac:dyDescent="0.3">
      <c r="A2157" t="s">
        <v>1676</v>
      </c>
    </row>
    <row r="2158" spans="1:1" x14ac:dyDescent="0.3">
      <c r="A2158" t="s">
        <v>1677</v>
      </c>
    </row>
    <row r="2159" spans="1:1" x14ac:dyDescent="0.3">
      <c r="A2159" t="s">
        <v>1678</v>
      </c>
    </row>
    <row r="2160" spans="1:1" x14ac:dyDescent="0.3">
      <c r="A2160" t="s">
        <v>1153</v>
      </c>
    </row>
    <row r="2161" spans="1:1" x14ac:dyDescent="0.3">
      <c r="A2161" t="s">
        <v>110</v>
      </c>
    </row>
    <row r="2162" spans="1:1" x14ac:dyDescent="0.3">
      <c r="A2162" t="s">
        <v>1154</v>
      </c>
    </row>
    <row r="2163" spans="1:1" x14ac:dyDescent="0.3">
      <c r="A2163" t="s">
        <v>1679</v>
      </c>
    </row>
    <row r="2164" spans="1:1" x14ac:dyDescent="0.3">
      <c r="A2164" t="s">
        <v>51</v>
      </c>
    </row>
    <row r="2165" spans="1:1" x14ac:dyDescent="0.3">
      <c r="A2165" t="s">
        <v>52</v>
      </c>
    </row>
    <row r="2166" spans="1:1" x14ac:dyDescent="0.3">
      <c r="A2166" t="s">
        <v>79</v>
      </c>
    </row>
    <row r="2168" spans="1:1" x14ac:dyDescent="0.3">
      <c r="A2168" t="s">
        <v>12</v>
      </c>
    </row>
    <row r="2169" spans="1:1" x14ac:dyDescent="0.3">
      <c r="A2169" t="s">
        <v>13</v>
      </c>
    </row>
    <row r="2170" spans="1:1" x14ac:dyDescent="0.3">
      <c r="A2170" t="s">
        <v>1680</v>
      </c>
    </row>
    <row r="2171" spans="1:1" x14ac:dyDescent="0.3">
      <c r="A2171" t="s">
        <v>1681</v>
      </c>
    </row>
    <row r="2172" spans="1:1" x14ac:dyDescent="0.3">
      <c r="A2172" t="s">
        <v>1682</v>
      </c>
    </row>
    <row r="2173" spans="1:1" x14ac:dyDescent="0.3">
      <c r="A2173" t="s">
        <v>1153</v>
      </c>
    </row>
    <row r="2174" spans="1:1" x14ac:dyDescent="0.3">
      <c r="A2174" t="s">
        <v>110</v>
      </c>
    </row>
    <row r="2175" spans="1:1" x14ac:dyDescent="0.3">
      <c r="A2175" t="s">
        <v>1154</v>
      </c>
    </row>
    <row r="2176" spans="1:1" x14ac:dyDescent="0.3">
      <c r="A2176" t="s">
        <v>1683</v>
      </c>
    </row>
    <row r="2177" spans="1:1" x14ac:dyDescent="0.3">
      <c r="A2177" t="s">
        <v>51</v>
      </c>
    </row>
    <row r="2178" spans="1:1" x14ac:dyDescent="0.3">
      <c r="A2178" t="s">
        <v>52</v>
      </c>
    </row>
    <row r="2179" spans="1:1" x14ac:dyDescent="0.3">
      <c r="A2179" t="s">
        <v>79</v>
      </c>
    </row>
    <row r="2180" spans="1:1" x14ac:dyDescent="0.3">
      <c r="A2180" t="s">
        <v>98</v>
      </c>
    </row>
    <row r="2181" spans="1:1" x14ac:dyDescent="0.3">
      <c r="A2181" t="s">
        <v>13</v>
      </c>
    </row>
    <row r="2182" spans="1:1" x14ac:dyDescent="0.3">
      <c r="A2182" t="s">
        <v>105</v>
      </c>
    </row>
    <row r="2183" spans="1:1" x14ac:dyDescent="0.3">
      <c r="A2183" t="s">
        <v>1684</v>
      </c>
    </row>
    <row r="2184" spans="1:1" x14ac:dyDescent="0.3">
      <c r="A2184" t="s">
        <v>1157</v>
      </c>
    </row>
    <row r="2185" spans="1:1" x14ac:dyDescent="0.3">
      <c r="A2185" t="s">
        <v>1527</v>
      </c>
    </row>
    <row r="2186" spans="1:1" x14ac:dyDescent="0.3">
      <c r="A2186" t="s">
        <v>12</v>
      </c>
    </row>
    <row r="2187" spans="1:1" x14ac:dyDescent="0.3">
      <c r="A2187" t="s">
        <v>13</v>
      </c>
    </row>
    <row r="2188" spans="1:1" x14ac:dyDescent="0.3">
      <c r="A2188" t="s">
        <v>106</v>
      </c>
    </row>
    <row r="2189" spans="1:1" x14ac:dyDescent="0.3">
      <c r="A2189" t="s">
        <v>1685</v>
      </c>
    </row>
    <row r="2190" spans="1:1" x14ac:dyDescent="0.3">
      <c r="A2190" t="s">
        <v>1157</v>
      </c>
    </row>
    <row r="2191" spans="1:1" x14ac:dyDescent="0.3">
      <c r="A2191" t="s">
        <v>1686</v>
      </c>
    </row>
    <row r="2192" spans="1:1" x14ac:dyDescent="0.3">
      <c r="A2192" t="s">
        <v>12</v>
      </c>
    </row>
    <row r="2193" spans="1:1" x14ac:dyDescent="0.3">
      <c r="A2193" t="s">
        <v>40</v>
      </c>
    </row>
    <row r="2195" spans="1:1" x14ac:dyDescent="0.3">
      <c r="A2195" t="s">
        <v>12</v>
      </c>
    </row>
    <row r="2196" spans="1:1" x14ac:dyDescent="0.3">
      <c r="A2196" t="s">
        <v>13</v>
      </c>
    </row>
    <row r="2197" spans="1:1" x14ac:dyDescent="0.3">
      <c r="A2197" t="s">
        <v>1687</v>
      </c>
    </row>
    <row r="2198" spans="1:1" x14ac:dyDescent="0.3">
      <c r="A2198" t="s">
        <v>1688</v>
      </c>
    </row>
    <row r="2199" spans="1:1" x14ac:dyDescent="0.3">
      <c r="A2199" t="s">
        <v>1689</v>
      </c>
    </row>
    <row r="2200" spans="1:1" x14ac:dyDescent="0.3">
      <c r="A2200" t="s">
        <v>1153</v>
      </c>
    </row>
    <row r="2201" spans="1:1" x14ac:dyDescent="0.3">
      <c r="A2201" t="s">
        <v>110</v>
      </c>
    </row>
    <row r="2202" spans="1:1" x14ac:dyDescent="0.3">
      <c r="A2202" t="s">
        <v>1154</v>
      </c>
    </row>
    <row r="2203" spans="1:1" x14ac:dyDescent="0.3">
      <c r="A2203" t="s">
        <v>1690</v>
      </c>
    </row>
    <row r="2204" spans="1:1" x14ac:dyDescent="0.3">
      <c r="A2204" t="s">
        <v>51</v>
      </c>
    </row>
    <row r="2205" spans="1:1" x14ac:dyDescent="0.3">
      <c r="A2205" t="s">
        <v>52</v>
      </c>
    </row>
    <row r="2206" spans="1:1" x14ac:dyDescent="0.3">
      <c r="A2206" t="s">
        <v>79</v>
      </c>
    </row>
    <row r="2208" spans="1:1" x14ac:dyDescent="0.3">
      <c r="A2208" t="s">
        <v>12</v>
      </c>
    </row>
    <row r="2209" spans="1:1" x14ac:dyDescent="0.3">
      <c r="A2209" t="s">
        <v>13</v>
      </c>
    </row>
    <row r="2210" spans="1:1" x14ac:dyDescent="0.3">
      <c r="A2210" t="s">
        <v>1691</v>
      </c>
    </row>
    <row r="2211" spans="1:1" x14ac:dyDescent="0.3">
      <c r="A2211" t="s">
        <v>1692</v>
      </c>
    </row>
    <row r="2212" spans="1:1" x14ac:dyDescent="0.3">
      <c r="A2212" t="s">
        <v>1693</v>
      </c>
    </row>
    <row r="2213" spans="1:1" x14ac:dyDescent="0.3">
      <c r="A2213" t="s">
        <v>1153</v>
      </c>
    </row>
    <row r="2214" spans="1:1" x14ac:dyDescent="0.3">
      <c r="A2214" t="s">
        <v>110</v>
      </c>
    </row>
    <row r="2215" spans="1:1" x14ac:dyDescent="0.3">
      <c r="A2215" t="s">
        <v>1154</v>
      </c>
    </row>
    <row r="2216" spans="1:1" x14ac:dyDescent="0.3">
      <c r="A2216" t="s">
        <v>1694</v>
      </c>
    </row>
    <row r="2217" spans="1:1" x14ac:dyDescent="0.3">
      <c r="A2217" t="s">
        <v>51</v>
      </c>
    </row>
    <row r="2218" spans="1:1" x14ac:dyDescent="0.3">
      <c r="A2218" t="s">
        <v>52</v>
      </c>
    </row>
    <row r="2219" spans="1:1" x14ac:dyDescent="0.3">
      <c r="A2219" t="s">
        <v>79</v>
      </c>
    </row>
    <row r="2221" spans="1:1" x14ac:dyDescent="0.3">
      <c r="A2221" t="s">
        <v>12</v>
      </c>
    </row>
    <row r="2222" spans="1:1" x14ac:dyDescent="0.3">
      <c r="A2222" t="s">
        <v>40</v>
      </c>
    </row>
    <row r="2223" spans="1:1" x14ac:dyDescent="0.3">
      <c r="A2223" t="s">
        <v>12</v>
      </c>
    </row>
    <row r="2224" spans="1:1" x14ac:dyDescent="0.3">
      <c r="A2224" t="s">
        <v>13</v>
      </c>
    </row>
    <row r="2225" spans="1:1" x14ac:dyDescent="0.3">
      <c r="A2225" t="s">
        <v>1695</v>
      </c>
    </row>
    <row r="2226" spans="1:1" x14ac:dyDescent="0.3">
      <c r="A2226" t="s">
        <v>1696</v>
      </c>
    </row>
    <row r="2227" spans="1:1" x14ac:dyDescent="0.3">
      <c r="A2227" t="s">
        <v>39</v>
      </c>
    </row>
    <row r="2228" spans="1:1" x14ac:dyDescent="0.3">
      <c r="A2228" t="s">
        <v>13</v>
      </c>
    </row>
    <row r="2229" spans="1:1" x14ac:dyDescent="0.3">
      <c r="A2229" t="s">
        <v>50</v>
      </c>
    </row>
    <row r="2230" spans="1:1" x14ac:dyDescent="0.3">
      <c r="A2230" t="s">
        <v>1697</v>
      </c>
    </row>
    <row r="2231" spans="1:1" x14ac:dyDescent="0.3">
      <c r="A2231" t="s">
        <v>1698</v>
      </c>
    </row>
    <row r="2232" spans="1:1" x14ac:dyDescent="0.3">
      <c r="A2232" t="s">
        <v>1153</v>
      </c>
    </row>
    <row r="2233" spans="1:1" x14ac:dyDescent="0.3">
      <c r="A2233" t="s">
        <v>110</v>
      </c>
    </row>
    <row r="2234" spans="1:1" x14ac:dyDescent="0.3">
      <c r="A2234" t="s">
        <v>1154</v>
      </c>
    </row>
    <row r="2235" spans="1:1" x14ac:dyDescent="0.3">
      <c r="A2235" t="s">
        <v>1699</v>
      </c>
    </row>
    <row r="2236" spans="1:1" x14ac:dyDescent="0.3">
      <c r="A2236" t="s">
        <v>51</v>
      </c>
    </row>
    <row r="2237" spans="1:1" x14ac:dyDescent="0.3">
      <c r="A2237" t="s">
        <v>52</v>
      </c>
    </row>
    <row r="2238" spans="1:1" x14ac:dyDescent="0.3">
      <c r="A2238" t="s">
        <v>79</v>
      </c>
    </row>
    <row r="2239" spans="1:1" x14ac:dyDescent="0.3">
      <c r="A2239" t="s">
        <v>98</v>
      </c>
    </row>
    <row r="2240" spans="1:1" x14ac:dyDescent="0.3">
      <c r="A2240" t="s">
        <v>13</v>
      </c>
    </row>
    <row r="2241" spans="1:1" x14ac:dyDescent="0.3">
      <c r="A2241" t="s">
        <v>105</v>
      </c>
    </row>
    <row r="2242" spans="1:1" x14ac:dyDescent="0.3">
      <c r="A2242" t="s">
        <v>1700</v>
      </c>
    </row>
    <row r="2243" spans="1:1" x14ac:dyDescent="0.3">
      <c r="A2243" t="s">
        <v>1157</v>
      </c>
    </row>
    <row r="2244" spans="1:1" x14ac:dyDescent="0.3">
      <c r="A2244" t="s">
        <v>1701</v>
      </c>
    </row>
    <row r="2245" spans="1:1" x14ac:dyDescent="0.3">
      <c r="A2245" t="s">
        <v>12</v>
      </c>
    </row>
    <row r="2246" spans="1:1" x14ac:dyDescent="0.3">
      <c r="A2246" t="s">
        <v>13</v>
      </c>
    </row>
    <row r="2247" spans="1:1" x14ac:dyDescent="0.3">
      <c r="A2247" t="s">
        <v>106</v>
      </c>
    </row>
    <row r="2248" spans="1:1" x14ac:dyDescent="0.3">
      <c r="A2248" t="s">
        <v>1702</v>
      </c>
    </row>
    <row r="2249" spans="1:1" x14ac:dyDescent="0.3">
      <c r="A2249" t="s">
        <v>1157</v>
      </c>
    </row>
    <row r="2250" spans="1:1" x14ac:dyDescent="0.3">
      <c r="A2250" t="s">
        <v>1703</v>
      </c>
    </row>
    <row r="2251" spans="1:1" x14ac:dyDescent="0.3">
      <c r="A2251" t="s">
        <v>12</v>
      </c>
    </row>
    <row r="2252" spans="1:1" x14ac:dyDescent="0.3">
      <c r="A2252" t="s">
        <v>40</v>
      </c>
    </row>
    <row r="2254" spans="1:1" x14ac:dyDescent="0.3">
      <c r="A2254" t="s">
        <v>12</v>
      </c>
    </row>
    <row r="2255" spans="1:1" x14ac:dyDescent="0.3">
      <c r="A2255" t="s">
        <v>13</v>
      </c>
    </row>
    <row r="2256" spans="1:1" x14ac:dyDescent="0.3">
      <c r="A2256" t="s">
        <v>53</v>
      </c>
    </row>
    <row r="2257" spans="1:1" x14ac:dyDescent="0.3">
      <c r="A2257" t="s">
        <v>1704</v>
      </c>
    </row>
    <row r="2258" spans="1:1" x14ac:dyDescent="0.3">
      <c r="A2258" t="s">
        <v>1705</v>
      </c>
    </row>
    <row r="2259" spans="1:1" x14ac:dyDescent="0.3">
      <c r="A2259" t="s">
        <v>1153</v>
      </c>
    </row>
    <row r="2260" spans="1:1" x14ac:dyDescent="0.3">
      <c r="A2260" t="s">
        <v>110</v>
      </c>
    </row>
    <row r="2261" spans="1:1" x14ac:dyDescent="0.3">
      <c r="A2261" t="s">
        <v>1154</v>
      </c>
    </row>
    <row r="2262" spans="1:1" x14ac:dyDescent="0.3">
      <c r="A2262" t="s">
        <v>1706</v>
      </c>
    </row>
    <row r="2263" spans="1:1" x14ac:dyDescent="0.3">
      <c r="A2263" t="s">
        <v>51</v>
      </c>
    </row>
    <row r="2264" spans="1:1" x14ac:dyDescent="0.3">
      <c r="A2264" t="s">
        <v>52</v>
      </c>
    </row>
    <row r="2265" spans="1:1" x14ac:dyDescent="0.3">
      <c r="A2265" t="s">
        <v>79</v>
      </c>
    </row>
    <row r="2266" spans="1:1" x14ac:dyDescent="0.3">
      <c r="A2266" t="s">
        <v>98</v>
      </c>
    </row>
    <row r="2267" spans="1:1" x14ac:dyDescent="0.3">
      <c r="A2267" t="s">
        <v>13</v>
      </c>
    </row>
    <row r="2268" spans="1:1" x14ac:dyDescent="0.3">
      <c r="A2268" t="s">
        <v>105</v>
      </c>
    </row>
    <row r="2269" spans="1:1" x14ac:dyDescent="0.3">
      <c r="A2269" t="s">
        <v>1707</v>
      </c>
    </row>
    <row r="2270" spans="1:1" x14ac:dyDescent="0.3">
      <c r="A2270" t="s">
        <v>1157</v>
      </c>
    </row>
    <row r="2271" spans="1:1" x14ac:dyDescent="0.3">
      <c r="A2271" t="s">
        <v>1708</v>
      </c>
    </row>
    <row r="2272" spans="1:1" x14ac:dyDescent="0.3">
      <c r="A2272" t="s">
        <v>12</v>
      </c>
    </row>
    <row r="2273" spans="1:1" x14ac:dyDescent="0.3">
      <c r="A2273" t="s">
        <v>13</v>
      </c>
    </row>
    <row r="2274" spans="1:1" x14ac:dyDescent="0.3">
      <c r="A2274" t="s">
        <v>106</v>
      </c>
    </row>
    <row r="2275" spans="1:1" x14ac:dyDescent="0.3">
      <c r="A2275" t="s">
        <v>1709</v>
      </c>
    </row>
    <row r="2276" spans="1:1" x14ac:dyDescent="0.3">
      <c r="A2276" t="s">
        <v>1157</v>
      </c>
    </row>
    <row r="2277" spans="1:1" x14ac:dyDescent="0.3">
      <c r="A2277" t="s">
        <v>1710</v>
      </c>
    </row>
    <row r="2278" spans="1:1" x14ac:dyDescent="0.3">
      <c r="A2278" t="s">
        <v>12</v>
      </c>
    </row>
    <row r="2279" spans="1:1" x14ac:dyDescent="0.3">
      <c r="A2279" t="s">
        <v>40</v>
      </c>
    </row>
    <row r="2281" spans="1:1" x14ac:dyDescent="0.3">
      <c r="A2281" t="s">
        <v>12</v>
      </c>
    </row>
    <row r="2282" spans="1:1" x14ac:dyDescent="0.3">
      <c r="A2282" t="s">
        <v>13</v>
      </c>
    </row>
    <row r="2283" spans="1:1" x14ac:dyDescent="0.3">
      <c r="A2283" t="s">
        <v>54</v>
      </c>
    </row>
    <row r="2284" spans="1:1" x14ac:dyDescent="0.3">
      <c r="A2284" t="s">
        <v>1711</v>
      </c>
    </row>
    <row r="2285" spans="1:1" x14ac:dyDescent="0.3">
      <c r="A2285" t="s">
        <v>1712</v>
      </c>
    </row>
    <row r="2286" spans="1:1" x14ac:dyDescent="0.3">
      <c r="A2286" t="s">
        <v>1153</v>
      </c>
    </row>
    <row r="2287" spans="1:1" x14ac:dyDescent="0.3">
      <c r="A2287" t="s">
        <v>110</v>
      </c>
    </row>
    <row r="2288" spans="1:1" x14ac:dyDescent="0.3">
      <c r="A2288" t="s">
        <v>1154</v>
      </c>
    </row>
    <row r="2289" spans="1:1" x14ac:dyDescent="0.3">
      <c r="A2289" t="s">
        <v>1713</v>
      </c>
    </row>
    <row r="2290" spans="1:1" x14ac:dyDescent="0.3">
      <c r="A2290" t="s">
        <v>51</v>
      </c>
    </row>
    <row r="2291" spans="1:1" x14ac:dyDescent="0.3">
      <c r="A2291" t="s">
        <v>52</v>
      </c>
    </row>
    <row r="2292" spans="1:1" x14ac:dyDescent="0.3">
      <c r="A2292" t="s">
        <v>79</v>
      </c>
    </row>
    <row r="2293" spans="1:1" x14ac:dyDescent="0.3">
      <c r="A2293" t="s">
        <v>98</v>
      </c>
    </row>
    <row r="2294" spans="1:1" x14ac:dyDescent="0.3">
      <c r="A2294" t="s">
        <v>13</v>
      </c>
    </row>
    <row r="2295" spans="1:1" x14ac:dyDescent="0.3">
      <c r="A2295" t="s">
        <v>105</v>
      </c>
    </row>
    <row r="2296" spans="1:1" x14ac:dyDescent="0.3">
      <c r="A2296" t="s">
        <v>1714</v>
      </c>
    </row>
    <row r="2297" spans="1:1" x14ac:dyDescent="0.3">
      <c r="A2297" t="s">
        <v>1157</v>
      </c>
    </row>
    <row r="2298" spans="1:1" x14ac:dyDescent="0.3">
      <c r="A2298" t="s">
        <v>1715</v>
      </c>
    </row>
    <row r="2299" spans="1:1" x14ac:dyDescent="0.3">
      <c r="A2299" t="s">
        <v>12</v>
      </c>
    </row>
    <row r="2300" spans="1:1" x14ac:dyDescent="0.3">
      <c r="A2300" t="s">
        <v>13</v>
      </c>
    </row>
    <row r="2301" spans="1:1" x14ac:dyDescent="0.3">
      <c r="A2301" t="s">
        <v>106</v>
      </c>
    </row>
    <row r="2302" spans="1:1" x14ac:dyDescent="0.3">
      <c r="A2302" t="s">
        <v>1716</v>
      </c>
    </row>
    <row r="2303" spans="1:1" x14ac:dyDescent="0.3">
      <c r="A2303" t="s">
        <v>1157</v>
      </c>
    </row>
    <row r="2304" spans="1:1" x14ac:dyDescent="0.3">
      <c r="A2304" t="s">
        <v>1717</v>
      </c>
    </row>
    <row r="2305" spans="1:1" x14ac:dyDescent="0.3">
      <c r="A2305" t="s">
        <v>12</v>
      </c>
    </row>
    <row r="2306" spans="1:1" x14ac:dyDescent="0.3">
      <c r="A2306" t="s">
        <v>40</v>
      </c>
    </row>
    <row r="2308" spans="1:1" x14ac:dyDescent="0.3">
      <c r="A2308" t="s">
        <v>12</v>
      </c>
    </row>
    <row r="2309" spans="1:1" x14ac:dyDescent="0.3">
      <c r="A2309" t="s">
        <v>13</v>
      </c>
    </row>
    <row r="2310" spans="1:1" x14ac:dyDescent="0.3">
      <c r="A2310" t="s">
        <v>107</v>
      </c>
    </row>
    <row r="2311" spans="1:1" x14ac:dyDescent="0.3">
      <c r="A2311" t="s">
        <v>1718</v>
      </c>
    </row>
    <row r="2312" spans="1:1" x14ac:dyDescent="0.3">
      <c r="A2312" t="s">
        <v>1719</v>
      </c>
    </row>
    <row r="2313" spans="1:1" x14ac:dyDescent="0.3">
      <c r="A2313" t="s">
        <v>1153</v>
      </c>
    </row>
    <row r="2314" spans="1:1" x14ac:dyDescent="0.3">
      <c r="A2314" t="s">
        <v>110</v>
      </c>
    </row>
    <row r="2315" spans="1:1" x14ac:dyDescent="0.3">
      <c r="A2315" t="s">
        <v>1154</v>
      </c>
    </row>
    <row r="2316" spans="1:1" x14ac:dyDescent="0.3">
      <c r="A2316" t="s">
        <v>1720</v>
      </c>
    </row>
    <row r="2317" spans="1:1" x14ac:dyDescent="0.3">
      <c r="A2317" t="s">
        <v>51</v>
      </c>
    </row>
    <row r="2318" spans="1:1" x14ac:dyDescent="0.3">
      <c r="A2318" t="s">
        <v>52</v>
      </c>
    </row>
    <row r="2319" spans="1:1" x14ac:dyDescent="0.3">
      <c r="A2319" t="s">
        <v>79</v>
      </c>
    </row>
    <row r="2320" spans="1:1" x14ac:dyDescent="0.3">
      <c r="A2320" t="s">
        <v>98</v>
      </c>
    </row>
    <row r="2321" spans="1:1" x14ac:dyDescent="0.3">
      <c r="A2321" t="s">
        <v>13</v>
      </c>
    </row>
    <row r="2322" spans="1:1" x14ac:dyDescent="0.3">
      <c r="A2322" t="s">
        <v>105</v>
      </c>
    </row>
    <row r="2323" spans="1:1" x14ac:dyDescent="0.3">
      <c r="A2323" t="s">
        <v>1721</v>
      </c>
    </row>
    <row r="2324" spans="1:1" x14ac:dyDescent="0.3">
      <c r="A2324" t="s">
        <v>1157</v>
      </c>
    </row>
    <row r="2325" spans="1:1" x14ac:dyDescent="0.3">
      <c r="A2325" t="s">
        <v>1722</v>
      </c>
    </row>
    <row r="2326" spans="1:1" x14ac:dyDescent="0.3">
      <c r="A2326" t="s">
        <v>12</v>
      </c>
    </row>
    <row r="2327" spans="1:1" x14ac:dyDescent="0.3">
      <c r="A2327" t="s">
        <v>13</v>
      </c>
    </row>
    <row r="2328" spans="1:1" x14ac:dyDescent="0.3">
      <c r="A2328" t="s">
        <v>106</v>
      </c>
    </row>
    <row r="2329" spans="1:1" x14ac:dyDescent="0.3">
      <c r="A2329" t="s">
        <v>1723</v>
      </c>
    </row>
    <row r="2330" spans="1:1" x14ac:dyDescent="0.3">
      <c r="A2330" t="s">
        <v>1157</v>
      </c>
    </row>
    <row r="2331" spans="1:1" x14ac:dyDescent="0.3">
      <c r="A2331" t="s">
        <v>1724</v>
      </c>
    </row>
    <row r="2332" spans="1:1" x14ac:dyDescent="0.3">
      <c r="A2332" t="s">
        <v>12</v>
      </c>
    </row>
    <row r="2333" spans="1:1" x14ac:dyDescent="0.3">
      <c r="A2333" t="s">
        <v>40</v>
      </c>
    </row>
    <row r="2335" spans="1:1" x14ac:dyDescent="0.3">
      <c r="A2335" t="s">
        <v>12</v>
      </c>
    </row>
    <row r="2336" spans="1:1" x14ac:dyDescent="0.3">
      <c r="A2336" t="s">
        <v>13</v>
      </c>
    </row>
    <row r="2337" spans="1:1" x14ac:dyDescent="0.3">
      <c r="A2337" t="s">
        <v>108</v>
      </c>
    </row>
    <row r="2338" spans="1:1" x14ac:dyDescent="0.3">
      <c r="A2338" t="s">
        <v>1725</v>
      </c>
    </row>
    <row r="2339" spans="1:1" x14ac:dyDescent="0.3">
      <c r="A2339" t="s">
        <v>1726</v>
      </c>
    </row>
    <row r="2340" spans="1:1" x14ac:dyDescent="0.3">
      <c r="A2340" t="s">
        <v>1153</v>
      </c>
    </row>
    <row r="2341" spans="1:1" x14ac:dyDescent="0.3">
      <c r="A2341" t="s">
        <v>110</v>
      </c>
    </row>
    <row r="2342" spans="1:1" x14ac:dyDescent="0.3">
      <c r="A2342" t="s">
        <v>1154</v>
      </c>
    </row>
    <row r="2343" spans="1:1" x14ac:dyDescent="0.3">
      <c r="A2343" t="s">
        <v>1727</v>
      </c>
    </row>
    <row r="2344" spans="1:1" x14ac:dyDescent="0.3">
      <c r="A2344" t="s">
        <v>51</v>
      </c>
    </row>
    <row r="2345" spans="1:1" x14ac:dyDescent="0.3">
      <c r="A2345" t="s">
        <v>52</v>
      </c>
    </row>
    <row r="2346" spans="1:1" x14ac:dyDescent="0.3">
      <c r="A2346" t="s">
        <v>79</v>
      </c>
    </row>
    <row r="2347" spans="1:1" x14ac:dyDescent="0.3">
      <c r="A2347" t="s">
        <v>98</v>
      </c>
    </row>
    <row r="2348" spans="1:1" x14ac:dyDescent="0.3">
      <c r="A2348" t="s">
        <v>13</v>
      </c>
    </row>
    <row r="2349" spans="1:1" x14ac:dyDescent="0.3">
      <c r="A2349" t="s">
        <v>105</v>
      </c>
    </row>
    <row r="2350" spans="1:1" x14ac:dyDescent="0.3">
      <c r="A2350" t="s">
        <v>1700</v>
      </c>
    </row>
    <row r="2351" spans="1:1" x14ac:dyDescent="0.3">
      <c r="A2351" t="s">
        <v>1157</v>
      </c>
    </row>
    <row r="2352" spans="1:1" x14ac:dyDescent="0.3">
      <c r="A2352" t="s">
        <v>1701</v>
      </c>
    </row>
    <row r="2353" spans="1:1" x14ac:dyDescent="0.3">
      <c r="A2353" t="s">
        <v>12</v>
      </c>
    </row>
    <row r="2354" spans="1:1" x14ac:dyDescent="0.3">
      <c r="A2354" t="s">
        <v>13</v>
      </c>
    </row>
    <row r="2355" spans="1:1" x14ac:dyDescent="0.3">
      <c r="A2355" t="s">
        <v>106</v>
      </c>
    </row>
    <row r="2356" spans="1:1" x14ac:dyDescent="0.3">
      <c r="A2356" t="s">
        <v>1702</v>
      </c>
    </row>
    <row r="2357" spans="1:1" x14ac:dyDescent="0.3">
      <c r="A2357" t="s">
        <v>1157</v>
      </c>
    </row>
    <row r="2358" spans="1:1" x14ac:dyDescent="0.3">
      <c r="A2358" t="s">
        <v>1703</v>
      </c>
    </row>
    <row r="2359" spans="1:1" x14ac:dyDescent="0.3">
      <c r="A2359" t="s">
        <v>12</v>
      </c>
    </row>
    <row r="2360" spans="1:1" x14ac:dyDescent="0.3">
      <c r="A2360" t="s">
        <v>40</v>
      </c>
    </row>
    <row r="2362" spans="1:1" x14ac:dyDescent="0.3">
      <c r="A2362" t="s">
        <v>12</v>
      </c>
    </row>
    <row r="2363" spans="1:1" x14ac:dyDescent="0.3">
      <c r="A2363" t="s">
        <v>13</v>
      </c>
    </row>
    <row r="2364" spans="1:1" x14ac:dyDescent="0.3">
      <c r="A2364" t="s">
        <v>1184</v>
      </c>
    </row>
    <row r="2365" spans="1:1" x14ac:dyDescent="0.3">
      <c r="A2365" t="s">
        <v>1728</v>
      </c>
    </row>
    <row r="2366" spans="1:1" x14ac:dyDescent="0.3">
      <c r="A2366" t="s">
        <v>1729</v>
      </c>
    </row>
    <row r="2367" spans="1:1" x14ac:dyDescent="0.3">
      <c r="A2367" t="s">
        <v>1153</v>
      </c>
    </row>
    <row r="2368" spans="1:1" x14ac:dyDescent="0.3">
      <c r="A2368" t="s">
        <v>110</v>
      </c>
    </row>
    <row r="2369" spans="1:1" x14ac:dyDescent="0.3">
      <c r="A2369" t="s">
        <v>1154</v>
      </c>
    </row>
    <row r="2370" spans="1:1" x14ac:dyDescent="0.3">
      <c r="A2370" t="s">
        <v>1730</v>
      </c>
    </row>
    <row r="2371" spans="1:1" x14ac:dyDescent="0.3">
      <c r="A2371" t="s">
        <v>51</v>
      </c>
    </row>
    <row r="2372" spans="1:1" x14ac:dyDescent="0.3">
      <c r="A2372" t="s">
        <v>52</v>
      </c>
    </row>
    <row r="2373" spans="1:1" x14ac:dyDescent="0.3">
      <c r="A2373" t="s">
        <v>79</v>
      </c>
    </row>
    <row r="2374" spans="1:1" x14ac:dyDescent="0.3">
      <c r="A2374" t="s">
        <v>98</v>
      </c>
    </row>
    <row r="2375" spans="1:1" x14ac:dyDescent="0.3">
      <c r="A2375" t="s">
        <v>13</v>
      </c>
    </row>
    <row r="2376" spans="1:1" x14ac:dyDescent="0.3">
      <c r="A2376" t="s">
        <v>105</v>
      </c>
    </row>
    <row r="2377" spans="1:1" x14ac:dyDescent="0.3">
      <c r="A2377" t="s">
        <v>1731</v>
      </c>
    </row>
    <row r="2378" spans="1:1" x14ac:dyDescent="0.3">
      <c r="A2378" t="s">
        <v>1157</v>
      </c>
    </row>
    <row r="2379" spans="1:1" x14ac:dyDescent="0.3">
      <c r="A2379" t="s">
        <v>1732</v>
      </c>
    </row>
    <row r="2380" spans="1:1" x14ac:dyDescent="0.3">
      <c r="A2380" t="s">
        <v>12</v>
      </c>
    </row>
    <row r="2381" spans="1:1" x14ac:dyDescent="0.3">
      <c r="A2381" t="s">
        <v>13</v>
      </c>
    </row>
    <row r="2382" spans="1:1" x14ac:dyDescent="0.3">
      <c r="A2382" t="s">
        <v>106</v>
      </c>
    </row>
    <row r="2383" spans="1:1" x14ac:dyDescent="0.3">
      <c r="A2383" t="s">
        <v>1733</v>
      </c>
    </row>
    <row r="2384" spans="1:1" x14ac:dyDescent="0.3">
      <c r="A2384" t="s">
        <v>1157</v>
      </c>
    </row>
    <row r="2385" spans="1:1" x14ac:dyDescent="0.3">
      <c r="A2385" t="s">
        <v>1734</v>
      </c>
    </row>
    <row r="2386" spans="1:1" x14ac:dyDescent="0.3">
      <c r="A2386" t="s">
        <v>12</v>
      </c>
    </row>
    <row r="2387" spans="1:1" x14ac:dyDescent="0.3">
      <c r="A2387" t="s">
        <v>40</v>
      </c>
    </row>
    <row r="2389" spans="1:1" x14ac:dyDescent="0.3">
      <c r="A2389" t="s">
        <v>12</v>
      </c>
    </row>
    <row r="2390" spans="1:1" x14ac:dyDescent="0.3">
      <c r="A2390" t="s">
        <v>13</v>
      </c>
    </row>
    <row r="2391" spans="1:1" x14ac:dyDescent="0.3">
      <c r="A2391" t="s">
        <v>1187</v>
      </c>
    </row>
    <row r="2392" spans="1:1" x14ac:dyDescent="0.3">
      <c r="A2392" t="s">
        <v>1735</v>
      </c>
    </row>
    <row r="2393" spans="1:1" x14ac:dyDescent="0.3">
      <c r="A2393" t="s">
        <v>1736</v>
      </c>
    </row>
    <row r="2394" spans="1:1" x14ac:dyDescent="0.3">
      <c r="A2394" t="s">
        <v>1153</v>
      </c>
    </row>
    <row r="2395" spans="1:1" x14ac:dyDescent="0.3">
      <c r="A2395" t="s">
        <v>110</v>
      </c>
    </row>
    <row r="2396" spans="1:1" x14ac:dyDescent="0.3">
      <c r="A2396" t="s">
        <v>1154</v>
      </c>
    </row>
    <row r="2397" spans="1:1" x14ac:dyDescent="0.3">
      <c r="A2397" t="s">
        <v>1737</v>
      </c>
    </row>
    <row r="2398" spans="1:1" x14ac:dyDescent="0.3">
      <c r="A2398" t="s">
        <v>51</v>
      </c>
    </row>
    <row r="2399" spans="1:1" x14ac:dyDescent="0.3">
      <c r="A2399" t="s">
        <v>52</v>
      </c>
    </row>
    <row r="2400" spans="1:1" x14ac:dyDescent="0.3">
      <c r="A2400" t="s">
        <v>79</v>
      </c>
    </row>
    <row r="2401" spans="1:1" x14ac:dyDescent="0.3">
      <c r="A2401" t="s">
        <v>98</v>
      </c>
    </row>
    <row r="2402" spans="1:1" x14ac:dyDescent="0.3">
      <c r="A2402" t="s">
        <v>13</v>
      </c>
    </row>
    <row r="2403" spans="1:1" x14ac:dyDescent="0.3">
      <c r="A2403" t="s">
        <v>105</v>
      </c>
    </row>
    <row r="2404" spans="1:1" x14ac:dyDescent="0.3">
      <c r="A2404" t="s">
        <v>1738</v>
      </c>
    </row>
    <row r="2405" spans="1:1" x14ac:dyDescent="0.3">
      <c r="A2405" t="s">
        <v>1157</v>
      </c>
    </row>
    <row r="2406" spans="1:1" x14ac:dyDescent="0.3">
      <c r="A2406" t="s">
        <v>1739</v>
      </c>
    </row>
    <row r="2407" spans="1:1" x14ac:dyDescent="0.3">
      <c r="A2407" t="s">
        <v>12</v>
      </c>
    </row>
    <row r="2408" spans="1:1" x14ac:dyDescent="0.3">
      <c r="A2408" t="s">
        <v>13</v>
      </c>
    </row>
    <row r="2409" spans="1:1" x14ac:dyDescent="0.3">
      <c r="A2409" t="s">
        <v>106</v>
      </c>
    </row>
    <row r="2410" spans="1:1" x14ac:dyDescent="0.3">
      <c r="A2410" t="s">
        <v>1740</v>
      </c>
    </row>
    <row r="2411" spans="1:1" x14ac:dyDescent="0.3">
      <c r="A2411" t="s">
        <v>1157</v>
      </c>
    </row>
    <row r="2412" spans="1:1" x14ac:dyDescent="0.3">
      <c r="A2412" t="s">
        <v>1741</v>
      </c>
    </row>
    <row r="2413" spans="1:1" x14ac:dyDescent="0.3">
      <c r="A2413" t="s">
        <v>12</v>
      </c>
    </row>
    <row r="2414" spans="1:1" x14ac:dyDescent="0.3">
      <c r="A2414" t="s">
        <v>40</v>
      </c>
    </row>
    <row r="2416" spans="1:1" x14ac:dyDescent="0.3">
      <c r="A2416" t="s">
        <v>12</v>
      </c>
    </row>
    <row r="2417" spans="1:1" x14ac:dyDescent="0.3">
      <c r="A2417" t="s">
        <v>13</v>
      </c>
    </row>
    <row r="2418" spans="1:1" x14ac:dyDescent="0.3">
      <c r="A2418" t="s">
        <v>1190</v>
      </c>
    </row>
    <row r="2419" spans="1:1" x14ac:dyDescent="0.3">
      <c r="A2419" t="s">
        <v>1742</v>
      </c>
    </row>
    <row r="2420" spans="1:1" x14ac:dyDescent="0.3">
      <c r="A2420" t="s">
        <v>1743</v>
      </c>
    </row>
    <row r="2421" spans="1:1" x14ac:dyDescent="0.3">
      <c r="A2421" t="s">
        <v>1153</v>
      </c>
    </row>
    <row r="2422" spans="1:1" x14ac:dyDescent="0.3">
      <c r="A2422" t="s">
        <v>110</v>
      </c>
    </row>
    <row r="2423" spans="1:1" x14ac:dyDescent="0.3">
      <c r="A2423" t="s">
        <v>1154</v>
      </c>
    </row>
    <row r="2424" spans="1:1" x14ac:dyDescent="0.3">
      <c r="A2424" t="s">
        <v>1744</v>
      </c>
    </row>
    <row r="2425" spans="1:1" x14ac:dyDescent="0.3">
      <c r="A2425" t="s">
        <v>51</v>
      </c>
    </row>
    <row r="2426" spans="1:1" x14ac:dyDescent="0.3">
      <c r="A2426" t="s">
        <v>52</v>
      </c>
    </row>
    <row r="2427" spans="1:1" x14ac:dyDescent="0.3">
      <c r="A2427" t="s">
        <v>79</v>
      </c>
    </row>
    <row r="2428" spans="1:1" x14ac:dyDescent="0.3">
      <c r="A2428" t="s">
        <v>98</v>
      </c>
    </row>
    <row r="2429" spans="1:1" x14ac:dyDescent="0.3">
      <c r="A2429" t="s">
        <v>13</v>
      </c>
    </row>
    <row r="2430" spans="1:1" x14ac:dyDescent="0.3">
      <c r="A2430" t="s">
        <v>105</v>
      </c>
    </row>
    <row r="2431" spans="1:1" x14ac:dyDescent="0.3">
      <c r="A2431" t="s">
        <v>1745</v>
      </c>
    </row>
    <row r="2432" spans="1:1" x14ac:dyDescent="0.3">
      <c r="A2432" t="s">
        <v>1157</v>
      </c>
    </row>
    <row r="2433" spans="1:1" x14ac:dyDescent="0.3">
      <c r="A2433" t="s">
        <v>1746</v>
      </c>
    </row>
    <row r="2434" spans="1:1" x14ac:dyDescent="0.3">
      <c r="A2434" t="s">
        <v>12</v>
      </c>
    </row>
    <row r="2435" spans="1:1" x14ac:dyDescent="0.3">
      <c r="A2435" t="s">
        <v>13</v>
      </c>
    </row>
    <row r="2436" spans="1:1" x14ac:dyDescent="0.3">
      <c r="A2436" t="s">
        <v>106</v>
      </c>
    </row>
    <row r="2437" spans="1:1" x14ac:dyDescent="0.3">
      <c r="A2437" t="s">
        <v>1747</v>
      </c>
    </row>
    <row r="2438" spans="1:1" x14ac:dyDescent="0.3">
      <c r="A2438" t="s">
        <v>1157</v>
      </c>
    </row>
    <row r="2439" spans="1:1" x14ac:dyDescent="0.3">
      <c r="A2439" t="s">
        <v>1748</v>
      </c>
    </row>
    <row r="2440" spans="1:1" x14ac:dyDescent="0.3">
      <c r="A2440" t="s">
        <v>12</v>
      </c>
    </row>
    <row r="2441" spans="1:1" x14ac:dyDescent="0.3">
      <c r="A2441" t="s">
        <v>40</v>
      </c>
    </row>
    <row r="2443" spans="1:1" x14ac:dyDescent="0.3">
      <c r="A2443" t="s">
        <v>12</v>
      </c>
    </row>
    <row r="2444" spans="1:1" x14ac:dyDescent="0.3">
      <c r="A2444" t="s">
        <v>13</v>
      </c>
    </row>
    <row r="2445" spans="1:1" x14ac:dyDescent="0.3">
      <c r="A2445" t="s">
        <v>1193</v>
      </c>
    </row>
    <row r="2446" spans="1:1" x14ac:dyDescent="0.3">
      <c r="A2446" t="s">
        <v>1725</v>
      </c>
    </row>
    <row r="2447" spans="1:1" x14ac:dyDescent="0.3">
      <c r="A2447" t="s">
        <v>1749</v>
      </c>
    </row>
    <row r="2448" spans="1:1" x14ac:dyDescent="0.3">
      <c r="A2448" t="s">
        <v>1153</v>
      </c>
    </row>
    <row r="2449" spans="1:1" x14ac:dyDescent="0.3">
      <c r="A2449" t="s">
        <v>110</v>
      </c>
    </row>
    <row r="2450" spans="1:1" x14ac:dyDescent="0.3">
      <c r="A2450" t="s">
        <v>1154</v>
      </c>
    </row>
    <row r="2451" spans="1:1" x14ac:dyDescent="0.3">
      <c r="A2451" t="s">
        <v>1750</v>
      </c>
    </row>
    <row r="2452" spans="1:1" x14ac:dyDescent="0.3">
      <c r="A2452" t="s">
        <v>51</v>
      </c>
    </row>
    <row r="2453" spans="1:1" x14ac:dyDescent="0.3">
      <c r="A2453" t="s">
        <v>52</v>
      </c>
    </row>
    <row r="2454" spans="1:1" x14ac:dyDescent="0.3">
      <c r="A2454" t="s">
        <v>79</v>
      </c>
    </row>
    <row r="2455" spans="1:1" x14ac:dyDescent="0.3">
      <c r="A2455" t="s">
        <v>98</v>
      </c>
    </row>
    <row r="2456" spans="1:1" x14ac:dyDescent="0.3">
      <c r="A2456" t="s">
        <v>13</v>
      </c>
    </row>
    <row r="2457" spans="1:1" x14ac:dyDescent="0.3">
      <c r="A2457" t="s">
        <v>105</v>
      </c>
    </row>
    <row r="2458" spans="1:1" x14ac:dyDescent="0.3">
      <c r="A2458" t="s">
        <v>1700</v>
      </c>
    </row>
    <row r="2459" spans="1:1" x14ac:dyDescent="0.3">
      <c r="A2459" t="s">
        <v>1157</v>
      </c>
    </row>
    <row r="2460" spans="1:1" x14ac:dyDescent="0.3">
      <c r="A2460" t="s">
        <v>1701</v>
      </c>
    </row>
    <row r="2461" spans="1:1" x14ac:dyDescent="0.3">
      <c r="A2461" t="s">
        <v>12</v>
      </c>
    </row>
    <row r="2462" spans="1:1" x14ac:dyDescent="0.3">
      <c r="A2462" t="s">
        <v>13</v>
      </c>
    </row>
    <row r="2463" spans="1:1" x14ac:dyDescent="0.3">
      <c r="A2463" t="s">
        <v>106</v>
      </c>
    </row>
    <row r="2464" spans="1:1" x14ac:dyDescent="0.3">
      <c r="A2464" t="s">
        <v>1702</v>
      </c>
    </row>
    <row r="2465" spans="1:1" x14ac:dyDescent="0.3">
      <c r="A2465" t="s">
        <v>1157</v>
      </c>
    </row>
    <row r="2466" spans="1:1" x14ac:dyDescent="0.3">
      <c r="A2466" t="s">
        <v>1703</v>
      </c>
    </row>
    <row r="2467" spans="1:1" x14ac:dyDescent="0.3">
      <c r="A2467" t="s">
        <v>12</v>
      </c>
    </row>
    <row r="2468" spans="1:1" x14ac:dyDescent="0.3">
      <c r="A2468" t="s">
        <v>40</v>
      </c>
    </row>
    <row r="2470" spans="1:1" x14ac:dyDescent="0.3">
      <c r="A2470" t="s">
        <v>12</v>
      </c>
    </row>
    <row r="2471" spans="1:1" x14ac:dyDescent="0.3">
      <c r="A2471" t="s">
        <v>13</v>
      </c>
    </row>
    <row r="2472" spans="1:1" x14ac:dyDescent="0.3">
      <c r="A2472" t="s">
        <v>1201</v>
      </c>
    </row>
    <row r="2473" spans="1:1" x14ac:dyDescent="0.3">
      <c r="A2473" t="s">
        <v>1751</v>
      </c>
    </row>
    <row r="2474" spans="1:1" x14ac:dyDescent="0.3">
      <c r="A2474" t="s">
        <v>1752</v>
      </c>
    </row>
    <row r="2475" spans="1:1" x14ac:dyDescent="0.3">
      <c r="A2475" t="s">
        <v>1153</v>
      </c>
    </row>
    <row r="2476" spans="1:1" x14ac:dyDescent="0.3">
      <c r="A2476" t="s">
        <v>110</v>
      </c>
    </row>
    <row r="2477" spans="1:1" x14ac:dyDescent="0.3">
      <c r="A2477" t="s">
        <v>1154</v>
      </c>
    </row>
    <row r="2478" spans="1:1" x14ac:dyDescent="0.3">
      <c r="A2478" t="s">
        <v>1753</v>
      </c>
    </row>
    <row r="2479" spans="1:1" x14ac:dyDescent="0.3">
      <c r="A2479" t="s">
        <v>51</v>
      </c>
    </row>
    <row r="2480" spans="1:1" x14ac:dyDescent="0.3">
      <c r="A2480" t="s">
        <v>52</v>
      </c>
    </row>
    <row r="2481" spans="1:1" x14ac:dyDescent="0.3">
      <c r="A2481" t="s">
        <v>79</v>
      </c>
    </row>
    <row r="2482" spans="1:1" x14ac:dyDescent="0.3">
      <c r="A2482" t="s">
        <v>98</v>
      </c>
    </row>
    <row r="2483" spans="1:1" x14ac:dyDescent="0.3">
      <c r="A2483" t="s">
        <v>13</v>
      </c>
    </row>
    <row r="2484" spans="1:1" x14ac:dyDescent="0.3">
      <c r="A2484" t="s">
        <v>105</v>
      </c>
    </row>
    <row r="2485" spans="1:1" x14ac:dyDescent="0.3">
      <c r="A2485" t="s">
        <v>1754</v>
      </c>
    </row>
    <row r="2486" spans="1:1" x14ac:dyDescent="0.3">
      <c r="A2486" t="s">
        <v>1157</v>
      </c>
    </row>
    <row r="2487" spans="1:1" x14ac:dyDescent="0.3">
      <c r="A2487" t="s">
        <v>1755</v>
      </c>
    </row>
    <row r="2488" spans="1:1" x14ac:dyDescent="0.3">
      <c r="A2488" t="s">
        <v>12</v>
      </c>
    </row>
    <row r="2489" spans="1:1" x14ac:dyDescent="0.3">
      <c r="A2489" t="s">
        <v>13</v>
      </c>
    </row>
    <row r="2490" spans="1:1" x14ac:dyDescent="0.3">
      <c r="A2490" t="s">
        <v>106</v>
      </c>
    </row>
    <row r="2491" spans="1:1" x14ac:dyDescent="0.3">
      <c r="A2491" t="s">
        <v>1756</v>
      </c>
    </row>
    <row r="2492" spans="1:1" x14ac:dyDescent="0.3">
      <c r="A2492" t="s">
        <v>1157</v>
      </c>
    </row>
    <row r="2493" spans="1:1" x14ac:dyDescent="0.3">
      <c r="A2493" t="s">
        <v>1757</v>
      </c>
    </row>
    <row r="2494" spans="1:1" x14ac:dyDescent="0.3">
      <c r="A2494" t="s">
        <v>12</v>
      </c>
    </row>
    <row r="2495" spans="1:1" x14ac:dyDescent="0.3">
      <c r="A2495" t="s">
        <v>40</v>
      </c>
    </row>
    <row r="2497" spans="1:1" x14ac:dyDescent="0.3">
      <c r="A2497" t="s">
        <v>12</v>
      </c>
    </row>
    <row r="2498" spans="1:1" x14ac:dyDescent="0.3">
      <c r="A2498" t="s">
        <v>13</v>
      </c>
    </row>
    <row r="2499" spans="1:1" x14ac:dyDescent="0.3">
      <c r="A2499" t="s">
        <v>1204</v>
      </c>
    </row>
    <row r="2500" spans="1:1" x14ac:dyDescent="0.3">
      <c r="A2500" t="s">
        <v>1758</v>
      </c>
    </row>
    <row r="2501" spans="1:1" x14ac:dyDescent="0.3">
      <c r="A2501" t="s">
        <v>1759</v>
      </c>
    </row>
    <row r="2502" spans="1:1" x14ac:dyDescent="0.3">
      <c r="A2502" t="s">
        <v>1153</v>
      </c>
    </row>
    <row r="2503" spans="1:1" x14ac:dyDescent="0.3">
      <c r="A2503" t="s">
        <v>110</v>
      </c>
    </row>
    <row r="2504" spans="1:1" x14ac:dyDescent="0.3">
      <c r="A2504" t="s">
        <v>1154</v>
      </c>
    </row>
    <row r="2505" spans="1:1" x14ac:dyDescent="0.3">
      <c r="A2505" t="s">
        <v>1760</v>
      </c>
    </row>
    <row r="2506" spans="1:1" x14ac:dyDescent="0.3">
      <c r="A2506" t="s">
        <v>51</v>
      </c>
    </row>
    <row r="2507" spans="1:1" x14ac:dyDescent="0.3">
      <c r="A2507" t="s">
        <v>52</v>
      </c>
    </row>
    <row r="2508" spans="1:1" x14ac:dyDescent="0.3">
      <c r="A2508" t="s">
        <v>79</v>
      </c>
    </row>
    <row r="2509" spans="1:1" x14ac:dyDescent="0.3">
      <c r="A2509" t="s">
        <v>98</v>
      </c>
    </row>
    <row r="2510" spans="1:1" x14ac:dyDescent="0.3">
      <c r="A2510" t="s">
        <v>13</v>
      </c>
    </row>
    <row r="2511" spans="1:1" x14ac:dyDescent="0.3">
      <c r="A2511" t="s">
        <v>105</v>
      </c>
    </row>
    <row r="2512" spans="1:1" x14ac:dyDescent="0.3">
      <c r="A2512" t="s">
        <v>1761</v>
      </c>
    </row>
    <row r="2513" spans="1:1" x14ac:dyDescent="0.3">
      <c r="A2513" t="s">
        <v>1157</v>
      </c>
    </row>
    <row r="2514" spans="1:1" x14ac:dyDescent="0.3">
      <c r="A2514" t="s">
        <v>1762</v>
      </c>
    </row>
    <row r="2515" spans="1:1" x14ac:dyDescent="0.3">
      <c r="A2515" t="s">
        <v>12</v>
      </c>
    </row>
    <row r="2516" spans="1:1" x14ac:dyDescent="0.3">
      <c r="A2516" t="s">
        <v>13</v>
      </c>
    </row>
    <row r="2517" spans="1:1" x14ac:dyDescent="0.3">
      <c r="A2517" t="s">
        <v>106</v>
      </c>
    </row>
    <row r="2518" spans="1:1" x14ac:dyDescent="0.3">
      <c r="A2518" t="s">
        <v>1763</v>
      </c>
    </row>
    <row r="2519" spans="1:1" x14ac:dyDescent="0.3">
      <c r="A2519" t="s">
        <v>1157</v>
      </c>
    </row>
    <row r="2520" spans="1:1" x14ac:dyDescent="0.3">
      <c r="A2520" t="s">
        <v>1764</v>
      </c>
    </row>
    <row r="2521" spans="1:1" x14ac:dyDescent="0.3">
      <c r="A2521" t="s">
        <v>12</v>
      </c>
    </row>
    <row r="2522" spans="1:1" x14ac:dyDescent="0.3">
      <c r="A2522" t="s">
        <v>40</v>
      </c>
    </row>
    <row r="2524" spans="1:1" x14ac:dyDescent="0.3">
      <c r="A2524" t="s">
        <v>12</v>
      </c>
    </row>
    <row r="2525" spans="1:1" x14ac:dyDescent="0.3">
      <c r="A2525" t="s">
        <v>13</v>
      </c>
    </row>
    <row r="2526" spans="1:1" x14ac:dyDescent="0.3">
      <c r="A2526" t="s">
        <v>1212</v>
      </c>
    </row>
    <row r="2527" spans="1:1" x14ac:dyDescent="0.3">
      <c r="A2527" t="s">
        <v>1765</v>
      </c>
    </row>
    <row r="2528" spans="1:1" x14ac:dyDescent="0.3">
      <c r="A2528" t="s">
        <v>1766</v>
      </c>
    </row>
    <row r="2529" spans="1:1" x14ac:dyDescent="0.3">
      <c r="A2529" t="s">
        <v>1153</v>
      </c>
    </row>
    <row r="2530" spans="1:1" x14ac:dyDescent="0.3">
      <c r="A2530" t="s">
        <v>110</v>
      </c>
    </row>
    <row r="2531" spans="1:1" x14ac:dyDescent="0.3">
      <c r="A2531" t="s">
        <v>1154</v>
      </c>
    </row>
    <row r="2532" spans="1:1" x14ac:dyDescent="0.3">
      <c r="A2532" t="s">
        <v>1767</v>
      </c>
    </row>
    <row r="2533" spans="1:1" x14ac:dyDescent="0.3">
      <c r="A2533" t="s">
        <v>51</v>
      </c>
    </row>
    <row r="2534" spans="1:1" x14ac:dyDescent="0.3">
      <c r="A2534" t="s">
        <v>52</v>
      </c>
    </row>
    <row r="2535" spans="1:1" x14ac:dyDescent="0.3">
      <c r="A2535" t="s">
        <v>79</v>
      </c>
    </row>
    <row r="2536" spans="1:1" x14ac:dyDescent="0.3">
      <c r="A2536" t="s">
        <v>98</v>
      </c>
    </row>
    <row r="2537" spans="1:1" x14ac:dyDescent="0.3">
      <c r="A2537" t="s">
        <v>13</v>
      </c>
    </row>
    <row r="2538" spans="1:1" x14ac:dyDescent="0.3">
      <c r="A2538" t="s">
        <v>105</v>
      </c>
    </row>
    <row r="2539" spans="1:1" x14ac:dyDescent="0.3">
      <c r="A2539" t="s">
        <v>1768</v>
      </c>
    </row>
    <row r="2540" spans="1:1" x14ac:dyDescent="0.3">
      <c r="A2540" t="s">
        <v>1157</v>
      </c>
    </row>
    <row r="2541" spans="1:1" x14ac:dyDescent="0.3">
      <c r="A2541" t="s">
        <v>1769</v>
      </c>
    </row>
    <row r="2542" spans="1:1" x14ac:dyDescent="0.3">
      <c r="A2542" t="s">
        <v>12</v>
      </c>
    </row>
    <row r="2543" spans="1:1" x14ac:dyDescent="0.3">
      <c r="A2543" t="s">
        <v>13</v>
      </c>
    </row>
    <row r="2544" spans="1:1" x14ac:dyDescent="0.3">
      <c r="A2544" t="s">
        <v>106</v>
      </c>
    </row>
    <row r="2545" spans="1:1" x14ac:dyDescent="0.3">
      <c r="A2545" t="s">
        <v>1770</v>
      </c>
    </row>
    <row r="2546" spans="1:1" x14ac:dyDescent="0.3">
      <c r="A2546" t="s">
        <v>1157</v>
      </c>
    </row>
    <row r="2547" spans="1:1" x14ac:dyDescent="0.3">
      <c r="A2547" t="s">
        <v>1771</v>
      </c>
    </row>
    <row r="2548" spans="1:1" x14ac:dyDescent="0.3">
      <c r="A2548" t="s">
        <v>12</v>
      </c>
    </row>
    <row r="2549" spans="1:1" x14ac:dyDescent="0.3">
      <c r="A2549" t="s">
        <v>40</v>
      </c>
    </row>
    <row r="2551" spans="1:1" x14ac:dyDescent="0.3">
      <c r="A2551" t="s">
        <v>12</v>
      </c>
    </row>
    <row r="2552" spans="1:1" x14ac:dyDescent="0.3">
      <c r="A2552" t="s">
        <v>13</v>
      </c>
    </row>
    <row r="2553" spans="1:1" x14ac:dyDescent="0.3">
      <c r="A2553" t="s">
        <v>1220</v>
      </c>
    </row>
    <row r="2554" spans="1:1" x14ac:dyDescent="0.3">
      <c r="A2554" t="s">
        <v>1772</v>
      </c>
    </row>
    <row r="2555" spans="1:1" x14ac:dyDescent="0.3">
      <c r="A2555" t="s">
        <v>1773</v>
      </c>
    </row>
    <row r="2556" spans="1:1" x14ac:dyDescent="0.3">
      <c r="A2556" t="s">
        <v>1153</v>
      </c>
    </row>
    <row r="2557" spans="1:1" x14ac:dyDescent="0.3">
      <c r="A2557" t="s">
        <v>110</v>
      </c>
    </row>
    <row r="2558" spans="1:1" x14ac:dyDescent="0.3">
      <c r="A2558" t="s">
        <v>1154</v>
      </c>
    </row>
    <row r="2559" spans="1:1" x14ac:dyDescent="0.3">
      <c r="A2559" t="s">
        <v>1774</v>
      </c>
    </row>
    <row r="2560" spans="1:1" x14ac:dyDescent="0.3">
      <c r="A2560" t="s">
        <v>51</v>
      </c>
    </row>
    <row r="2561" spans="1:1" x14ac:dyDescent="0.3">
      <c r="A2561" t="s">
        <v>52</v>
      </c>
    </row>
    <row r="2562" spans="1:1" x14ac:dyDescent="0.3">
      <c r="A2562" t="s">
        <v>79</v>
      </c>
    </row>
    <row r="2563" spans="1:1" x14ac:dyDescent="0.3">
      <c r="A2563" t="s">
        <v>98</v>
      </c>
    </row>
    <row r="2564" spans="1:1" x14ac:dyDescent="0.3">
      <c r="A2564" t="s">
        <v>13</v>
      </c>
    </row>
    <row r="2565" spans="1:1" x14ac:dyDescent="0.3">
      <c r="A2565" t="s">
        <v>105</v>
      </c>
    </row>
    <row r="2566" spans="1:1" x14ac:dyDescent="0.3">
      <c r="A2566" t="s">
        <v>1775</v>
      </c>
    </row>
    <row r="2567" spans="1:1" x14ac:dyDescent="0.3">
      <c r="A2567" t="s">
        <v>1157</v>
      </c>
    </row>
    <row r="2568" spans="1:1" x14ac:dyDescent="0.3">
      <c r="A2568" t="s">
        <v>1776</v>
      </c>
    </row>
    <row r="2569" spans="1:1" x14ac:dyDescent="0.3">
      <c r="A2569" t="s">
        <v>12</v>
      </c>
    </row>
    <row r="2570" spans="1:1" x14ac:dyDescent="0.3">
      <c r="A2570" t="s">
        <v>13</v>
      </c>
    </row>
    <row r="2571" spans="1:1" x14ac:dyDescent="0.3">
      <c r="A2571" t="s">
        <v>106</v>
      </c>
    </row>
    <row r="2572" spans="1:1" x14ac:dyDescent="0.3">
      <c r="A2572" t="s">
        <v>1777</v>
      </c>
    </row>
    <row r="2573" spans="1:1" x14ac:dyDescent="0.3">
      <c r="A2573" t="s">
        <v>1157</v>
      </c>
    </row>
    <row r="2574" spans="1:1" x14ac:dyDescent="0.3">
      <c r="A2574" t="s">
        <v>1778</v>
      </c>
    </row>
    <row r="2575" spans="1:1" x14ac:dyDescent="0.3">
      <c r="A2575" t="s">
        <v>12</v>
      </c>
    </row>
    <row r="2576" spans="1:1" x14ac:dyDescent="0.3">
      <c r="A2576" t="s">
        <v>40</v>
      </c>
    </row>
    <row r="2578" spans="1:1" x14ac:dyDescent="0.3">
      <c r="A2578" t="s">
        <v>12</v>
      </c>
    </row>
    <row r="2579" spans="1:1" x14ac:dyDescent="0.3">
      <c r="A2579" t="s">
        <v>13</v>
      </c>
    </row>
    <row r="2580" spans="1:1" x14ac:dyDescent="0.3">
      <c r="A2580" t="s">
        <v>1228</v>
      </c>
    </row>
    <row r="2581" spans="1:1" x14ac:dyDescent="0.3">
      <c r="A2581" t="s">
        <v>1779</v>
      </c>
    </row>
    <row r="2582" spans="1:1" x14ac:dyDescent="0.3">
      <c r="A2582" t="s">
        <v>1780</v>
      </c>
    </row>
    <row r="2583" spans="1:1" x14ac:dyDescent="0.3">
      <c r="A2583" t="s">
        <v>1153</v>
      </c>
    </row>
    <row r="2584" spans="1:1" x14ac:dyDescent="0.3">
      <c r="A2584" t="s">
        <v>110</v>
      </c>
    </row>
    <row r="2585" spans="1:1" x14ac:dyDescent="0.3">
      <c r="A2585" t="s">
        <v>1154</v>
      </c>
    </row>
    <row r="2586" spans="1:1" x14ac:dyDescent="0.3">
      <c r="A2586" t="s">
        <v>1781</v>
      </c>
    </row>
    <row r="2587" spans="1:1" x14ac:dyDescent="0.3">
      <c r="A2587" t="s">
        <v>51</v>
      </c>
    </row>
    <row r="2588" spans="1:1" x14ac:dyDescent="0.3">
      <c r="A2588" t="s">
        <v>52</v>
      </c>
    </row>
    <row r="2589" spans="1:1" x14ac:dyDescent="0.3">
      <c r="A2589" t="s">
        <v>79</v>
      </c>
    </row>
    <row r="2590" spans="1:1" x14ac:dyDescent="0.3">
      <c r="A2590" t="s">
        <v>98</v>
      </c>
    </row>
    <row r="2591" spans="1:1" x14ac:dyDescent="0.3">
      <c r="A2591" t="s">
        <v>13</v>
      </c>
    </row>
    <row r="2592" spans="1:1" x14ac:dyDescent="0.3">
      <c r="A2592" t="s">
        <v>105</v>
      </c>
    </row>
    <row r="2593" spans="1:1" x14ac:dyDescent="0.3">
      <c r="A2593" t="s">
        <v>1782</v>
      </c>
    </row>
    <row r="2594" spans="1:1" x14ac:dyDescent="0.3">
      <c r="A2594" t="s">
        <v>1157</v>
      </c>
    </row>
    <row r="2595" spans="1:1" x14ac:dyDescent="0.3">
      <c r="A2595" t="s">
        <v>1783</v>
      </c>
    </row>
    <row r="2596" spans="1:1" x14ac:dyDescent="0.3">
      <c r="A2596" t="s">
        <v>12</v>
      </c>
    </row>
    <row r="2597" spans="1:1" x14ac:dyDescent="0.3">
      <c r="A2597" t="s">
        <v>13</v>
      </c>
    </row>
    <row r="2598" spans="1:1" x14ac:dyDescent="0.3">
      <c r="A2598" t="s">
        <v>106</v>
      </c>
    </row>
    <row r="2599" spans="1:1" x14ac:dyDescent="0.3">
      <c r="A2599" t="s">
        <v>1784</v>
      </c>
    </row>
    <row r="2600" spans="1:1" x14ac:dyDescent="0.3">
      <c r="A2600" t="s">
        <v>1157</v>
      </c>
    </row>
    <row r="2601" spans="1:1" x14ac:dyDescent="0.3">
      <c r="A2601" t="s">
        <v>1785</v>
      </c>
    </row>
    <row r="2602" spans="1:1" x14ac:dyDescent="0.3">
      <c r="A2602" t="s">
        <v>12</v>
      </c>
    </row>
    <row r="2603" spans="1:1" x14ac:dyDescent="0.3">
      <c r="A2603" t="s">
        <v>40</v>
      </c>
    </row>
    <row r="2605" spans="1:1" x14ac:dyDescent="0.3">
      <c r="A2605" t="s">
        <v>12</v>
      </c>
    </row>
    <row r="2606" spans="1:1" x14ac:dyDescent="0.3">
      <c r="A2606" t="s">
        <v>13</v>
      </c>
    </row>
    <row r="2607" spans="1:1" x14ac:dyDescent="0.3">
      <c r="A2607" t="s">
        <v>1236</v>
      </c>
    </row>
    <row r="2608" spans="1:1" x14ac:dyDescent="0.3">
      <c r="A2608" t="s">
        <v>1786</v>
      </c>
    </row>
    <row r="2609" spans="1:1" x14ac:dyDescent="0.3">
      <c r="A2609" t="s">
        <v>1787</v>
      </c>
    </row>
    <row r="2610" spans="1:1" x14ac:dyDescent="0.3">
      <c r="A2610" t="s">
        <v>1153</v>
      </c>
    </row>
    <row r="2611" spans="1:1" x14ac:dyDescent="0.3">
      <c r="A2611" t="s">
        <v>110</v>
      </c>
    </row>
    <row r="2612" spans="1:1" x14ac:dyDescent="0.3">
      <c r="A2612" t="s">
        <v>1154</v>
      </c>
    </row>
    <row r="2613" spans="1:1" x14ac:dyDescent="0.3">
      <c r="A2613" t="s">
        <v>1788</v>
      </c>
    </row>
    <row r="2614" spans="1:1" x14ac:dyDescent="0.3">
      <c r="A2614" t="s">
        <v>51</v>
      </c>
    </row>
    <row r="2615" spans="1:1" x14ac:dyDescent="0.3">
      <c r="A2615" t="s">
        <v>52</v>
      </c>
    </row>
    <row r="2616" spans="1:1" x14ac:dyDescent="0.3">
      <c r="A2616" t="s">
        <v>79</v>
      </c>
    </row>
    <row r="2617" spans="1:1" x14ac:dyDescent="0.3">
      <c r="A2617" t="s">
        <v>98</v>
      </c>
    </row>
    <row r="2618" spans="1:1" x14ac:dyDescent="0.3">
      <c r="A2618" t="s">
        <v>13</v>
      </c>
    </row>
    <row r="2619" spans="1:1" x14ac:dyDescent="0.3">
      <c r="A2619" t="s">
        <v>105</v>
      </c>
    </row>
    <row r="2620" spans="1:1" x14ac:dyDescent="0.3">
      <c r="A2620" t="s">
        <v>1789</v>
      </c>
    </row>
    <row r="2621" spans="1:1" x14ac:dyDescent="0.3">
      <c r="A2621" t="s">
        <v>1157</v>
      </c>
    </row>
    <row r="2622" spans="1:1" x14ac:dyDescent="0.3">
      <c r="A2622" t="s">
        <v>1790</v>
      </c>
    </row>
    <row r="2623" spans="1:1" x14ac:dyDescent="0.3">
      <c r="A2623" t="s">
        <v>12</v>
      </c>
    </row>
    <row r="2624" spans="1:1" x14ac:dyDescent="0.3">
      <c r="A2624" t="s">
        <v>13</v>
      </c>
    </row>
    <row r="2625" spans="1:1" x14ac:dyDescent="0.3">
      <c r="A2625" t="s">
        <v>106</v>
      </c>
    </row>
    <row r="2626" spans="1:1" x14ac:dyDescent="0.3">
      <c r="A2626" t="s">
        <v>1791</v>
      </c>
    </row>
    <row r="2627" spans="1:1" x14ac:dyDescent="0.3">
      <c r="A2627" t="s">
        <v>1157</v>
      </c>
    </row>
    <row r="2628" spans="1:1" x14ac:dyDescent="0.3">
      <c r="A2628" t="s">
        <v>1792</v>
      </c>
    </row>
    <row r="2629" spans="1:1" x14ac:dyDescent="0.3">
      <c r="A2629" t="s">
        <v>12</v>
      </c>
    </row>
    <row r="2630" spans="1:1" x14ac:dyDescent="0.3">
      <c r="A2630" t="s">
        <v>40</v>
      </c>
    </row>
    <row r="2632" spans="1:1" x14ac:dyDescent="0.3">
      <c r="A2632" t="s">
        <v>12</v>
      </c>
    </row>
    <row r="2633" spans="1:1" x14ac:dyDescent="0.3">
      <c r="A2633" t="s">
        <v>13</v>
      </c>
    </row>
    <row r="2634" spans="1:1" x14ac:dyDescent="0.3">
      <c r="A2634" t="s">
        <v>1244</v>
      </c>
    </row>
    <row r="2635" spans="1:1" x14ac:dyDescent="0.3">
      <c r="A2635" t="s">
        <v>1793</v>
      </c>
    </row>
    <row r="2636" spans="1:1" x14ac:dyDescent="0.3">
      <c r="A2636" t="s">
        <v>1794</v>
      </c>
    </row>
    <row r="2637" spans="1:1" x14ac:dyDescent="0.3">
      <c r="A2637" t="s">
        <v>1153</v>
      </c>
    </row>
    <row r="2638" spans="1:1" x14ac:dyDescent="0.3">
      <c r="A2638" t="s">
        <v>110</v>
      </c>
    </row>
    <row r="2639" spans="1:1" x14ac:dyDescent="0.3">
      <c r="A2639" t="s">
        <v>1154</v>
      </c>
    </row>
    <row r="2640" spans="1:1" x14ac:dyDescent="0.3">
      <c r="A2640" t="s">
        <v>1795</v>
      </c>
    </row>
    <row r="2641" spans="1:1" x14ac:dyDescent="0.3">
      <c r="A2641" t="s">
        <v>51</v>
      </c>
    </row>
    <row r="2642" spans="1:1" x14ac:dyDescent="0.3">
      <c r="A2642" t="s">
        <v>52</v>
      </c>
    </row>
    <row r="2643" spans="1:1" x14ac:dyDescent="0.3">
      <c r="A2643" t="s">
        <v>79</v>
      </c>
    </row>
    <row r="2644" spans="1:1" x14ac:dyDescent="0.3">
      <c r="A2644" t="s">
        <v>98</v>
      </c>
    </row>
    <row r="2645" spans="1:1" x14ac:dyDescent="0.3">
      <c r="A2645" t="s">
        <v>13</v>
      </c>
    </row>
    <row r="2646" spans="1:1" x14ac:dyDescent="0.3">
      <c r="A2646" t="s">
        <v>105</v>
      </c>
    </row>
    <row r="2647" spans="1:1" x14ac:dyDescent="0.3">
      <c r="A2647" t="s">
        <v>1796</v>
      </c>
    </row>
    <row r="2648" spans="1:1" x14ac:dyDescent="0.3">
      <c r="A2648" t="s">
        <v>1157</v>
      </c>
    </row>
    <row r="2649" spans="1:1" x14ac:dyDescent="0.3">
      <c r="A2649" t="s">
        <v>1797</v>
      </c>
    </row>
    <row r="2650" spans="1:1" x14ac:dyDescent="0.3">
      <c r="A2650" t="s">
        <v>12</v>
      </c>
    </row>
    <row r="2651" spans="1:1" x14ac:dyDescent="0.3">
      <c r="A2651" t="s">
        <v>13</v>
      </c>
    </row>
    <row r="2652" spans="1:1" x14ac:dyDescent="0.3">
      <c r="A2652" t="s">
        <v>106</v>
      </c>
    </row>
    <row r="2653" spans="1:1" x14ac:dyDescent="0.3">
      <c r="A2653" t="s">
        <v>1798</v>
      </c>
    </row>
    <row r="2654" spans="1:1" x14ac:dyDescent="0.3">
      <c r="A2654" t="s">
        <v>1157</v>
      </c>
    </row>
    <row r="2655" spans="1:1" x14ac:dyDescent="0.3">
      <c r="A2655" t="s">
        <v>1799</v>
      </c>
    </row>
    <row r="2656" spans="1:1" x14ac:dyDescent="0.3">
      <c r="A2656" t="s">
        <v>12</v>
      </c>
    </row>
    <row r="2657" spans="1:1" x14ac:dyDescent="0.3">
      <c r="A2657" t="s">
        <v>40</v>
      </c>
    </row>
    <row r="2659" spans="1:1" x14ac:dyDescent="0.3">
      <c r="A2659" t="s">
        <v>12</v>
      </c>
    </row>
    <row r="2660" spans="1:1" x14ac:dyDescent="0.3">
      <c r="A2660" t="s">
        <v>13</v>
      </c>
    </row>
    <row r="2661" spans="1:1" x14ac:dyDescent="0.3">
      <c r="A2661" t="s">
        <v>1252</v>
      </c>
    </row>
    <row r="2662" spans="1:1" x14ac:dyDescent="0.3">
      <c r="A2662" t="s">
        <v>1800</v>
      </c>
    </row>
    <row r="2663" spans="1:1" x14ac:dyDescent="0.3">
      <c r="A2663" t="s">
        <v>1801</v>
      </c>
    </row>
    <row r="2664" spans="1:1" x14ac:dyDescent="0.3">
      <c r="A2664" t="s">
        <v>1153</v>
      </c>
    </row>
    <row r="2665" spans="1:1" x14ac:dyDescent="0.3">
      <c r="A2665" t="s">
        <v>110</v>
      </c>
    </row>
    <row r="2666" spans="1:1" x14ac:dyDescent="0.3">
      <c r="A2666" t="s">
        <v>1154</v>
      </c>
    </row>
    <row r="2667" spans="1:1" x14ac:dyDescent="0.3">
      <c r="A2667" t="s">
        <v>1802</v>
      </c>
    </row>
    <row r="2668" spans="1:1" x14ac:dyDescent="0.3">
      <c r="A2668" t="s">
        <v>51</v>
      </c>
    </row>
    <row r="2669" spans="1:1" x14ac:dyDescent="0.3">
      <c r="A2669" t="s">
        <v>52</v>
      </c>
    </row>
    <row r="2670" spans="1:1" x14ac:dyDescent="0.3">
      <c r="A2670" t="s">
        <v>79</v>
      </c>
    </row>
    <row r="2671" spans="1:1" x14ac:dyDescent="0.3">
      <c r="A2671" t="s">
        <v>98</v>
      </c>
    </row>
    <row r="2672" spans="1:1" x14ac:dyDescent="0.3">
      <c r="A2672" t="s">
        <v>13</v>
      </c>
    </row>
    <row r="2673" spans="1:1" x14ac:dyDescent="0.3">
      <c r="A2673" t="s">
        <v>105</v>
      </c>
    </row>
    <row r="2674" spans="1:1" x14ac:dyDescent="0.3">
      <c r="A2674" t="s">
        <v>1803</v>
      </c>
    </row>
    <row r="2675" spans="1:1" x14ac:dyDescent="0.3">
      <c r="A2675" t="s">
        <v>1157</v>
      </c>
    </row>
    <row r="2676" spans="1:1" x14ac:dyDescent="0.3">
      <c r="A2676" t="s">
        <v>1804</v>
      </c>
    </row>
    <row r="2677" spans="1:1" x14ac:dyDescent="0.3">
      <c r="A2677" t="s">
        <v>12</v>
      </c>
    </row>
    <row r="2678" spans="1:1" x14ac:dyDescent="0.3">
      <c r="A2678" t="s">
        <v>13</v>
      </c>
    </row>
    <row r="2679" spans="1:1" x14ac:dyDescent="0.3">
      <c r="A2679" t="s">
        <v>106</v>
      </c>
    </row>
    <row r="2680" spans="1:1" x14ac:dyDescent="0.3">
      <c r="A2680" t="s">
        <v>1805</v>
      </c>
    </row>
    <row r="2681" spans="1:1" x14ac:dyDescent="0.3">
      <c r="A2681" t="s">
        <v>1157</v>
      </c>
    </row>
    <row r="2682" spans="1:1" x14ac:dyDescent="0.3">
      <c r="A2682" t="s">
        <v>1806</v>
      </c>
    </row>
    <row r="2683" spans="1:1" x14ac:dyDescent="0.3">
      <c r="A2683" t="s">
        <v>12</v>
      </c>
    </row>
    <row r="2684" spans="1:1" x14ac:dyDescent="0.3">
      <c r="A2684" t="s">
        <v>40</v>
      </c>
    </row>
    <row r="2686" spans="1:1" x14ac:dyDescent="0.3">
      <c r="A2686" t="s">
        <v>12</v>
      </c>
    </row>
    <row r="2687" spans="1:1" x14ac:dyDescent="0.3">
      <c r="A2687" t="s">
        <v>13</v>
      </c>
    </row>
    <row r="2688" spans="1:1" x14ac:dyDescent="0.3">
      <c r="A2688" t="s">
        <v>1256</v>
      </c>
    </row>
    <row r="2689" spans="1:1" x14ac:dyDescent="0.3">
      <c r="A2689" t="s">
        <v>1807</v>
      </c>
    </row>
    <row r="2690" spans="1:1" x14ac:dyDescent="0.3">
      <c r="A2690" t="s">
        <v>1808</v>
      </c>
    </row>
    <row r="2691" spans="1:1" x14ac:dyDescent="0.3">
      <c r="A2691" t="s">
        <v>1153</v>
      </c>
    </row>
    <row r="2692" spans="1:1" x14ac:dyDescent="0.3">
      <c r="A2692" t="s">
        <v>110</v>
      </c>
    </row>
    <row r="2693" spans="1:1" x14ac:dyDescent="0.3">
      <c r="A2693" t="s">
        <v>1154</v>
      </c>
    </row>
    <row r="2694" spans="1:1" x14ac:dyDescent="0.3">
      <c r="A2694" t="s">
        <v>1809</v>
      </c>
    </row>
    <row r="2695" spans="1:1" x14ac:dyDescent="0.3">
      <c r="A2695" t="s">
        <v>51</v>
      </c>
    </row>
    <row r="2696" spans="1:1" x14ac:dyDescent="0.3">
      <c r="A2696" t="s">
        <v>52</v>
      </c>
    </row>
    <row r="2697" spans="1:1" x14ac:dyDescent="0.3">
      <c r="A2697" t="s">
        <v>79</v>
      </c>
    </row>
    <row r="2698" spans="1:1" x14ac:dyDescent="0.3">
      <c r="A2698" t="s">
        <v>98</v>
      </c>
    </row>
    <row r="2699" spans="1:1" x14ac:dyDescent="0.3">
      <c r="A2699" t="s">
        <v>13</v>
      </c>
    </row>
    <row r="2700" spans="1:1" x14ac:dyDescent="0.3">
      <c r="A2700" t="s">
        <v>105</v>
      </c>
    </row>
    <row r="2701" spans="1:1" x14ac:dyDescent="0.3">
      <c r="A2701" t="s">
        <v>1810</v>
      </c>
    </row>
    <row r="2702" spans="1:1" x14ac:dyDescent="0.3">
      <c r="A2702" t="s">
        <v>1157</v>
      </c>
    </row>
    <row r="2703" spans="1:1" x14ac:dyDescent="0.3">
      <c r="A2703" t="s">
        <v>1811</v>
      </c>
    </row>
    <row r="2704" spans="1:1" x14ac:dyDescent="0.3">
      <c r="A2704" t="s">
        <v>12</v>
      </c>
    </row>
    <row r="2705" spans="1:1" x14ac:dyDescent="0.3">
      <c r="A2705" t="s">
        <v>13</v>
      </c>
    </row>
    <row r="2706" spans="1:1" x14ac:dyDescent="0.3">
      <c r="A2706" t="s">
        <v>106</v>
      </c>
    </row>
    <row r="2707" spans="1:1" x14ac:dyDescent="0.3">
      <c r="A2707" t="s">
        <v>1812</v>
      </c>
    </row>
    <row r="2708" spans="1:1" x14ac:dyDescent="0.3">
      <c r="A2708" t="s">
        <v>1157</v>
      </c>
    </row>
    <row r="2709" spans="1:1" x14ac:dyDescent="0.3">
      <c r="A2709" t="s">
        <v>1813</v>
      </c>
    </row>
    <row r="2710" spans="1:1" x14ac:dyDescent="0.3">
      <c r="A2710" t="s">
        <v>12</v>
      </c>
    </row>
    <row r="2711" spans="1:1" x14ac:dyDescent="0.3">
      <c r="A2711" t="s">
        <v>40</v>
      </c>
    </row>
    <row r="2713" spans="1:1" x14ac:dyDescent="0.3">
      <c r="A2713" t="s">
        <v>12</v>
      </c>
    </row>
    <row r="2714" spans="1:1" x14ac:dyDescent="0.3">
      <c r="A2714" t="s">
        <v>13</v>
      </c>
    </row>
    <row r="2715" spans="1:1" x14ac:dyDescent="0.3">
      <c r="A2715" t="s">
        <v>1260</v>
      </c>
    </row>
    <row r="2716" spans="1:1" x14ac:dyDescent="0.3">
      <c r="A2716" t="s">
        <v>1814</v>
      </c>
    </row>
    <row r="2717" spans="1:1" x14ac:dyDescent="0.3">
      <c r="A2717" t="s">
        <v>1815</v>
      </c>
    </row>
    <row r="2718" spans="1:1" x14ac:dyDescent="0.3">
      <c r="A2718" t="s">
        <v>1153</v>
      </c>
    </row>
    <row r="2719" spans="1:1" x14ac:dyDescent="0.3">
      <c r="A2719" t="s">
        <v>110</v>
      </c>
    </row>
    <row r="2720" spans="1:1" x14ac:dyDescent="0.3">
      <c r="A2720" t="s">
        <v>1154</v>
      </c>
    </row>
    <row r="2721" spans="1:1" x14ac:dyDescent="0.3">
      <c r="A2721" t="s">
        <v>1816</v>
      </c>
    </row>
    <row r="2722" spans="1:1" x14ac:dyDescent="0.3">
      <c r="A2722" t="s">
        <v>51</v>
      </c>
    </row>
    <row r="2723" spans="1:1" x14ac:dyDescent="0.3">
      <c r="A2723" t="s">
        <v>52</v>
      </c>
    </row>
    <row r="2724" spans="1:1" x14ac:dyDescent="0.3">
      <c r="A2724" t="s">
        <v>79</v>
      </c>
    </row>
    <row r="2725" spans="1:1" x14ac:dyDescent="0.3">
      <c r="A2725" t="s">
        <v>98</v>
      </c>
    </row>
    <row r="2726" spans="1:1" x14ac:dyDescent="0.3">
      <c r="A2726" t="s">
        <v>13</v>
      </c>
    </row>
    <row r="2727" spans="1:1" x14ac:dyDescent="0.3">
      <c r="A2727" t="s">
        <v>105</v>
      </c>
    </row>
    <row r="2728" spans="1:1" x14ac:dyDescent="0.3">
      <c r="A2728" t="s">
        <v>1817</v>
      </c>
    </row>
    <row r="2729" spans="1:1" x14ac:dyDescent="0.3">
      <c r="A2729" t="s">
        <v>1157</v>
      </c>
    </row>
    <row r="2730" spans="1:1" x14ac:dyDescent="0.3">
      <c r="A2730" t="s">
        <v>1818</v>
      </c>
    </row>
    <row r="2731" spans="1:1" x14ac:dyDescent="0.3">
      <c r="A2731" t="s">
        <v>12</v>
      </c>
    </row>
    <row r="2732" spans="1:1" x14ac:dyDescent="0.3">
      <c r="A2732" t="s">
        <v>13</v>
      </c>
    </row>
    <row r="2733" spans="1:1" x14ac:dyDescent="0.3">
      <c r="A2733" t="s">
        <v>106</v>
      </c>
    </row>
    <row r="2734" spans="1:1" x14ac:dyDescent="0.3">
      <c r="A2734" t="s">
        <v>1819</v>
      </c>
    </row>
    <row r="2735" spans="1:1" x14ac:dyDescent="0.3">
      <c r="A2735" t="s">
        <v>1157</v>
      </c>
    </row>
    <row r="2736" spans="1:1" x14ac:dyDescent="0.3">
      <c r="A2736" t="s">
        <v>1820</v>
      </c>
    </row>
    <row r="2737" spans="1:1" x14ac:dyDescent="0.3">
      <c r="A2737" t="s">
        <v>12</v>
      </c>
    </row>
    <row r="2738" spans="1:1" x14ac:dyDescent="0.3">
      <c r="A2738" t="s">
        <v>40</v>
      </c>
    </row>
    <row r="2740" spans="1:1" x14ac:dyDescent="0.3">
      <c r="A2740" t="s">
        <v>12</v>
      </c>
    </row>
    <row r="2741" spans="1:1" x14ac:dyDescent="0.3">
      <c r="A2741" t="s">
        <v>13</v>
      </c>
    </row>
    <row r="2742" spans="1:1" x14ac:dyDescent="0.3">
      <c r="A2742" t="s">
        <v>1264</v>
      </c>
    </row>
    <row r="2743" spans="1:1" x14ac:dyDescent="0.3">
      <c r="A2743" t="s">
        <v>1758</v>
      </c>
    </row>
    <row r="2744" spans="1:1" x14ac:dyDescent="0.3">
      <c r="A2744" t="s">
        <v>1821</v>
      </c>
    </row>
    <row r="2745" spans="1:1" x14ac:dyDescent="0.3">
      <c r="A2745" t="s">
        <v>1153</v>
      </c>
    </row>
    <row r="2746" spans="1:1" x14ac:dyDescent="0.3">
      <c r="A2746" t="s">
        <v>110</v>
      </c>
    </row>
    <row r="2747" spans="1:1" x14ac:dyDescent="0.3">
      <c r="A2747" t="s">
        <v>1154</v>
      </c>
    </row>
    <row r="2748" spans="1:1" x14ac:dyDescent="0.3">
      <c r="A2748" t="s">
        <v>1822</v>
      </c>
    </row>
    <row r="2749" spans="1:1" x14ac:dyDescent="0.3">
      <c r="A2749" t="s">
        <v>51</v>
      </c>
    </row>
    <row r="2750" spans="1:1" x14ac:dyDescent="0.3">
      <c r="A2750" t="s">
        <v>52</v>
      </c>
    </row>
    <row r="2751" spans="1:1" x14ac:dyDescent="0.3">
      <c r="A2751" t="s">
        <v>79</v>
      </c>
    </row>
    <row r="2752" spans="1:1" x14ac:dyDescent="0.3">
      <c r="A2752" t="s">
        <v>98</v>
      </c>
    </row>
    <row r="2753" spans="1:1" x14ac:dyDescent="0.3">
      <c r="A2753" t="s">
        <v>13</v>
      </c>
    </row>
    <row r="2754" spans="1:1" x14ac:dyDescent="0.3">
      <c r="A2754" t="s">
        <v>105</v>
      </c>
    </row>
    <row r="2755" spans="1:1" x14ac:dyDescent="0.3">
      <c r="A2755" t="s">
        <v>1761</v>
      </c>
    </row>
    <row r="2756" spans="1:1" x14ac:dyDescent="0.3">
      <c r="A2756" t="s">
        <v>1157</v>
      </c>
    </row>
    <row r="2757" spans="1:1" x14ac:dyDescent="0.3">
      <c r="A2757" t="s">
        <v>1762</v>
      </c>
    </row>
    <row r="2758" spans="1:1" x14ac:dyDescent="0.3">
      <c r="A2758" t="s">
        <v>12</v>
      </c>
    </row>
    <row r="2759" spans="1:1" x14ac:dyDescent="0.3">
      <c r="A2759" t="s">
        <v>13</v>
      </c>
    </row>
    <row r="2760" spans="1:1" x14ac:dyDescent="0.3">
      <c r="A2760" t="s">
        <v>106</v>
      </c>
    </row>
    <row r="2761" spans="1:1" x14ac:dyDescent="0.3">
      <c r="A2761" t="s">
        <v>1763</v>
      </c>
    </row>
    <row r="2762" spans="1:1" x14ac:dyDescent="0.3">
      <c r="A2762" t="s">
        <v>1157</v>
      </c>
    </row>
    <row r="2763" spans="1:1" x14ac:dyDescent="0.3">
      <c r="A2763" t="s">
        <v>1764</v>
      </c>
    </row>
    <row r="2764" spans="1:1" x14ac:dyDescent="0.3">
      <c r="A2764" t="s">
        <v>12</v>
      </c>
    </row>
    <row r="2765" spans="1:1" x14ac:dyDescent="0.3">
      <c r="A2765" t="s">
        <v>40</v>
      </c>
    </row>
    <row r="2767" spans="1:1" x14ac:dyDescent="0.3">
      <c r="A2767" t="s">
        <v>12</v>
      </c>
    </row>
    <row r="2768" spans="1:1" x14ac:dyDescent="0.3">
      <c r="A2768" t="s">
        <v>13</v>
      </c>
    </row>
    <row r="2769" spans="1:1" x14ac:dyDescent="0.3">
      <c r="A2769" t="s">
        <v>1268</v>
      </c>
    </row>
    <row r="2770" spans="1:1" x14ac:dyDescent="0.3">
      <c r="A2770" t="s">
        <v>1823</v>
      </c>
    </row>
    <row r="2771" spans="1:1" x14ac:dyDescent="0.3">
      <c r="A2771" t="s">
        <v>1824</v>
      </c>
    </row>
    <row r="2772" spans="1:1" x14ac:dyDescent="0.3">
      <c r="A2772" t="s">
        <v>1153</v>
      </c>
    </row>
    <row r="2773" spans="1:1" x14ac:dyDescent="0.3">
      <c r="A2773" t="s">
        <v>110</v>
      </c>
    </row>
    <row r="2774" spans="1:1" x14ac:dyDescent="0.3">
      <c r="A2774" t="s">
        <v>1154</v>
      </c>
    </row>
    <row r="2775" spans="1:1" x14ac:dyDescent="0.3">
      <c r="A2775" t="s">
        <v>1825</v>
      </c>
    </row>
    <row r="2776" spans="1:1" x14ac:dyDescent="0.3">
      <c r="A2776" t="s">
        <v>51</v>
      </c>
    </row>
    <row r="2777" spans="1:1" x14ac:dyDescent="0.3">
      <c r="A2777" t="s">
        <v>52</v>
      </c>
    </row>
    <row r="2778" spans="1:1" x14ac:dyDescent="0.3">
      <c r="A2778" t="s">
        <v>79</v>
      </c>
    </row>
    <row r="2780" spans="1:1" x14ac:dyDescent="0.3">
      <c r="A2780" t="s">
        <v>12</v>
      </c>
    </row>
    <row r="2781" spans="1:1" x14ac:dyDescent="0.3">
      <c r="A2781" t="s">
        <v>13</v>
      </c>
    </row>
    <row r="2782" spans="1:1" x14ac:dyDescent="0.3">
      <c r="A2782" t="s">
        <v>1276</v>
      </c>
    </row>
    <row r="2783" spans="1:1" x14ac:dyDescent="0.3">
      <c r="A2783" t="s">
        <v>1826</v>
      </c>
    </row>
    <row r="2784" spans="1:1" x14ac:dyDescent="0.3">
      <c r="A2784" t="s">
        <v>1827</v>
      </c>
    </row>
    <row r="2785" spans="1:1" x14ac:dyDescent="0.3">
      <c r="A2785" t="s">
        <v>1153</v>
      </c>
    </row>
    <row r="2786" spans="1:1" x14ac:dyDescent="0.3">
      <c r="A2786" t="s">
        <v>110</v>
      </c>
    </row>
    <row r="2787" spans="1:1" x14ac:dyDescent="0.3">
      <c r="A2787" t="s">
        <v>1154</v>
      </c>
    </row>
    <row r="2788" spans="1:1" x14ac:dyDescent="0.3">
      <c r="A2788" t="s">
        <v>1828</v>
      </c>
    </row>
    <row r="2789" spans="1:1" x14ac:dyDescent="0.3">
      <c r="A2789" t="s">
        <v>51</v>
      </c>
    </row>
    <row r="2790" spans="1:1" x14ac:dyDescent="0.3">
      <c r="A2790" t="s">
        <v>52</v>
      </c>
    </row>
    <row r="2791" spans="1:1" x14ac:dyDescent="0.3">
      <c r="A2791" t="s">
        <v>79</v>
      </c>
    </row>
    <row r="2792" spans="1:1" x14ac:dyDescent="0.3">
      <c r="A2792" t="s">
        <v>98</v>
      </c>
    </row>
    <row r="2793" spans="1:1" x14ac:dyDescent="0.3">
      <c r="A2793" t="s">
        <v>13</v>
      </c>
    </row>
    <row r="2794" spans="1:1" x14ac:dyDescent="0.3">
      <c r="A2794" t="s">
        <v>105</v>
      </c>
    </row>
    <row r="2795" spans="1:1" x14ac:dyDescent="0.3">
      <c r="A2795" t="s">
        <v>1829</v>
      </c>
    </row>
    <row r="2796" spans="1:1" x14ac:dyDescent="0.3">
      <c r="A2796" t="s">
        <v>1157</v>
      </c>
    </row>
    <row r="2797" spans="1:1" x14ac:dyDescent="0.3">
      <c r="A2797" t="s">
        <v>1830</v>
      </c>
    </row>
    <row r="2798" spans="1:1" x14ac:dyDescent="0.3">
      <c r="A2798" t="s">
        <v>12</v>
      </c>
    </row>
    <row r="2799" spans="1:1" x14ac:dyDescent="0.3">
      <c r="A2799" t="s">
        <v>13</v>
      </c>
    </row>
    <row r="2800" spans="1:1" x14ac:dyDescent="0.3">
      <c r="A2800" t="s">
        <v>106</v>
      </c>
    </row>
    <row r="2801" spans="1:1" x14ac:dyDescent="0.3">
      <c r="A2801" t="s">
        <v>1831</v>
      </c>
    </row>
    <row r="2802" spans="1:1" x14ac:dyDescent="0.3">
      <c r="A2802" t="s">
        <v>1157</v>
      </c>
    </row>
    <row r="2803" spans="1:1" x14ac:dyDescent="0.3">
      <c r="A2803" t="s">
        <v>1832</v>
      </c>
    </row>
    <row r="2804" spans="1:1" x14ac:dyDescent="0.3">
      <c r="A2804" t="s">
        <v>12</v>
      </c>
    </row>
    <row r="2805" spans="1:1" x14ac:dyDescent="0.3">
      <c r="A2805" t="s">
        <v>40</v>
      </c>
    </row>
    <row r="2807" spans="1:1" x14ac:dyDescent="0.3">
      <c r="A2807" t="s">
        <v>12</v>
      </c>
    </row>
    <row r="2808" spans="1:1" x14ac:dyDescent="0.3">
      <c r="A2808" t="s">
        <v>13</v>
      </c>
    </row>
    <row r="2809" spans="1:1" x14ac:dyDescent="0.3">
      <c r="A2809" t="s">
        <v>1279</v>
      </c>
    </row>
    <row r="2810" spans="1:1" x14ac:dyDescent="0.3">
      <c r="A2810" t="s">
        <v>1751</v>
      </c>
    </row>
    <row r="2811" spans="1:1" x14ac:dyDescent="0.3">
      <c r="A2811" t="s">
        <v>1833</v>
      </c>
    </row>
    <row r="2812" spans="1:1" x14ac:dyDescent="0.3">
      <c r="A2812" t="s">
        <v>1153</v>
      </c>
    </row>
    <row r="2813" spans="1:1" x14ac:dyDescent="0.3">
      <c r="A2813" t="s">
        <v>110</v>
      </c>
    </row>
    <row r="2814" spans="1:1" x14ac:dyDescent="0.3">
      <c r="A2814" t="s">
        <v>1154</v>
      </c>
    </row>
    <row r="2815" spans="1:1" x14ac:dyDescent="0.3">
      <c r="A2815" t="s">
        <v>1834</v>
      </c>
    </row>
    <row r="2816" spans="1:1" x14ac:dyDescent="0.3">
      <c r="A2816" t="s">
        <v>51</v>
      </c>
    </row>
    <row r="2817" spans="1:1" x14ac:dyDescent="0.3">
      <c r="A2817" t="s">
        <v>52</v>
      </c>
    </row>
    <row r="2818" spans="1:1" x14ac:dyDescent="0.3">
      <c r="A2818" t="s">
        <v>79</v>
      </c>
    </row>
    <row r="2819" spans="1:1" x14ac:dyDescent="0.3">
      <c r="A2819" t="s">
        <v>98</v>
      </c>
    </row>
    <row r="2820" spans="1:1" x14ac:dyDescent="0.3">
      <c r="A2820" t="s">
        <v>13</v>
      </c>
    </row>
    <row r="2821" spans="1:1" x14ac:dyDescent="0.3">
      <c r="A2821" t="s">
        <v>105</v>
      </c>
    </row>
    <row r="2822" spans="1:1" x14ac:dyDescent="0.3">
      <c r="A2822" t="s">
        <v>1754</v>
      </c>
    </row>
    <row r="2823" spans="1:1" x14ac:dyDescent="0.3">
      <c r="A2823" t="s">
        <v>1157</v>
      </c>
    </row>
    <row r="2824" spans="1:1" x14ac:dyDescent="0.3">
      <c r="A2824" t="s">
        <v>1755</v>
      </c>
    </row>
    <row r="2825" spans="1:1" x14ac:dyDescent="0.3">
      <c r="A2825" t="s">
        <v>12</v>
      </c>
    </row>
    <row r="2826" spans="1:1" x14ac:dyDescent="0.3">
      <c r="A2826" t="s">
        <v>13</v>
      </c>
    </row>
    <row r="2827" spans="1:1" x14ac:dyDescent="0.3">
      <c r="A2827" t="s">
        <v>106</v>
      </c>
    </row>
    <row r="2828" spans="1:1" x14ac:dyDescent="0.3">
      <c r="A2828" t="s">
        <v>1756</v>
      </c>
    </row>
    <row r="2829" spans="1:1" x14ac:dyDescent="0.3">
      <c r="A2829" t="s">
        <v>1157</v>
      </c>
    </row>
    <row r="2830" spans="1:1" x14ac:dyDescent="0.3">
      <c r="A2830" t="s">
        <v>1757</v>
      </c>
    </row>
    <row r="2831" spans="1:1" x14ac:dyDescent="0.3">
      <c r="A2831" t="s">
        <v>12</v>
      </c>
    </row>
    <row r="2832" spans="1:1" x14ac:dyDescent="0.3">
      <c r="A2832" t="s">
        <v>40</v>
      </c>
    </row>
    <row r="2834" spans="1:1" x14ac:dyDescent="0.3">
      <c r="A2834" t="s">
        <v>12</v>
      </c>
    </row>
    <row r="2835" spans="1:1" x14ac:dyDescent="0.3">
      <c r="A2835" t="s">
        <v>13</v>
      </c>
    </row>
    <row r="2836" spans="1:1" x14ac:dyDescent="0.3">
      <c r="A2836" t="s">
        <v>1287</v>
      </c>
    </row>
    <row r="2837" spans="1:1" x14ac:dyDescent="0.3">
      <c r="A2837" t="s">
        <v>1344</v>
      </c>
    </row>
    <row r="2838" spans="1:1" x14ac:dyDescent="0.3">
      <c r="A2838" t="s">
        <v>1835</v>
      </c>
    </row>
    <row r="2839" spans="1:1" x14ac:dyDescent="0.3">
      <c r="A2839" t="s">
        <v>1153</v>
      </c>
    </row>
    <row r="2840" spans="1:1" x14ac:dyDescent="0.3">
      <c r="A2840" t="s">
        <v>110</v>
      </c>
    </row>
    <row r="2841" spans="1:1" x14ac:dyDescent="0.3">
      <c r="A2841" t="s">
        <v>1154</v>
      </c>
    </row>
    <row r="2842" spans="1:1" x14ac:dyDescent="0.3">
      <c r="A2842" t="s">
        <v>1836</v>
      </c>
    </row>
    <row r="2843" spans="1:1" x14ac:dyDescent="0.3">
      <c r="A2843" t="s">
        <v>51</v>
      </c>
    </row>
    <row r="2844" spans="1:1" x14ac:dyDescent="0.3">
      <c r="A2844" t="s">
        <v>52</v>
      </c>
    </row>
    <row r="2845" spans="1:1" x14ac:dyDescent="0.3">
      <c r="A2845" t="s">
        <v>79</v>
      </c>
    </row>
    <row r="2846" spans="1:1" x14ac:dyDescent="0.3">
      <c r="A2846" t="s">
        <v>98</v>
      </c>
    </row>
    <row r="2847" spans="1:1" x14ac:dyDescent="0.3">
      <c r="A2847" t="s">
        <v>13</v>
      </c>
    </row>
    <row r="2848" spans="1:1" x14ac:dyDescent="0.3">
      <c r="A2848" t="s">
        <v>105</v>
      </c>
    </row>
    <row r="2849" spans="1:1" x14ac:dyDescent="0.3">
      <c r="A2849" t="s">
        <v>1837</v>
      </c>
    </row>
    <row r="2850" spans="1:1" x14ac:dyDescent="0.3">
      <c r="A2850" t="s">
        <v>1157</v>
      </c>
    </row>
    <row r="2851" spans="1:1" x14ac:dyDescent="0.3">
      <c r="A2851" t="s">
        <v>1838</v>
      </c>
    </row>
    <row r="2852" spans="1:1" x14ac:dyDescent="0.3">
      <c r="A2852" t="s">
        <v>12</v>
      </c>
    </row>
    <row r="2853" spans="1:1" x14ac:dyDescent="0.3">
      <c r="A2853" t="s">
        <v>13</v>
      </c>
    </row>
    <row r="2854" spans="1:1" x14ac:dyDescent="0.3">
      <c r="A2854" t="s">
        <v>106</v>
      </c>
    </row>
    <row r="2855" spans="1:1" x14ac:dyDescent="0.3">
      <c r="A2855" t="s">
        <v>1839</v>
      </c>
    </row>
    <row r="2856" spans="1:1" x14ac:dyDescent="0.3">
      <c r="A2856" t="s">
        <v>1157</v>
      </c>
    </row>
    <row r="2857" spans="1:1" x14ac:dyDescent="0.3">
      <c r="A2857" t="s">
        <v>1840</v>
      </c>
    </row>
    <row r="2858" spans="1:1" x14ac:dyDescent="0.3">
      <c r="A2858" t="s">
        <v>12</v>
      </c>
    </row>
    <row r="2859" spans="1:1" x14ac:dyDescent="0.3">
      <c r="A2859" t="s">
        <v>40</v>
      </c>
    </row>
    <row r="2861" spans="1:1" x14ac:dyDescent="0.3">
      <c r="A2861" t="s">
        <v>12</v>
      </c>
    </row>
    <row r="2862" spans="1:1" x14ac:dyDescent="0.3">
      <c r="A2862" t="s">
        <v>13</v>
      </c>
    </row>
    <row r="2863" spans="1:1" x14ac:dyDescent="0.3">
      <c r="A2863" t="s">
        <v>1295</v>
      </c>
    </row>
    <row r="2864" spans="1:1" x14ac:dyDescent="0.3">
      <c r="A2864" t="s">
        <v>1826</v>
      </c>
    </row>
    <row r="2865" spans="1:1" x14ac:dyDescent="0.3">
      <c r="A2865" t="s">
        <v>1841</v>
      </c>
    </row>
    <row r="2866" spans="1:1" x14ac:dyDescent="0.3">
      <c r="A2866" t="s">
        <v>1153</v>
      </c>
    </row>
    <row r="2867" spans="1:1" x14ac:dyDescent="0.3">
      <c r="A2867" t="s">
        <v>110</v>
      </c>
    </row>
    <row r="2868" spans="1:1" x14ac:dyDescent="0.3">
      <c r="A2868" t="s">
        <v>1154</v>
      </c>
    </row>
    <row r="2869" spans="1:1" x14ac:dyDescent="0.3">
      <c r="A2869" t="s">
        <v>1842</v>
      </c>
    </row>
    <row r="2870" spans="1:1" x14ac:dyDescent="0.3">
      <c r="A2870" t="s">
        <v>51</v>
      </c>
    </row>
    <row r="2871" spans="1:1" x14ac:dyDescent="0.3">
      <c r="A2871" t="s">
        <v>52</v>
      </c>
    </row>
    <row r="2872" spans="1:1" x14ac:dyDescent="0.3">
      <c r="A2872" t="s">
        <v>79</v>
      </c>
    </row>
    <row r="2873" spans="1:1" x14ac:dyDescent="0.3">
      <c r="A2873" t="s">
        <v>98</v>
      </c>
    </row>
    <row r="2874" spans="1:1" x14ac:dyDescent="0.3">
      <c r="A2874" t="s">
        <v>13</v>
      </c>
    </row>
    <row r="2875" spans="1:1" x14ac:dyDescent="0.3">
      <c r="A2875" t="s">
        <v>105</v>
      </c>
    </row>
    <row r="2876" spans="1:1" x14ac:dyDescent="0.3">
      <c r="A2876" t="s">
        <v>1829</v>
      </c>
    </row>
    <row r="2877" spans="1:1" x14ac:dyDescent="0.3">
      <c r="A2877" t="s">
        <v>1157</v>
      </c>
    </row>
    <row r="2878" spans="1:1" x14ac:dyDescent="0.3">
      <c r="A2878" t="s">
        <v>1830</v>
      </c>
    </row>
    <row r="2879" spans="1:1" x14ac:dyDescent="0.3">
      <c r="A2879" t="s">
        <v>12</v>
      </c>
    </row>
    <row r="2880" spans="1:1" x14ac:dyDescent="0.3">
      <c r="A2880" t="s">
        <v>13</v>
      </c>
    </row>
    <row r="2881" spans="1:1" x14ac:dyDescent="0.3">
      <c r="A2881" t="s">
        <v>106</v>
      </c>
    </row>
    <row r="2882" spans="1:1" x14ac:dyDescent="0.3">
      <c r="A2882" t="s">
        <v>1831</v>
      </c>
    </row>
    <row r="2883" spans="1:1" x14ac:dyDescent="0.3">
      <c r="A2883" t="s">
        <v>1157</v>
      </c>
    </row>
    <row r="2884" spans="1:1" x14ac:dyDescent="0.3">
      <c r="A2884" t="s">
        <v>1832</v>
      </c>
    </row>
    <row r="2885" spans="1:1" x14ac:dyDescent="0.3">
      <c r="A2885" t="s">
        <v>12</v>
      </c>
    </row>
    <row r="2886" spans="1:1" x14ac:dyDescent="0.3">
      <c r="A2886" t="s">
        <v>40</v>
      </c>
    </row>
    <row r="2888" spans="1:1" x14ac:dyDescent="0.3">
      <c r="A2888" t="s">
        <v>12</v>
      </c>
    </row>
    <row r="2889" spans="1:1" x14ac:dyDescent="0.3">
      <c r="A2889" t="s">
        <v>13</v>
      </c>
    </row>
    <row r="2890" spans="1:1" x14ac:dyDescent="0.3">
      <c r="A2890" t="s">
        <v>1298</v>
      </c>
    </row>
    <row r="2891" spans="1:1" x14ac:dyDescent="0.3">
      <c r="A2891" t="s">
        <v>1843</v>
      </c>
    </row>
    <row r="2892" spans="1:1" x14ac:dyDescent="0.3">
      <c r="A2892" t="s">
        <v>1844</v>
      </c>
    </row>
    <row r="2893" spans="1:1" x14ac:dyDescent="0.3">
      <c r="A2893" t="s">
        <v>1153</v>
      </c>
    </row>
    <row r="2894" spans="1:1" x14ac:dyDescent="0.3">
      <c r="A2894" t="s">
        <v>110</v>
      </c>
    </row>
    <row r="2895" spans="1:1" x14ac:dyDescent="0.3">
      <c r="A2895" t="s">
        <v>1154</v>
      </c>
    </row>
    <row r="2896" spans="1:1" x14ac:dyDescent="0.3">
      <c r="A2896" t="s">
        <v>1845</v>
      </c>
    </row>
    <row r="2897" spans="1:1" x14ac:dyDescent="0.3">
      <c r="A2897" t="s">
        <v>51</v>
      </c>
    </row>
    <row r="2898" spans="1:1" x14ac:dyDescent="0.3">
      <c r="A2898" t="s">
        <v>52</v>
      </c>
    </row>
    <row r="2899" spans="1:1" x14ac:dyDescent="0.3">
      <c r="A2899" t="s">
        <v>79</v>
      </c>
    </row>
    <row r="2900" spans="1:1" x14ac:dyDescent="0.3">
      <c r="A2900" t="s">
        <v>98</v>
      </c>
    </row>
    <row r="2901" spans="1:1" x14ac:dyDescent="0.3">
      <c r="A2901" t="s">
        <v>13</v>
      </c>
    </row>
    <row r="2902" spans="1:1" x14ac:dyDescent="0.3">
      <c r="A2902" t="s">
        <v>105</v>
      </c>
    </row>
    <row r="2903" spans="1:1" x14ac:dyDescent="0.3">
      <c r="A2903" t="s">
        <v>1846</v>
      </c>
    </row>
    <row r="2904" spans="1:1" x14ac:dyDescent="0.3">
      <c r="A2904" t="s">
        <v>1157</v>
      </c>
    </row>
    <row r="2905" spans="1:1" x14ac:dyDescent="0.3">
      <c r="A2905" t="s">
        <v>1847</v>
      </c>
    </row>
    <row r="2906" spans="1:1" x14ac:dyDescent="0.3">
      <c r="A2906" t="s">
        <v>12</v>
      </c>
    </row>
    <row r="2907" spans="1:1" x14ac:dyDescent="0.3">
      <c r="A2907" t="s">
        <v>13</v>
      </c>
    </row>
    <row r="2908" spans="1:1" x14ac:dyDescent="0.3">
      <c r="A2908" t="s">
        <v>106</v>
      </c>
    </row>
    <row r="2909" spans="1:1" x14ac:dyDescent="0.3">
      <c r="A2909" t="s">
        <v>1848</v>
      </c>
    </row>
    <row r="2910" spans="1:1" x14ac:dyDescent="0.3">
      <c r="A2910" t="s">
        <v>1157</v>
      </c>
    </row>
    <row r="2911" spans="1:1" x14ac:dyDescent="0.3">
      <c r="A2911" t="s">
        <v>1849</v>
      </c>
    </row>
    <row r="2912" spans="1:1" x14ac:dyDescent="0.3">
      <c r="A2912" t="s">
        <v>12</v>
      </c>
    </row>
    <row r="2913" spans="1:1" x14ac:dyDescent="0.3">
      <c r="A2913" t="s">
        <v>40</v>
      </c>
    </row>
    <row r="2915" spans="1:1" x14ac:dyDescent="0.3">
      <c r="A2915" t="s">
        <v>12</v>
      </c>
    </row>
    <row r="2916" spans="1:1" x14ac:dyDescent="0.3">
      <c r="A2916" t="s">
        <v>13</v>
      </c>
    </row>
    <row r="2917" spans="1:1" x14ac:dyDescent="0.3">
      <c r="A2917" t="s">
        <v>1306</v>
      </c>
    </row>
    <row r="2918" spans="1:1" x14ac:dyDescent="0.3">
      <c r="A2918" t="s">
        <v>1758</v>
      </c>
    </row>
    <row r="2919" spans="1:1" x14ac:dyDescent="0.3">
      <c r="A2919" t="s">
        <v>1850</v>
      </c>
    </row>
    <row r="2920" spans="1:1" x14ac:dyDescent="0.3">
      <c r="A2920" t="s">
        <v>1153</v>
      </c>
    </row>
    <row r="2921" spans="1:1" x14ac:dyDescent="0.3">
      <c r="A2921" t="s">
        <v>110</v>
      </c>
    </row>
    <row r="2922" spans="1:1" x14ac:dyDescent="0.3">
      <c r="A2922" t="s">
        <v>1154</v>
      </c>
    </row>
    <row r="2923" spans="1:1" x14ac:dyDescent="0.3">
      <c r="A2923" t="s">
        <v>1851</v>
      </c>
    </row>
    <row r="2924" spans="1:1" x14ac:dyDescent="0.3">
      <c r="A2924" t="s">
        <v>51</v>
      </c>
    </row>
    <row r="2925" spans="1:1" x14ac:dyDescent="0.3">
      <c r="A2925" t="s">
        <v>52</v>
      </c>
    </row>
    <row r="2926" spans="1:1" x14ac:dyDescent="0.3">
      <c r="A2926" t="s">
        <v>79</v>
      </c>
    </row>
    <row r="2927" spans="1:1" x14ac:dyDescent="0.3">
      <c r="A2927" t="s">
        <v>98</v>
      </c>
    </row>
    <row r="2928" spans="1:1" x14ac:dyDescent="0.3">
      <c r="A2928" t="s">
        <v>13</v>
      </c>
    </row>
    <row r="2929" spans="1:1" x14ac:dyDescent="0.3">
      <c r="A2929" t="s">
        <v>105</v>
      </c>
    </row>
    <row r="2930" spans="1:1" x14ac:dyDescent="0.3">
      <c r="A2930" t="s">
        <v>1761</v>
      </c>
    </row>
    <row r="2931" spans="1:1" x14ac:dyDescent="0.3">
      <c r="A2931" t="s">
        <v>1157</v>
      </c>
    </row>
    <row r="2932" spans="1:1" x14ac:dyDescent="0.3">
      <c r="A2932" t="s">
        <v>1762</v>
      </c>
    </row>
    <row r="2933" spans="1:1" x14ac:dyDescent="0.3">
      <c r="A2933" t="s">
        <v>12</v>
      </c>
    </row>
    <row r="2934" spans="1:1" x14ac:dyDescent="0.3">
      <c r="A2934" t="s">
        <v>13</v>
      </c>
    </row>
    <row r="2935" spans="1:1" x14ac:dyDescent="0.3">
      <c r="A2935" t="s">
        <v>106</v>
      </c>
    </row>
    <row r="2936" spans="1:1" x14ac:dyDescent="0.3">
      <c r="A2936" t="s">
        <v>1763</v>
      </c>
    </row>
    <row r="2937" spans="1:1" x14ac:dyDescent="0.3">
      <c r="A2937" t="s">
        <v>1157</v>
      </c>
    </row>
    <row r="2938" spans="1:1" x14ac:dyDescent="0.3">
      <c r="A2938" t="s">
        <v>1764</v>
      </c>
    </row>
    <row r="2939" spans="1:1" x14ac:dyDescent="0.3">
      <c r="A2939" t="s">
        <v>12</v>
      </c>
    </row>
    <row r="2940" spans="1:1" x14ac:dyDescent="0.3">
      <c r="A2940" t="s">
        <v>40</v>
      </c>
    </row>
    <row r="2942" spans="1:1" x14ac:dyDescent="0.3">
      <c r="A2942" t="s">
        <v>12</v>
      </c>
    </row>
    <row r="2943" spans="1:1" x14ac:dyDescent="0.3">
      <c r="A2943" t="s">
        <v>13</v>
      </c>
    </row>
    <row r="2944" spans="1:1" x14ac:dyDescent="0.3">
      <c r="A2944" t="s">
        <v>1314</v>
      </c>
    </row>
    <row r="2945" spans="1:1" x14ac:dyDescent="0.3">
      <c r="A2945" t="s">
        <v>1826</v>
      </c>
    </row>
    <row r="2946" spans="1:1" x14ac:dyDescent="0.3">
      <c r="A2946" t="s">
        <v>1852</v>
      </c>
    </row>
    <row r="2947" spans="1:1" x14ac:dyDescent="0.3">
      <c r="A2947" t="s">
        <v>1153</v>
      </c>
    </row>
    <row r="2948" spans="1:1" x14ac:dyDescent="0.3">
      <c r="A2948" t="s">
        <v>110</v>
      </c>
    </row>
    <row r="2949" spans="1:1" x14ac:dyDescent="0.3">
      <c r="A2949" t="s">
        <v>1154</v>
      </c>
    </row>
    <row r="2950" spans="1:1" x14ac:dyDescent="0.3">
      <c r="A2950" t="s">
        <v>1853</v>
      </c>
    </row>
    <row r="2951" spans="1:1" x14ac:dyDescent="0.3">
      <c r="A2951" t="s">
        <v>51</v>
      </c>
    </row>
    <row r="2952" spans="1:1" x14ac:dyDescent="0.3">
      <c r="A2952" t="s">
        <v>52</v>
      </c>
    </row>
    <row r="2953" spans="1:1" x14ac:dyDescent="0.3">
      <c r="A2953" t="s">
        <v>79</v>
      </c>
    </row>
    <row r="2954" spans="1:1" x14ac:dyDescent="0.3">
      <c r="A2954" t="s">
        <v>98</v>
      </c>
    </row>
    <row r="2955" spans="1:1" x14ac:dyDescent="0.3">
      <c r="A2955" t="s">
        <v>13</v>
      </c>
    </row>
    <row r="2956" spans="1:1" x14ac:dyDescent="0.3">
      <c r="A2956" t="s">
        <v>105</v>
      </c>
    </row>
    <row r="2957" spans="1:1" x14ac:dyDescent="0.3">
      <c r="A2957" t="s">
        <v>1829</v>
      </c>
    </row>
    <row r="2958" spans="1:1" x14ac:dyDescent="0.3">
      <c r="A2958" t="s">
        <v>1157</v>
      </c>
    </row>
    <row r="2959" spans="1:1" x14ac:dyDescent="0.3">
      <c r="A2959" t="s">
        <v>1830</v>
      </c>
    </row>
    <row r="2960" spans="1:1" x14ac:dyDescent="0.3">
      <c r="A2960" t="s">
        <v>12</v>
      </c>
    </row>
    <row r="2961" spans="1:1" x14ac:dyDescent="0.3">
      <c r="A2961" t="s">
        <v>13</v>
      </c>
    </row>
    <row r="2962" spans="1:1" x14ac:dyDescent="0.3">
      <c r="A2962" t="s">
        <v>106</v>
      </c>
    </row>
    <row r="2963" spans="1:1" x14ac:dyDescent="0.3">
      <c r="A2963" t="s">
        <v>1831</v>
      </c>
    </row>
    <row r="2964" spans="1:1" x14ac:dyDescent="0.3">
      <c r="A2964" t="s">
        <v>1157</v>
      </c>
    </row>
    <row r="2965" spans="1:1" x14ac:dyDescent="0.3">
      <c r="A2965" t="s">
        <v>1832</v>
      </c>
    </row>
    <row r="2966" spans="1:1" x14ac:dyDescent="0.3">
      <c r="A2966" t="s">
        <v>12</v>
      </c>
    </row>
    <row r="2967" spans="1:1" x14ac:dyDescent="0.3">
      <c r="A2967" t="s">
        <v>40</v>
      </c>
    </row>
    <row r="2969" spans="1:1" x14ac:dyDescent="0.3">
      <c r="A2969" t="s">
        <v>12</v>
      </c>
    </row>
    <row r="2970" spans="1:1" x14ac:dyDescent="0.3">
      <c r="A2970" t="s">
        <v>13</v>
      </c>
    </row>
    <row r="2971" spans="1:1" x14ac:dyDescent="0.3">
      <c r="A2971" t="s">
        <v>1322</v>
      </c>
    </row>
    <row r="2972" spans="1:1" x14ac:dyDescent="0.3">
      <c r="A2972" t="s">
        <v>1854</v>
      </c>
    </row>
    <row r="2973" spans="1:1" x14ac:dyDescent="0.3">
      <c r="A2973" t="s">
        <v>1855</v>
      </c>
    </row>
    <row r="2974" spans="1:1" x14ac:dyDescent="0.3">
      <c r="A2974" t="s">
        <v>1153</v>
      </c>
    </row>
    <row r="2975" spans="1:1" x14ac:dyDescent="0.3">
      <c r="A2975" t="s">
        <v>110</v>
      </c>
    </row>
    <row r="2976" spans="1:1" x14ac:dyDescent="0.3">
      <c r="A2976" t="s">
        <v>1154</v>
      </c>
    </row>
    <row r="2977" spans="1:1" x14ac:dyDescent="0.3">
      <c r="A2977" t="s">
        <v>1856</v>
      </c>
    </row>
    <row r="2978" spans="1:1" x14ac:dyDescent="0.3">
      <c r="A2978" t="s">
        <v>51</v>
      </c>
    </row>
    <row r="2979" spans="1:1" x14ac:dyDescent="0.3">
      <c r="A2979" t="s">
        <v>52</v>
      </c>
    </row>
    <row r="2980" spans="1:1" x14ac:dyDescent="0.3">
      <c r="A2980" t="s">
        <v>79</v>
      </c>
    </row>
    <row r="2981" spans="1:1" x14ac:dyDescent="0.3">
      <c r="A2981" t="s">
        <v>98</v>
      </c>
    </row>
    <row r="2982" spans="1:1" x14ac:dyDescent="0.3">
      <c r="A2982" t="s">
        <v>13</v>
      </c>
    </row>
    <row r="2983" spans="1:1" x14ac:dyDescent="0.3">
      <c r="A2983" t="s">
        <v>105</v>
      </c>
    </row>
    <row r="2984" spans="1:1" x14ac:dyDescent="0.3">
      <c r="A2984" t="s">
        <v>1857</v>
      </c>
    </row>
    <row r="2985" spans="1:1" x14ac:dyDescent="0.3">
      <c r="A2985" t="s">
        <v>1157</v>
      </c>
    </row>
    <row r="2986" spans="1:1" x14ac:dyDescent="0.3">
      <c r="A2986" t="s">
        <v>1858</v>
      </c>
    </row>
    <row r="2987" spans="1:1" x14ac:dyDescent="0.3">
      <c r="A2987" t="s">
        <v>12</v>
      </c>
    </row>
    <row r="2988" spans="1:1" x14ac:dyDescent="0.3">
      <c r="A2988" t="s">
        <v>13</v>
      </c>
    </row>
    <row r="2989" spans="1:1" x14ac:dyDescent="0.3">
      <c r="A2989" t="s">
        <v>106</v>
      </c>
    </row>
    <row r="2990" spans="1:1" x14ac:dyDescent="0.3">
      <c r="A2990" t="s">
        <v>1859</v>
      </c>
    </row>
    <row r="2991" spans="1:1" x14ac:dyDescent="0.3">
      <c r="A2991" t="s">
        <v>1157</v>
      </c>
    </row>
    <row r="2992" spans="1:1" x14ac:dyDescent="0.3">
      <c r="A2992" t="s">
        <v>1860</v>
      </c>
    </row>
    <row r="2993" spans="1:1" x14ac:dyDescent="0.3">
      <c r="A2993" t="s">
        <v>12</v>
      </c>
    </row>
    <row r="2994" spans="1:1" x14ac:dyDescent="0.3">
      <c r="A2994" t="s">
        <v>40</v>
      </c>
    </row>
    <row r="2996" spans="1:1" x14ac:dyDescent="0.3">
      <c r="A2996" t="s">
        <v>12</v>
      </c>
    </row>
    <row r="2997" spans="1:1" x14ac:dyDescent="0.3">
      <c r="A2997" t="s">
        <v>13</v>
      </c>
    </row>
    <row r="2998" spans="1:1" x14ac:dyDescent="0.3">
      <c r="A2998" t="s">
        <v>1328</v>
      </c>
    </row>
    <row r="2999" spans="1:1" x14ac:dyDescent="0.3">
      <c r="A2999" t="s">
        <v>1758</v>
      </c>
    </row>
    <row r="3000" spans="1:1" x14ac:dyDescent="0.3">
      <c r="A3000" t="s">
        <v>1861</v>
      </c>
    </row>
    <row r="3001" spans="1:1" x14ac:dyDescent="0.3">
      <c r="A3001" t="s">
        <v>1153</v>
      </c>
    </row>
    <row r="3002" spans="1:1" x14ac:dyDescent="0.3">
      <c r="A3002" t="s">
        <v>110</v>
      </c>
    </row>
    <row r="3003" spans="1:1" x14ac:dyDescent="0.3">
      <c r="A3003" t="s">
        <v>1154</v>
      </c>
    </row>
    <row r="3004" spans="1:1" x14ac:dyDescent="0.3">
      <c r="A3004" t="s">
        <v>1862</v>
      </c>
    </row>
    <row r="3005" spans="1:1" x14ac:dyDescent="0.3">
      <c r="A3005" t="s">
        <v>51</v>
      </c>
    </row>
    <row r="3006" spans="1:1" x14ac:dyDescent="0.3">
      <c r="A3006" t="s">
        <v>52</v>
      </c>
    </row>
    <row r="3007" spans="1:1" x14ac:dyDescent="0.3">
      <c r="A3007" t="s">
        <v>79</v>
      </c>
    </row>
    <row r="3008" spans="1:1" x14ac:dyDescent="0.3">
      <c r="A3008" t="s">
        <v>98</v>
      </c>
    </row>
    <row r="3009" spans="1:1" x14ac:dyDescent="0.3">
      <c r="A3009" t="s">
        <v>13</v>
      </c>
    </row>
    <row r="3010" spans="1:1" x14ac:dyDescent="0.3">
      <c r="A3010" t="s">
        <v>105</v>
      </c>
    </row>
    <row r="3011" spans="1:1" x14ac:dyDescent="0.3">
      <c r="A3011" t="s">
        <v>1761</v>
      </c>
    </row>
    <row r="3012" spans="1:1" x14ac:dyDescent="0.3">
      <c r="A3012" t="s">
        <v>1157</v>
      </c>
    </row>
    <row r="3013" spans="1:1" x14ac:dyDescent="0.3">
      <c r="A3013" t="s">
        <v>1762</v>
      </c>
    </row>
    <row r="3014" spans="1:1" x14ac:dyDescent="0.3">
      <c r="A3014" t="s">
        <v>12</v>
      </c>
    </row>
    <row r="3015" spans="1:1" x14ac:dyDescent="0.3">
      <c r="A3015" t="s">
        <v>13</v>
      </c>
    </row>
    <row r="3016" spans="1:1" x14ac:dyDescent="0.3">
      <c r="A3016" t="s">
        <v>106</v>
      </c>
    </row>
    <row r="3017" spans="1:1" x14ac:dyDescent="0.3">
      <c r="A3017" t="s">
        <v>1763</v>
      </c>
    </row>
    <row r="3018" spans="1:1" x14ac:dyDescent="0.3">
      <c r="A3018" t="s">
        <v>1157</v>
      </c>
    </row>
    <row r="3019" spans="1:1" x14ac:dyDescent="0.3">
      <c r="A3019" t="s">
        <v>1764</v>
      </c>
    </row>
    <row r="3020" spans="1:1" x14ac:dyDescent="0.3">
      <c r="A3020" t="s">
        <v>12</v>
      </c>
    </row>
    <row r="3021" spans="1:1" x14ac:dyDescent="0.3">
      <c r="A3021" t="s">
        <v>40</v>
      </c>
    </row>
    <row r="3023" spans="1:1" x14ac:dyDescent="0.3">
      <c r="A3023" t="s">
        <v>12</v>
      </c>
    </row>
    <row r="3024" spans="1:1" x14ac:dyDescent="0.3">
      <c r="A3024" t="s">
        <v>13</v>
      </c>
    </row>
    <row r="3025" spans="1:1" x14ac:dyDescent="0.3">
      <c r="A3025" t="s">
        <v>1332</v>
      </c>
    </row>
    <row r="3026" spans="1:1" x14ac:dyDescent="0.3">
      <c r="A3026" t="s">
        <v>1863</v>
      </c>
    </row>
    <row r="3027" spans="1:1" x14ac:dyDescent="0.3">
      <c r="A3027" t="s">
        <v>1864</v>
      </c>
    </row>
    <row r="3028" spans="1:1" x14ac:dyDescent="0.3">
      <c r="A3028" t="s">
        <v>1153</v>
      </c>
    </row>
    <row r="3029" spans="1:1" x14ac:dyDescent="0.3">
      <c r="A3029" t="s">
        <v>110</v>
      </c>
    </row>
    <row r="3030" spans="1:1" x14ac:dyDescent="0.3">
      <c r="A3030" t="s">
        <v>1154</v>
      </c>
    </row>
    <row r="3031" spans="1:1" x14ac:dyDescent="0.3">
      <c r="A3031" t="s">
        <v>1865</v>
      </c>
    </row>
    <row r="3032" spans="1:1" x14ac:dyDescent="0.3">
      <c r="A3032" t="s">
        <v>51</v>
      </c>
    </row>
    <row r="3033" spans="1:1" x14ac:dyDescent="0.3">
      <c r="A3033" t="s">
        <v>52</v>
      </c>
    </row>
    <row r="3034" spans="1:1" x14ac:dyDescent="0.3">
      <c r="A3034" t="s">
        <v>79</v>
      </c>
    </row>
    <row r="3035" spans="1:1" x14ac:dyDescent="0.3">
      <c r="A3035" t="s">
        <v>98</v>
      </c>
    </row>
    <row r="3036" spans="1:1" x14ac:dyDescent="0.3">
      <c r="A3036" t="s">
        <v>13</v>
      </c>
    </row>
    <row r="3037" spans="1:1" x14ac:dyDescent="0.3">
      <c r="A3037" t="s">
        <v>105</v>
      </c>
    </row>
    <row r="3038" spans="1:1" x14ac:dyDescent="0.3">
      <c r="A3038" t="s">
        <v>1866</v>
      </c>
    </row>
    <row r="3039" spans="1:1" x14ac:dyDescent="0.3">
      <c r="A3039" t="s">
        <v>1157</v>
      </c>
    </row>
    <row r="3040" spans="1:1" x14ac:dyDescent="0.3">
      <c r="A3040" t="s">
        <v>1867</v>
      </c>
    </row>
    <row r="3041" spans="1:1" x14ac:dyDescent="0.3">
      <c r="A3041" t="s">
        <v>12</v>
      </c>
    </row>
    <row r="3042" spans="1:1" x14ac:dyDescent="0.3">
      <c r="A3042" t="s">
        <v>13</v>
      </c>
    </row>
    <row r="3043" spans="1:1" x14ac:dyDescent="0.3">
      <c r="A3043" t="s">
        <v>106</v>
      </c>
    </row>
    <row r="3044" spans="1:1" x14ac:dyDescent="0.3">
      <c r="A3044" t="s">
        <v>1868</v>
      </c>
    </row>
    <row r="3045" spans="1:1" x14ac:dyDescent="0.3">
      <c r="A3045" t="s">
        <v>1157</v>
      </c>
    </row>
    <row r="3046" spans="1:1" x14ac:dyDescent="0.3">
      <c r="A3046" t="s">
        <v>1869</v>
      </c>
    </row>
    <row r="3047" spans="1:1" x14ac:dyDescent="0.3">
      <c r="A3047" t="s">
        <v>12</v>
      </c>
    </row>
    <row r="3048" spans="1:1" x14ac:dyDescent="0.3">
      <c r="A3048" t="s">
        <v>40</v>
      </c>
    </row>
    <row r="3050" spans="1:1" x14ac:dyDescent="0.3">
      <c r="A3050" t="s">
        <v>12</v>
      </c>
    </row>
    <row r="3051" spans="1:1" x14ac:dyDescent="0.3">
      <c r="A3051" t="s">
        <v>13</v>
      </c>
    </row>
    <row r="3052" spans="1:1" x14ac:dyDescent="0.3">
      <c r="A3052" t="s">
        <v>1336</v>
      </c>
    </row>
    <row r="3053" spans="1:1" x14ac:dyDescent="0.3">
      <c r="A3053" t="s">
        <v>1870</v>
      </c>
    </row>
    <row r="3054" spans="1:1" x14ac:dyDescent="0.3">
      <c r="A3054" t="s">
        <v>1871</v>
      </c>
    </row>
    <row r="3055" spans="1:1" x14ac:dyDescent="0.3">
      <c r="A3055" t="s">
        <v>1153</v>
      </c>
    </row>
    <row r="3056" spans="1:1" x14ac:dyDescent="0.3">
      <c r="A3056" t="s">
        <v>110</v>
      </c>
    </row>
    <row r="3057" spans="1:1" x14ac:dyDescent="0.3">
      <c r="A3057" t="s">
        <v>1154</v>
      </c>
    </row>
    <row r="3058" spans="1:1" x14ac:dyDescent="0.3">
      <c r="A3058" t="s">
        <v>1872</v>
      </c>
    </row>
    <row r="3059" spans="1:1" x14ac:dyDescent="0.3">
      <c r="A3059" t="s">
        <v>51</v>
      </c>
    </row>
    <row r="3060" spans="1:1" x14ac:dyDescent="0.3">
      <c r="A3060" t="s">
        <v>52</v>
      </c>
    </row>
    <row r="3061" spans="1:1" x14ac:dyDescent="0.3">
      <c r="A3061" t="s">
        <v>79</v>
      </c>
    </row>
    <row r="3062" spans="1:1" x14ac:dyDescent="0.3">
      <c r="A3062" t="s">
        <v>98</v>
      </c>
    </row>
    <row r="3063" spans="1:1" x14ac:dyDescent="0.3">
      <c r="A3063" t="s">
        <v>13</v>
      </c>
    </row>
    <row r="3064" spans="1:1" x14ac:dyDescent="0.3">
      <c r="A3064" t="s">
        <v>105</v>
      </c>
    </row>
    <row r="3065" spans="1:1" x14ac:dyDescent="0.3">
      <c r="A3065" t="s">
        <v>1873</v>
      </c>
    </row>
    <row r="3066" spans="1:1" x14ac:dyDescent="0.3">
      <c r="A3066" t="s">
        <v>1157</v>
      </c>
    </row>
    <row r="3067" spans="1:1" x14ac:dyDescent="0.3">
      <c r="A3067" t="s">
        <v>1874</v>
      </c>
    </row>
    <row r="3068" spans="1:1" x14ac:dyDescent="0.3">
      <c r="A3068" t="s">
        <v>12</v>
      </c>
    </row>
    <row r="3069" spans="1:1" x14ac:dyDescent="0.3">
      <c r="A3069" t="s">
        <v>13</v>
      </c>
    </row>
    <row r="3070" spans="1:1" x14ac:dyDescent="0.3">
      <c r="A3070" t="s">
        <v>106</v>
      </c>
    </row>
    <row r="3071" spans="1:1" x14ac:dyDescent="0.3">
      <c r="A3071" t="s">
        <v>1875</v>
      </c>
    </row>
    <row r="3072" spans="1:1" x14ac:dyDescent="0.3">
      <c r="A3072" t="s">
        <v>1157</v>
      </c>
    </row>
    <row r="3073" spans="1:1" x14ac:dyDescent="0.3">
      <c r="A3073" t="s">
        <v>1876</v>
      </c>
    </row>
    <row r="3074" spans="1:1" x14ac:dyDescent="0.3">
      <c r="A3074" t="s">
        <v>12</v>
      </c>
    </row>
    <row r="3075" spans="1:1" x14ac:dyDescent="0.3">
      <c r="A3075" t="s">
        <v>40</v>
      </c>
    </row>
    <row r="3077" spans="1:1" x14ac:dyDescent="0.3">
      <c r="A3077" t="s">
        <v>12</v>
      </c>
    </row>
    <row r="3078" spans="1:1" x14ac:dyDescent="0.3">
      <c r="A3078" t="s">
        <v>13</v>
      </c>
    </row>
    <row r="3079" spans="1:1" x14ac:dyDescent="0.3">
      <c r="A3079" t="s">
        <v>1340</v>
      </c>
    </row>
    <row r="3080" spans="1:1" x14ac:dyDescent="0.3">
      <c r="A3080" t="s">
        <v>1826</v>
      </c>
    </row>
    <row r="3081" spans="1:1" x14ac:dyDescent="0.3">
      <c r="A3081" t="s">
        <v>1877</v>
      </c>
    </row>
    <row r="3082" spans="1:1" x14ac:dyDescent="0.3">
      <c r="A3082" t="s">
        <v>1153</v>
      </c>
    </row>
    <row r="3083" spans="1:1" x14ac:dyDescent="0.3">
      <c r="A3083" t="s">
        <v>110</v>
      </c>
    </row>
    <row r="3084" spans="1:1" x14ac:dyDescent="0.3">
      <c r="A3084" t="s">
        <v>1154</v>
      </c>
    </row>
    <row r="3085" spans="1:1" x14ac:dyDescent="0.3">
      <c r="A3085" t="s">
        <v>1878</v>
      </c>
    </row>
    <row r="3086" spans="1:1" x14ac:dyDescent="0.3">
      <c r="A3086" t="s">
        <v>51</v>
      </c>
    </row>
    <row r="3087" spans="1:1" x14ac:dyDescent="0.3">
      <c r="A3087" t="s">
        <v>52</v>
      </c>
    </row>
    <row r="3088" spans="1:1" x14ac:dyDescent="0.3">
      <c r="A3088" t="s">
        <v>79</v>
      </c>
    </row>
    <row r="3089" spans="1:1" x14ac:dyDescent="0.3">
      <c r="A3089" t="s">
        <v>98</v>
      </c>
    </row>
    <row r="3090" spans="1:1" x14ac:dyDescent="0.3">
      <c r="A3090" t="s">
        <v>13</v>
      </c>
    </row>
    <row r="3091" spans="1:1" x14ac:dyDescent="0.3">
      <c r="A3091" t="s">
        <v>105</v>
      </c>
    </row>
    <row r="3092" spans="1:1" x14ac:dyDescent="0.3">
      <c r="A3092" t="s">
        <v>1829</v>
      </c>
    </row>
    <row r="3093" spans="1:1" x14ac:dyDescent="0.3">
      <c r="A3093" t="s">
        <v>1157</v>
      </c>
    </row>
    <row r="3094" spans="1:1" x14ac:dyDescent="0.3">
      <c r="A3094" t="s">
        <v>1830</v>
      </c>
    </row>
    <row r="3095" spans="1:1" x14ac:dyDescent="0.3">
      <c r="A3095" t="s">
        <v>12</v>
      </c>
    </row>
    <row r="3096" spans="1:1" x14ac:dyDescent="0.3">
      <c r="A3096" t="s">
        <v>13</v>
      </c>
    </row>
    <row r="3097" spans="1:1" x14ac:dyDescent="0.3">
      <c r="A3097" t="s">
        <v>106</v>
      </c>
    </row>
    <row r="3098" spans="1:1" x14ac:dyDescent="0.3">
      <c r="A3098" t="s">
        <v>1831</v>
      </c>
    </row>
    <row r="3099" spans="1:1" x14ac:dyDescent="0.3">
      <c r="A3099" t="s">
        <v>1157</v>
      </c>
    </row>
    <row r="3100" spans="1:1" x14ac:dyDescent="0.3">
      <c r="A3100" t="s">
        <v>1832</v>
      </c>
    </row>
    <row r="3101" spans="1:1" x14ac:dyDescent="0.3">
      <c r="A3101" t="s">
        <v>12</v>
      </c>
    </row>
    <row r="3102" spans="1:1" x14ac:dyDescent="0.3">
      <c r="A3102" t="s">
        <v>40</v>
      </c>
    </row>
    <row r="3104" spans="1:1" x14ac:dyDescent="0.3">
      <c r="A3104" t="s">
        <v>12</v>
      </c>
    </row>
    <row r="3105" spans="1:1" x14ac:dyDescent="0.3">
      <c r="A3105" t="s">
        <v>13</v>
      </c>
    </row>
    <row r="3106" spans="1:1" x14ac:dyDescent="0.3">
      <c r="A3106" t="s">
        <v>1343</v>
      </c>
    </row>
    <row r="3107" spans="1:1" x14ac:dyDescent="0.3">
      <c r="A3107" t="s">
        <v>1634</v>
      </c>
    </row>
    <row r="3108" spans="1:1" x14ac:dyDescent="0.3">
      <c r="A3108" t="s">
        <v>1879</v>
      </c>
    </row>
    <row r="3109" spans="1:1" x14ac:dyDescent="0.3">
      <c r="A3109" t="s">
        <v>1153</v>
      </c>
    </row>
    <row r="3110" spans="1:1" x14ac:dyDescent="0.3">
      <c r="A3110" t="s">
        <v>110</v>
      </c>
    </row>
    <row r="3111" spans="1:1" x14ac:dyDescent="0.3">
      <c r="A3111" t="s">
        <v>1154</v>
      </c>
    </row>
    <row r="3112" spans="1:1" x14ac:dyDescent="0.3">
      <c r="A3112" t="s">
        <v>1880</v>
      </c>
    </row>
    <row r="3113" spans="1:1" x14ac:dyDescent="0.3">
      <c r="A3113" t="s">
        <v>51</v>
      </c>
    </row>
    <row r="3114" spans="1:1" x14ac:dyDescent="0.3">
      <c r="A3114" t="s">
        <v>52</v>
      </c>
    </row>
    <row r="3115" spans="1:1" x14ac:dyDescent="0.3">
      <c r="A3115" t="s">
        <v>79</v>
      </c>
    </row>
    <row r="3117" spans="1:1" x14ac:dyDescent="0.3">
      <c r="A3117" t="s">
        <v>12</v>
      </c>
    </row>
    <row r="3118" spans="1:1" x14ac:dyDescent="0.3">
      <c r="A3118" t="s">
        <v>13</v>
      </c>
    </row>
    <row r="3119" spans="1:1" x14ac:dyDescent="0.3">
      <c r="A3119" t="s">
        <v>1351</v>
      </c>
    </row>
    <row r="3120" spans="1:1" x14ac:dyDescent="0.3">
      <c r="A3120" t="s">
        <v>1881</v>
      </c>
    </row>
    <row r="3121" spans="1:1" x14ac:dyDescent="0.3">
      <c r="A3121" t="s">
        <v>1882</v>
      </c>
    </row>
    <row r="3122" spans="1:1" x14ac:dyDescent="0.3">
      <c r="A3122" t="s">
        <v>1153</v>
      </c>
    </row>
    <row r="3123" spans="1:1" x14ac:dyDescent="0.3">
      <c r="A3123" t="s">
        <v>110</v>
      </c>
    </row>
    <row r="3124" spans="1:1" x14ac:dyDescent="0.3">
      <c r="A3124" t="s">
        <v>1154</v>
      </c>
    </row>
    <row r="3125" spans="1:1" x14ac:dyDescent="0.3">
      <c r="A3125" t="s">
        <v>1883</v>
      </c>
    </row>
    <row r="3126" spans="1:1" x14ac:dyDescent="0.3">
      <c r="A3126" t="s">
        <v>51</v>
      </c>
    </row>
    <row r="3127" spans="1:1" x14ac:dyDescent="0.3">
      <c r="A3127" t="s">
        <v>52</v>
      </c>
    </row>
    <row r="3128" spans="1:1" x14ac:dyDescent="0.3">
      <c r="A3128" t="s">
        <v>79</v>
      </c>
    </row>
    <row r="3129" spans="1:1" x14ac:dyDescent="0.3">
      <c r="A3129" t="s">
        <v>98</v>
      </c>
    </row>
    <row r="3130" spans="1:1" x14ac:dyDescent="0.3">
      <c r="A3130" t="s">
        <v>13</v>
      </c>
    </row>
    <row r="3131" spans="1:1" x14ac:dyDescent="0.3">
      <c r="A3131" t="s">
        <v>105</v>
      </c>
    </row>
    <row r="3132" spans="1:1" x14ac:dyDescent="0.3">
      <c r="A3132" t="s">
        <v>1884</v>
      </c>
    </row>
    <row r="3133" spans="1:1" x14ac:dyDescent="0.3">
      <c r="A3133" t="s">
        <v>1157</v>
      </c>
    </row>
    <row r="3134" spans="1:1" x14ac:dyDescent="0.3">
      <c r="A3134" t="s">
        <v>1885</v>
      </c>
    </row>
    <row r="3135" spans="1:1" x14ac:dyDescent="0.3">
      <c r="A3135" t="s">
        <v>12</v>
      </c>
    </row>
    <row r="3136" spans="1:1" x14ac:dyDescent="0.3">
      <c r="A3136" t="s">
        <v>13</v>
      </c>
    </row>
    <row r="3137" spans="1:1" x14ac:dyDescent="0.3">
      <c r="A3137" t="s">
        <v>106</v>
      </c>
    </row>
    <row r="3138" spans="1:1" x14ac:dyDescent="0.3">
      <c r="A3138" t="s">
        <v>1886</v>
      </c>
    </row>
    <row r="3139" spans="1:1" x14ac:dyDescent="0.3">
      <c r="A3139" t="s">
        <v>1157</v>
      </c>
    </row>
    <row r="3140" spans="1:1" x14ac:dyDescent="0.3">
      <c r="A3140" t="s">
        <v>1887</v>
      </c>
    </row>
    <row r="3141" spans="1:1" x14ac:dyDescent="0.3">
      <c r="A3141" t="s">
        <v>12</v>
      </c>
    </row>
    <row r="3142" spans="1:1" x14ac:dyDescent="0.3">
      <c r="A3142" t="s">
        <v>40</v>
      </c>
    </row>
    <row r="3144" spans="1:1" x14ac:dyDescent="0.3">
      <c r="A3144" t="s">
        <v>12</v>
      </c>
    </row>
    <row r="3145" spans="1:1" x14ac:dyDescent="0.3">
      <c r="A3145" t="s">
        <v>13</v>
      </c>
    </row>
    <row r="3146" spans="1:1" x14ac:dyDescent="0.3">
      <c r="A3146" t="s">
        <v>1359</v>
      </c>
    </row>
    <row r="3147" spans="1:1" x14ac:dyDescent="0.3">
      <c r="A3147" t="s">
        <v>1826</v>
      </c>
    </row>
    <row r="3148" spans="1:1" x14ac:dyDescent="0.3">
      <c r="A3148" t="s">
        <v>1888</v>
      </c>
    </row>
    <row r="3149" spans="1:1" x14ac:dyDescent="0.3">
      <c r="A3149" t="s">
        <v>1153</v>
      </c>
    </row>
    <row r="3150" spans="1:1" x14ac:dyDescent="0.3">
      <c r="A3150" t="s">
        <v>110</v>
      </c>
    </row>
    <row r="3151" spans="1:1" x14ac:dyDescent="0.3">
      <c r="A3151" t="s">
        <v>1154</v>
      </c>
    </row>
    <row r="3152" spans="1:1" x14ac:dyDescent="0.3">
      <c r="A3152" t="s">
        <v>1889</v>
      </c>
    </row>
    <row r="3153" spans="1:1" x14ac:dyDescent="0.3">
      <c r="A3153" t="s">
        <v>51</v>
      </c>
    </row>
    <row r="3154" spans="1:1" x14ac:dyDescent="0.3">
      <c r="A3154" t="s">
        <v>52</v>
      </c>
    </row>
    <row r="3155" spans="1:1" x14ac:dyDescent="0.3">
      <c r="A3155" t="s">
        <v>79</v>
      </c>
    </row>
    <row r="3156" spans="1:1" x14ac:dyDescent="0.3">
      <c r="A3156" t="s">
        <v>98</v>
      </c>
    </row>
    <row r="3157" spans="1:1" x14ac:dyDescent="0.3">
      <c r="A3157" t="s">
        <v>13</v>
      </c>
    </row>
    <row r="3158" spans="1:1" x14ac:dyDescent="0.3">
      <c r="A3158" t="s">
        <v>105</v>
      </c>
    </row>
    <row r="3159" spans="1:1" x14ac:dyDescent="0.3">
      <c r="A3159" t="s">
        <v>1829</v>
      </c>
    </row>
    <row r="3160" spans="1:1" x14ac:dyDescent="0.3">
      <c r="A3160" t="s">
        <v>1157</v>
      </c>
    </row>
    <row r="3161" spans="1:1" x14ac:dyDescent="0.3">
      <c r="A3161" t="s">
        <v>1830</v>
      </c>
    </row>
    <row r="3162" spans="1:1" x14ac:dyDescent="0.3">
      <c r="A3162" t="s">
        <v>12</v>
      </c>
    </row>
    <row r="3163" spans="1:1" x14ac:dyDescent="0.3">
      <c r="A3163" t="s">
        <v>13</v>
      </c>
    </row>
    <row r="3164" spans="1:1" x14ac:dyDescent="0.3">
      <c r="A3164" t="s">
        <v>106</v>
      </c>
    </row>
    <row r="3165" spans="1:1" x14ac:dyDescent="0.3">
      <c r="A3165" t="s">
        <v>1831</v>
      </c>
    </row>
    <row r="3166" spans="1:1" x14ac:dyDescent="0.3">
      <c r="A3166" t="s">
        <v>1157</v>
      </c>
    </row>
    <row r="3167" spans="1:1" x14ac:dyDescent="0.3">
      <c r="A3167" t="s">
        <v>1832</v>
      </c>
    </row>
    <row r="3168" spans="1:1" x14ac:dyDescent="0.3">
      <c r="A3168" t="s">
        <v>12</v>
      </c>
    </row>
    <row r="3169" spans="1:1" x14ac:dyDescent="0.3">
      <c r="A3169" t="s">
        <v>40</v>
      </c>
    </row>
    <row r="3171" spans="1:1" x14ac:dyDescent="0.3">
      <c r="A3171" t="s">
        <v>12</v>
      </c>
    </row>
    <row r="3172" spans="1:1" x14ac:dyDescent="0.3">
      <c r="A3172" t="s">
        <v>13</v>
      </c>
    </row>
    <row r="3173" spans="1:1" x14ac:dyDescent="0.3">
      <c r="A3173" t="s">
        <v>1367</v>
      </c>
    </row>
    <row r="3174" spans="1:1" x14ac:dyDescent="0.3">
      <c r="A3174" t="s">
        <v>1890</v>
      </c>
    </row>
    <row r="3175" spans="1:1" x14ac:dyDescent="0.3">
      <c r="A3175" t="s">
        <v>1891</v>
      </c>
    </row>
    <row r="3176" spans="1:1" x14ac:dyDescent="0.3">
      <c r="A3176" t="s">
        <v>1153</v>
      </c>
    </row>
    <row r="3177" spans="1:1" x14ac:dyDescent="0.3">
      <c r="A3177" t="s">
        <v>110</v>
      </c>
    </row>
    <row r="3178" spans="1:1" x14ac:dyDescent="0.3">
      <c r="A3178" t="s">
        <v>1154</v>
      </c>
    </row>
    <row r="3179" spans="1:1" x14ac:dyDescent="0.3">
      <c r="A3179" t="s">
        <v>1892</v>
      </c>
    </row>
    <row r="3180" spans="1:1" x14ac:dyDescent="0.3">
      <c r="A3180" t="s">
        <v>51</v>
      </c>
    </row>
    <row r="3181" spans="1:1" x14ac:dyDescent="0.3">
      <c r="A3181" t="s">
        <v>52</v>
      </c>
    </row>
    <row r="3182" spans="1:1" x14ac:dyDescent="0.3">
      <c r="A3182" t="s">
        <v>79</v>
      </c>
    </row>
    <row r="3183" spans="1:1" x14ac:dyDescent="0.3">
      <c r="A3183" t="s">
        <v>98</v>
      </c>
    </row>
    <row r="3184" spans="1:1" x14ac:dyDescent="0.3">
      <c r="A3184" t="s">
        <v>13</v>
      </c>
    </row>
    <row r="3185" spans="1:1" x14ac:dyDescent="0.3">
      <c r="A3185" t="s">
        <v>105</v>
      </c>
    </row>
    <row r="3186" spans="1:1" x14ac:dyDescent="0.3">
      <c r="A3186" t="s">
        <v>1893</v>
      </c>
    </row>
    <row r="3187" spans="1:1" x14ac:dyDescent="0.3">
      <c r="A3187" t="s">
        <v>1157</v>
      </c>
    </row>
    <row r="3188" spans="1:1" x14ac:dyDescent="0.3">
      <c r="A3188" t="s">
        <v>1894</v>
      </c>
    </row>
    <row r="3189" spans="1:1" x14ac:dyDescent="0.3">
      <c r="A3189" t="s">
        <v>12</v>
      </c>
    </row>
    <row r="3190" spans="1:1" x14ac:dyDescent="0.3">
      <c r="A3190" t="s">
        <v>13</v>
      </c>
    </row>
    <row r="3191" spans="1:1" x14ac:dyDescent="0.3">
      <c r="A3191" t="s">
        <v>106</v>
      </c>
    </row>
    <row r="3192" spans="1:1" x14ac:dyDescent="0.3">
      <c r="A3192" t="s">
        <v>1895</v>
      </c>
    </row>
    <row r="3193" spans="1:1" x14ac:dyDescent="0.3">
      <c r="A3193" t="s">
        <v>1157</v>
      </c>
    </row>
    <row r="3194" spans="1:1" x14ac:dyDescent="0.3">
      <c r="A3194" t="s">
        <v>1896</v>
      </c>
    </row>
    <row r="3195" spans="1:1" x14ac:dyDescent="0.3">
      <c r="A3195" t="s">
        <v>12</v>
      </c>
    </row>
    <row r="3196" spans="1:1" x14ac:dyDescent="0.3">
      <c r="A3196" t="s">
        <v>40</v>
      </c>
    </row>
    <row r="3198" spans="1:1" x14ac:dyDescent="0.3">
      <c r="A3198" t="s">
        <v>12</v>
      </c>
    </row>
    <row r="3199" spans="1:1" x14ac:dyDescent="0.3">
      <c r="A3199" t="s">
        <v>13</v>
      </c>
    </row>
    <row r="3200" spans="1:1" x14ac:dyDescent="0.3">
      <c r="A3200" t="s">
        <v>1373</v>
      </c>
    </row>
    <row r="3201" spans="1:1" x14ac:dyDescent="0.3">
      <c r="A3201" t="s">
        <v>1897</v>
      </c>
    </row>
    <row r="3202" spans="1:1" x14ac:dyDescent="0.3">
      <c r="A3202" t="s">
        <v>1898</v>
      </c>
    </row>
    <row r="3203" spans="1:1" x14ac:dyDescent="0.3">
      <c r="A3203" t="s">
        <v>1153</v>
      </c>
    </row>
    <row r="3204" spans="1:1" x14ac:dyDescent="0.3">
      <c r="A3204" t="s">
        <v>110</v>
      </c>
    </row>
    <row r="3205" spans="1:1" x14ac:dyDescent="0.3">
      <c r="A3205" t="s">
        <v>1154</v>
      </c>
    </row>
    <row r="3206" spans="1:1" x14ac:dyDescent="0.3">
      <c r="A3206" t="s">
        <v>1899</v>
      </c>
    </row>
    <row r="3207" spans="1:1" x14ac:dyDescent="0.3">
      <c r="A3207" t="s">
        <v>51</v>
      </c>
    </row>
    <row r="3208" spans="1:1" x14ac:dyDescent="0.3">
      <c r="A3208" t="s">
        <v>52</v>
      </c>
    </row>
    <row r="3209" spans="1:1" x14ac:dyDescent="0.3">
      <c r="A3209" t="s">
        <v>79</v>
      </c>
    </row>
    <row r="3210" spans="1:1" x14ac:dyDescent="0.3">
      <c r="A3210" t="s">
        <v>98</v>
      </c>
    </row>
    <row r="3211" spans="1:1" x14ac:dyDescent="0.3">
      <c r="A3211" t="s">
        <v>13</v>
      </c>
    </row>
    <row r="3212" spans="1:1" x14ac:dyDescent="0.3">
      <c r="A3212" t="s">
        <v>105</v>
      </c>
    </row>
    <row r="3213" spans="1:1" x14ac:dyDescent="0.3">
      <c r="A3213" t="s">
        <v>1900</v>
      </c>
    </row>
    <row r="3214" spans="1:1" x14ac:dyDescent="0.3">
      <c r="A3214" t="s">
        <v>1157</v>
      </c>
    </row>
    <row r="3215" spans="1:1" x14ac:dyDescent="0.3">
      <c r="A3215" t="s">
        <v>1901</v>
      </c>
    </row>
    <row r="3216" spans="1:1" x14ac:dyDescent="0.3">
      <c r="A3216" t="s">
        <v>12</v>
      </c>
    </row>
    <row r="3217" spans="1:1" x14ac:dyDescent="0.3">
      <c r="A3217" t="s">
        <v>13</v>
      </c>
    </row>
    <row r="3218" spans="1:1" x14ac:dyDescent="0.3">
      <c r="A3218" t="s">
        <v>106</v>
      </c>
    </row>
    <row r="3219" spans="1:1" x14ac:dyDescent="0.3">
      <c r="A3219" t="s">
        <v>1902</v>
      </c>
    </row>
    <row r="3220" spans="1:1" x14ac:dyDescent="0.3">
      <c r="A3220" t="s">
        <v>1157</v>
      </c>
    </row>
    <row r="3221" spans="1:1" x14ac:dyDescent="0.3">
      <c r="A3221" t="s">
        <v>1903</v>
      </c>
    </row>
    <row r="3222" spans="1:1" x14ac:dyDescent="0.3">
      <c r="A3222" t="s">
        <v>12</v>
      </c>
    </row>
    <row r="3223" spans="1:1" x14ac:dyDescent="0.3">
      <c r="A3223" t="s">
        <v>40</v>
      </c>
    </row>
    <row r="3225" spans="1:1" x14ac:dyDescent="0.3">
      <c r="A3225" t="s">
        <v>12</v>
      </c>
    </row>
    <row r="3226" spans="1:1" x14ac:dyDescent="0.3">
      <c r="A3226" t="s">
        <v>13</v>
      </c>
    </row>
    <row r="3227" spans="1:1" x14ac:dyDescent="0.3">
      <c r="A3227" t="s">
        <v>1640</v>
      </c>
    </row>
    <row r="3228" spans="1:1" x14ac:dyDescent="0.3">
      <c r="A3228" t="s">
        <v>1904</v>
      </c>
    </row>
    <row r="3229" spans="1:1" x14ac:dyDescent="0.3">
      <c r="A3229" t="s">
        <v>1905</v>
      </c>
    </row>
    <row r="3230" spans="1:1" x14ac:dyDescent="0.3">
      <c r="A3230" t="s">
        <v>1153</v>
      </c>
    </row>
    <row r="3231" spans="1:1" x14ac:dyDescent="0.3">
      <c r="A3231" t="s">
        <v>110</v>
      </c>
    </row>
    <row r="3232" spans="1:1" x14ac:dyDescent="0.3">
      <c r="A3232" t="s">
        <v>1154</v>
      </c>
    </row>
    <row r="3233" spans="1:1" x14ac:dyDescent="0.3">
      <c r="A3233" t="s">
        <v>1906</v>
      </c>
    </row>
    <row r="3234" spans="1:1" x14ac:dyDescent="0.3">
      <c r="A3234" t="s">
        <v>51</v>
      </c>
    </row>
    <row r="3235" spans="1:1" x14ac:dyDescent="0.3">
      <c r="A3235" t="s">
        <v>52</v>
      </c>
    </row>
    <row r="3236" spans="1:1" x14ac:dyDescent="0.3">
      <c r="A3236" t="s">
        <v>79</v>
      </c>
    </row>
    <row r="3237" spans="1:1" x14ac:dyDescent="0.3">
      <c r="A3237" t="s">
        <v>98</v>
      </c>
    </row>
    <row r="3238" spans="1:1" x14ac:dyDescent="0.3">
      <c r="A3238" t="s">
        <v>13</v>
      </c>
    </row>
    <row r="3239" spans="1:1" x14ac:dyDescent="0.3">
      <c r="A3239" t="s">
        <v>105</v>
      </c>
    </row>
    <row r="3240" spans="1:1" x14ac:dyDescent="0.3">
      <c r="A3240" t="s">
        <v>1907</v>
      </c>
    </row>
    <row r="3241" spans="1:1" x14ac:dyDescent="0.3">
      <c r="A3241" t="s">
        <v>1157</v>
      </c>
    </row>
    <row r="3242" spans="1:1" x14ac:dyDescent="0.3">
      <c r="A3242" t="s">
        <v>1908</v>
      </c>
    </row>
    <row r="3243" spans="1:1" x14ac:dyDescent="0.3">
      <c r="A3243" t="s">
        <v>12</v>
      </c>
    </row>
    <row r="3244" spans="1:1" x14ac:dyDescent="0.3">
      <c r="A3244" t="s">
        <v>13</v>
      </c>
    </row>
    <row r="3245" spans="1:1" x14ac:dyDescent="0.3">
      <c r="A3245" t="s">
        <v>106</v>
      </c>
    </row>
    <row r="3246" spans="1:1" x14ac:dyDescent="0.3">
      <c r="A3246" t="s">
        <v>1909</v>
      </c>
    </row>
    <row r="3247" spans="1:1" x14ac:dyDescent="0.3">
      <c r="A3247" t="s">
        <v>1157</v>
      </c>
    </row>
    <row r="3248" spans="1:1" x14ac:dyDescent="0.3">
      <c r="A3248" t="s">
        <v>1910</v>
      </c>
    </row>
    <row r="3249" spans="1:1" x14ac:dyDescent="0.3">
      <c r="A3249" t="s">
        <v>12</v>
      </c>
    </row>
    <row r="3250" spans="1:1" x14ac:dyDescent="0.3">
      <c r="A3250" t="s">
        <v>40</v>
      </c>
    </row>
    <row r="3252" spans="1:1" x14ac:dyDescent="0.3">
      <c r="A3252" t="s">
        <v>12</v>
      </c>
    </row>
    <row r="3253" spans="1:1" x14ac:dyDescent="0.3">
      <c r="A3253" t="s">
        <v>13</v>
      </c>
    </row>
    <row r="3254" spans="1:1" x14ac:dyDescent="0.3">
      <c r="A3254" t="s">
        <v>1643</v>
      </c>
    </row>
    <row r="3255" spans="1:1" x14ac:dyDescent="0.3">
      <c r="A3255" t="s">
        <v>1904</v>
      </c>
    </row>
    <row r="3256" spans="1:1" x14ac:dyDescent="0.3">
      <c r="A3256" t="s">
        <v>1905</v>
      </c>
    </row>
    <row r="3257" spans="1:1" x14ac:dyDescent="0.3">
      <c r="A3257" t="s">
        <v>1153</v>
      </c>
    </row>
    <row r="3258" spans="1:1" x14ac:dyDescent="0.3">
      <c r="A3258" t="s">
        <v>110</v>
      </c>
    </row>
    <row r="3259" spans="1:1" x14ac:dyDescent="0.3">
      <c r="A3259" t="s">
        <v>1154</v>
      </c>
    </row>
    <row r="3260" spans="1:1" x14ac:dyDescent="0.3">
      <c r="A3260" t="s">
        <v>1906</v>
      </c>
    </row>
    <row r="3261" spans="1:1" x14ac:dyDescent="0.3">
      <c r="A3261" t="s">
        <v>51</v>
      </c>
    </row>
    <row r="3262" spans="1:1" x14ac:dyDescent="0.3">
      <c r="A3262" t="s">
        <v>52</v>
      </c>
    </row>
    <row r="3263" spans="1:1" x14ac:dyDescent="0.3">
      <c r="A3263" t="s">
        <v>79</v>
      </c>
    </row>
    <row r="3264" spans="1:1" x14ac:dyDescent="0.3">
      <c r="A3264" t="s">
        <v>98</v>
      </c>
    </row>
    <row r="3265" spans="1:1" x14ac:dyDescent="0.3">
      <c r="A3265" t="s">
        <v>13</v>
      </c>
    </row>
    <row r="3266" spans="1:1" x14ac:dyDescent="0.3">
      <c r="A3266" t="s">
        <v>105</v>
      </c>
    </row>
    <row r="3267" spans="1:1" x14ac:dyDescent="0.3">
      <c r="A3267" t="s">
        <v>1907</v>
      </c>
    </row>
    <row r="3268" spans="1:1" x14ac:dyDescent="0.3">
      <c r="A3268" t="s">
        <v>1157</v>
      </c>
    </row>
    <row r="3269" spans="1:1" x14ac:dyDescent="0.3">
      <c r="A3269" t="s">
        <v>1908</v>
      </c>
    </row>
    <row r="3270" spans="1:1" x14ac:dyDescent="0.3">
      <c r="A3270" t="s">
        <v>12</v>
      </c>
    </row>
    <row r="3271" spans="1:1" x14ac:dyDescent="0.3">
      <c r="A3271" t="s">
        <v>13</v>
      </c>
    </row>
    <row r="3272" spans="1:1" x14ac:dyDescent="0.3">
      <c r="A3272" t="s">
        <v>106</v>
      </c>
    </row>
    <row r="3273" spans="1:1" x14ac:dyDescent="0.3">
      <c r="A3273" t="s">
        <v>1909</v>
      </c>
    </row>
    <row r="3274" spans="1:1" x14ac:dyDescent="0.3">
      <c r="A3274" t="s">
        <v>1157</v>
      </c>
    </row>
    <row r="3275" spans="1:1" x14ac:dyDescent="0.3">
      <c r="A3275" t="s">
        <v>1910</v>
      </c>
    </row>
    <row r="3276" spans="1:1" x14ac:dyDescent="0.3">
      <c r="A3276" t="s">
        <v>12</v>
      </c>
    </row>
    <row r="3277" spans="1:1" x14ac:dyDescent="0.3">
      <c r="A3277" t="s">
        <v>40</v>
      </c>
    </row>
    <row r="3279" spans="1:1" x14ac:dyDescent="0.3">
      <c r="A3279" t="s">
        <v>12</v>
      </c>
    </row>
    <row r="3280" spans="1:1" x14ac:dyDescent="0.3">
      <c r="A3280" t="s">
        <v>13</v>
      </c>
    </row>
    <row r="3281" spans="1:1" x14ac:dyDescent="0.3">
      <c r="A3281" t="s">
        <v>1647</v>
      </c>
    </row>
    <row r="3282" spans="1:1" x14ac:dyDescent="0.3">
      <c r="A3282" t="s">
        <v>1807</v>
      </c>
    </row>
    <row r="3283" spans="1:1" x14ac:dyDescent="0.3">
      <c r="A3283" t="s">
        <v>1911</v>
      </c>
    </row>
    <row r="3284" spans="1:1" x14ac:dyDescent="0.3">
      <c r="A3284" t="s">
        <v>1153</v>
      </c>
    </row>
    <row r="3285" spans="1:1" x14ac:dyDescent="0.3">
      <c r="A3285" t="s">
        <v>110</v>
      </c>
    </row>
    <row r="3286" spans="1:1" x14ac:dyDescent="0.3">
      <c r="A3286" t="s">
        <v>1154</v>
      </c>
    </row>
    <row r="3287" spans="1:1" x14ac:dyDescent="0.3">
      <c r="A3287" t="s">
        <v>1912</v>
      </c>
    </row>
    <row r="3288" spans="1:1" x14ac:dyDescent="0.3">
      <c r="A3288" t="s">
        <v>51</v>
      </c>
    </row>
    <row r="3289" spans="1:1" x14ac:dyDescent="0.3">
      <c r="A3289" t="s">
        <v>52</v>
      </c>
    </row>
    <row r="3290" spans="1:1" x14ac:dyDescent="0.3">
      <c r="A3290" t="s">
        <v>79</v>
      </c>
    </row>
    <row r="3291" spans="1:1" x14ac:dyDescent="0.3">
      <c r="A3291" t="s">
        <v>98</v>
      </c>
    </row>
    <row r="3292" spans="1:1" x14ac:dyDescent="0.3">
      <c r="A3292" t="s">
        <v>13</v>
      </c>
    </row>
    <row r="3293" spans="1:1" x14ac:dyDescent="0.3">
      <c r="A3293" t="s">
        <v>105</v>
      </c>
    </row>
    <row r="3294" spans="1:1" x14ac:dyDescent="0.3">
      <c r="A3294" t="s">
        <v>1810</v>
      </c>
    </row>
    <row r="3295" spans="1:1" x14ac:dyDescent="0.3">
      <c r="A3295" t="s">
        <v>1157</v>
      </c>
    </row>
    <row r="3296" spans="1:1" x14ac:dyDescent="0.3">
      <c r="A3296" t="s">
        <v>1811</v>
      </c>
    </row>
    <row r="3297" spans="1:1" x14ac:dyDescent="0.3">
      <c r="A3297" t="s">
        <v>12</v>
      </c>
    </row>
    <row r="3298" spans="1:1" x14ac:dyDescent="0.3">
      <c r="A3298" t="s">
        <v>13</v>
      </c>
    </row>
    <row r="3299" spans="1:1" x14ac:dyDescent="0.3">
      <c r="A3299" t="s">
        <v>106</v>
      </c>
    </row>
    <row r="3300" spans="1:1" x14ac:dyDescent="0.3">
      <c r="A3300" t="s">
        <v>1812</v>
      </c>
    </row>
    <row r="3301" spans="1:1" x14ac:dyDescent="0.3">
      <c r="A3301" t="s">
        <v>1157</v>
      </c>
    </row>
    <row r="3302" spans="1:1" x14ac:dyDescent="0.3">
      <c r="A3302" t="s">
        <v>1813</v>
      </c>
    </row>
    <row r="3303" spans="1:1" x14ac:dyDescent="0.3">
      <c r="A3303" t="s">
        <v>12</v>
      </c>
    </row>
    <row r="3304" spans="1:1" x14ac:dyDescent="0.3">
      <c r="A3304" t="s">
        <v>40</v>
      </c>
    </row>
    <row r="3306" spans="1:1" x14ac:dyDescent="0.3">
      <c r="A3306" t="s">
        <v>12</v>
      </c>
    </row>
    <row r="3307" spans="1:1" x14ac:dyDescent="0.3">
      <c r="A3307" t="s">
        <v>13</v>
      </c>
    </row>
    <row r="3308" spans="1:1" x14ac:dyDescent="0.3">
      <c r="A3308" t="s">
        <v>1655</v>
      </c>
    </row>
    <row r="3309" spans="1:1" x14ac:dyDescent="0.3">
      <c r="A3309" t="s">
        <v>1913</v>
      </c>
    </row>
    <row r="3310" spans="1:1" x14ac:dyDescent="0.3">
      <c r="A3310" t="s">
        <v>1914</v>
      </c>
    </row>
    <row r="3311" spans="1:1" x14ac:dyDescent="0.3">
      <c r="A3311" t="s">
        <v>1153</v>
      </c>
    </row>
    <row r="3312" spans="1:1" x14ac:dyDescent="0.3">
      <c r="A3312" t="s">
        <v>110</v>
      </c>
    </row>
    <row r="3313" spans="1:1" x14ac:dyDescent="0.3">
      <c r="A3313" t="s">
        <v>1154</v>
      </c>
    </row>
    <row r="3314" spans="1:1" x14ac:dyDescent="0.3">
      <c r="A3314" t="s">
        <v>1915</v>
      </c>
    </row>
    <row r="3315" spans="1:1" x14ac:dyDescent="0.3">
      <c r="A3315" t="s">
        <v>51</v>
      </c>
    </row>
    <row r="3316" spans="1:1" x14ac:dyDescent="0.3">
      <c r="A3316" t="s">
        <v>52</v>
      </c>
    </row>
    <row r="3317" spans="1:1" x14ac:dyDescent="0.3">
      <c r="A3317" t="s">
        <v>79</v>
      </c>
    </row>
    <row r="3318" spans="1:1" x14ac:dyDescent="0.3">
      <c r="A3318" t="s">
        <v>98</v>
      </c>
    </row>
    <row r="3319" spans="1:1" x14ac:dyDescent="0.3">
      <c r="A3319" t="s">
        <v>13</v>
      </c>
    </row>
    <row r="3320" spans="1:1" x14ac:dyDescent="0.3">
      <c r="A3320" t="s">
        <v>105</v>
      </c>
    </row>
    <row r="3321" spans="1:1" x14ac:dyDescent="0.3">
      <c r="A3321" t="s">
        <v>1916</v>
      </c>
    </row>
    <row r="3322" spans="1:1" x14ac:dyDescent="0.3">
      <c r="A3322" t="s">
        <v>1157</v>
      </c>
    </row>
    <row r="3323" spans="1:1" x14ac:dyDescent="0.3">
      <c r="A3323" t="s">
        <v>1917</v>
      </c>
    </row>
    <row r="3324" spans="1:1" x14ac:dyDescent="0.3">
      <c r="A3324" t="s">
        <v>12</v>
      </c>
    </row>
    <row r="3325" spans="1:1" x14ac:dyDescent="0.3">
      <c r="A3325" t="s">
        <v>13</v>
      </c>
    </row>
    <row r="3326" spans="1:1" x14ac:dyDescent="0.3">
      <c r="A3326" t="s">
        <v>106</v>
      </c>
    </row>
    <row r="3327" spans="1:1" x14ac:dyDescent="0.3">
      <c r="A3327" t="s">
        <v>1918</v>
      </c>
    </row>
    <row r="3328" spans="1:1" x14ac:dyDescent="0.3">
      <c r="A3328" t="s">
        <v>1157</v>
      </c>
    </row>
    <row r="3329" spans="1:1" x14ac:dyDescent="0.3">
      <c r="A3329" t="s">
        <v>1919</v>
      </c>
    </row>
    <row r="3330" spans="1:1" x14ac:dyDescent="0.3">
      <c r="A3330" t="s">
        <v>12</v>
      </c>
    </row>
    <row r="3331" spans="1:1" x14ac:dyDescent="0.3">
      <c r="A3331" t="s">
        <v>40</v>
      </c>
    </row>
    <row r="3333" spans="1:1" x14ac:dyDescent="0.3">
      <c r="A3333" t="s">
        <v>12</v>
      </c>
    </row>
    <row r="3334" spans="1:1" x14ac:dyDescent="0.3">
      <c r="A3334" t="s">
        <v>13</v>
      </c>
    </row>
    <row r="3335" spans="1:1" x14ac:dyDescent="0.3">
      <c r="A3335" t="s">
        <v>1663</v>
      </c>
    </row>
    <row r="3336" spans="1:1" x14ac:dyDescent="0.3">
      <c r="A3336" t="s">
        <v>1854</v>
      </c>
    </row>
    <row r="3337" spans="1:1" x14ac:dyDescent="0.3">
      <c r="A3337" t="s">
        <v>1920</v>
      </c>
    </row>
    <row r="3338" spans="1:1" x14ac:dyDescent="0.3">
      <c r="A3338" t="s">
        <v>1153</v>
      </c>
    </row>
    <row r="3339" spans="1:1" x14ac:dyDescent="0.3">
      <c r="A3339" t="s">
        <v>110</v>
      </c>
    </row>
    <row r="3340" spans="1:1" x14ac:dyDescent="0.3">
      <c r="A3340" t="s">
        <v>1154</v>
      </c>
    </row>
    <row r="3341" spans="1:1" x14ac:dyDescent="0.3">
      <c r="A3341" t="s">
        <v>1921</v>
      </c>
    </row>
    <row r="3342" spans="1:1" x14ac:dyDescent="0.3">
      <c r="A3342" t="s">
        <v>51</v>
      </c>
    </row>
    <row r="3343" spans="1:1" x14ac:dyDescent="0.3">
      <c r="A3343" t="s">
        <v>52</v>
      </c>
    </row>
    <row r="3344" spans="1:1" x14ac:dyDescent="0.3">
      <c r="A3344" t="s">
        <v>79</v>
      </c>
    </row>
    <row r="3346" spans="1:1" x14ac:dyDescent="0.3">
      <c r="A3346" t="s">
        <v>12</v>
      </c>
    </row>
    <row r="3347" spans="1:1" x14ac:dyDescent="0.3">
      <c r="A3347" t="s">
        <v>13</v>
      </c>
    </row>
    <row r="3348" spans="1:1" x14ac:dyDescent="0.3">
      <c r="A3348" t="s">
        <v>1671</v>
      </c>
    </row>
    <row r="3349" spans="1:1" x14ac:dyDescent="0.3">
      <c r="A3349" t="s">
        <v>1826</v>
      </c>
    </row>
    <row r="3350" spans="1:1" x14ac:dyDescent="0.3">
      <c r="A3350" t="s">
        <v>1922</v>
      </c>
    </row>
    <row r="3351" spans="1:1" x14ac:dyDescent="0.3">
      <c r="A3351" t="s">
        <v>1153</v>
      </c>
    </row>
    <row r="3352" spans="1:1" x14ac:dyDescent="0.3">
      <c r="A3352" t="s">
        <v>110</v>
      </c>
    </row>
    <row r="3353" spans="1:1" x14ac:dyDescent="0.3">
      <c r="A3353" t="s">
        <v>1154</v>
      </c>
    </row>
    <row r="3354" spans="1:1" x14ac:dyDescent="0.3">
      <c r="A3354" t="s">
        <v>1923</v>
      </c>
    </row>
    <row r="3355" spans="1:1" x14ac:dyDescent="0.3">
      <c r="A3355" t="s">
        <v>51</v>
      </c>
    </row>
    <row r="3356" spans="1:1" x14ac:dyDescent="0.3">
      <c r="A3356" t="s">
        <v>52</v>
      </c>
    </row>
    <row r="3357" spans="1:1" x14ac:dyDescent="0.3">
      <c r="A3357" t="s">
        <v>79</v>
      </c>
    </row>
    <row r="3358" spans="1:1" x14ac:dyDescent="0.3">
      <c r="A3358" t="s">
        <v>98</v>
      </c>
    </row>
    <row r="3359" spans="1:1" x14ac:dyDescent="0.3">
      <c r="A3359" t="s">
        <v>13</v>
      </c>
    </row>
    <row r="3360" spans="1:1" x14ac:dyDescent="0.3">
      <c r="A3360" t="s">
        <v>105</v>
      </c>
    </row>
    <row r="3361" spans="1:1" x14ac:dyDescent="0.3">
      <c r="A3361" t="s">
        <v>1829</v>
      </c>
    </row>
    <row r="3362" spans="1:1" x14ac:dyDescent="0.3">
      <c r="A3362" t="s">
        <v>1157</v>
      </c>
    </row>
    <row r="3363" spans="1:1" x14ac:dyDescent="0.3">
      <c r="A3363" t="s">
        <v>1830</v>
      </c>
    </row>
    <row r="3364" spans="1:1" x14ac:dyDescent="0.3">
      <c r="A3364" t="s">
        <v>12</v>
      </c>
    </row>
    <row r="3365" spans="1:1" x14ac:dyDescent="0.3">
      <c r="A3365" t="s">
        <v>13</v>
      </c>
    </row>
    <row r="3366" spans="1:1" x14ac:dyDescent="0.3">
      <c r="A3366" t="s">
        <v>106</v>
      </c>
    </row>
    <row r="3367" spans="1:1" x14ac:dyDescent="0.3">
      <c r="A3367" t="s">
        <v>1831</v>
      </c>
    </row>
    <row r="3368" spans="1:1" x14ac:dyDescent="0.3">
      <c r="A3368" t="s">
        <v>1157</v>
      </c>
    </row>
    <row r="3369" spans="1:1" x14ac:dyDescent="0.3">
      <c r="A3369" t="s">
        <v>1832</v>
      </c>
    </row>
    <row r="3370" spans="1:1" x14ac:dyDescent="0.3">
      <c r="A3370" t="s">
        <v>12</v>
      </c>
    </row>
    <row r="3371" spans="1:1" x14ac:dyDescent="0.3">
      <c r="A3371" t="s">
        <v>40</v>
      </c>
    </row>
    <row r="3373" spans="1:1" x14ac:dyDescent="0.3">
      <c r="A3373" t="s">
        <v>12</v>
      </c>
    </row>
    <row r="3374" spans="1:1" x14ac:dyDescent="0.3">
      <c r="A3374" t="s">
        <v>13</v>
      </c>
    </row>
    <row r="3375" spans="1:1" x14ac:dyDescent="0.3">
      <c r="A3375" t="s">
        <v>1676</v>
      </c>
    </row>
    <row r="3376" spans="1:1" x14ac:dyDescent="0.3">
      <c r="A3376" t="s">
        <v>1924</v>
      </c>
    </row>
    <row r="3377" spans="1:1" x14ac:dyDescent="0.3">
      <c r="A3377" t="s">
        <v>1925</v>
      </c>
    </row>
    <row r="3378" spans="1:1" x14ac:dyDescent="0.3">
      <c r="A3378" t="s">
        <v>1153</v>
      </c>
    </row>
    <row r="3379" spans="1:1" x14ac:dyDescent="0.3">
      <c r="A3379" t="s">
        <v>110</v>
      </c>
    </row>
    <row r="3380" spans="1:1" x14ac:dyDescent="0.3">
      <c r="A3380" t="s">
        <v>1154</v>
      </c>
    </row>
    <row r="3381" spans="1:1" x14ac:dyDescent="0.3">
      <c r="A3381" t="s">
        <v>1926</v>
      </c>
    </row>
    <row r="3382" spans="1:1" x14ac:dyDescent="0.3">
      <c r="A3382" t="s">
        <v>51</v>
      </c>
    </row>
    <row r="3383" spans="1:1" x14ac:dyDescent="0.3">
      <c r="A3383" t="s">
        <v>52</v>
      </c>
    </row>
    <row r="3384" spans="1:1" x14ac:dyDescent="0.3">
      <c r="A3384" t="s">
        <v>79</v>
      </c>
    </row>
    <row r="3385" spans="1:1" x14ac:dyDescent="0.3">
      <c r="A3385" t="s">
        <v>98</v>
      </c>
    </row>
    <row r="3386" spans="1:1" x14ac:dyDescent="0.3">
      <c r="A3386" t="s">
        <v>13</v>
      </c>
    </row>
    <row r="3387" spans="1:1" x14ac:dyDescent="0.3">
      <c r="A3387" t="s">
        <v>105</v>
      </c>
    </row>
    <row r="3388" spans="1:1" x14ac:dyDescent="0.3">
      <c r="A3388" t="s">
        <v>1927</v>
      </c>
    </row>
    <row r="3389" spans="1:1" x14ac:dyDescent="0.3">
      <c r="A3389" t="s">
        <v>1157</v>
      </c>
    </row>
    <row r="3390" spans="1:1" x14ac:dyDescent="0.3">
      <c r="A3390" t="s">
        <v>1928</v>
      </c>
    </row>
    <row r="3391" spans="1:1" x14ac:dyDescent="0.3">
      <c r="A3391" t="s">
        <v>12</v>
      </c>
    </row>
    <row r="3392" spans="1:1" x14ac:dyDescent="0.3">
      <c r="A3392" t="s">
        <v>13</v>
      </c>
    </row>
    <row r="3393" spans="1:1" x14ac:dyDescent="0.3">
      <c r="A3393" t="s">
        <v>106</v>
      </c>
    </row>
    <row r="3394" spans="1:1" x14ac:dyDescent="0.3">
      <c r="A3394" t="s">
        <v>1929</v>
      </c>
    </row>
    <row r="3395" spans="1:1" x14ac:dyDescent="0.3">
      <c r="A3395" t="s">
        <v>1157</v>
      </c>
    </row>
    <row r="3396" spans="1:1" x14ac:dyDescent="0.3">
      <c r="A3396" t="s">
        <v>1930</v>
      </c>
    </row>
    <row r="3397" spans="1:1" x14ac:dyDescent="0.3">
      <c r="A3397" t="s">
        <v>12</v>
      </c>
    </row>
    <row r="3398" spans="1:1" x14ac:dyDescent="0.3">
      <c r="A3398" t="s">
        <v>40</v>
      </c>
    </row>
    <row r="3400" spans="1:1" x14ac:dyDescent="0.3">
      <c r="A3400" t="s">
        <v>12</v>
      </c>
    </row>
    <row r="3401" spans="1:1" x14ac:dyDescent="0.3">
      <c r="A3401" t="s">
        <v>13</v>
      </c>
    </row>
    <row r="3402" spans="1:1" x14ac:dyDescent="0.3">
      <c r="A3402" t="s">
        <v>1680</v>
      </c>
    </row>
    <row r="3403" spans="1:1" x14ac:dyDescent="0.3">
      <c r="A3403" t="s">
        <v>1843</v>
      </c>
    </row>
    <row r="3404" spans="1:1" x14ac:dyDescent="0.3">
      <c r="A3404" t="s">
        <v>1931</v>
      </c>
    </row>
    <row r="3405" spans="1:1" x14ac:dyDescent="0.3">
      <c r="A3405" t="s">
        <v>1153</v>
      </c>
    </row>
    <row r="3406" spans="1:1" x14ac:dyDescent="0.3">
      <c r="A3406" t="s">
        <v>110</v>
      </c>
    </row>
    <row r="3407" spans="1:1" x14ac:dyDescent="0.3">
      <c r="A3407" t="s">
        <v>1154</v>
      </c>
    </row>
    <row r="3408" spans="1:1" x14ac:dyDescent="0.3">
      <c r="A3408" t="s">
        <v>1932</v>
      </c>
    </row>
    <row r="3409" spans="1:1" x14ac:dyDescent="0.3">
      <c r="A3409" t="s">
        <v>51</v>
      </c>
    </row>
    <row r="3410" spans="1:1" x14ac:dyDescent="0.3">
      <c r="A3410" t="s">
        <v>52</v>
      </c>
    </row>
    <row r="3411" spans="1:1" x14ac:dyDescent="0.3">
      <c r="A3411" t="s">
        <v>79</v>
      </c>
    </row>
    <row r="3412" spans="1:1" x14ac:dyDescent="0.3">
      <c r="A3412" t="s">
        <v>98</v>
      </c>
    </row>
    <row r="3413" spans="1:1" x14ac:dyDescent="0.3">
      <c r="A3413" t="s">
        <v>13</v>
      </c>
    </row>
    <row r="3414" spans="1:1" x14ac:dyDescent="0.3">
      <c r="A3414" t="s">
        <v>105</v>
      </c>
    </row>
    <row r="3415" spans="1:1" x14ac:dyDescent="0.3">
      <c r="A3415" t="s">
        <v>1846</v>
      </c>
    </row>
    <row r="3416" spans="1:1" x14ac:dyDescent="0.3">
      <c r="A3416" t="s">
        <v>1157</v>
      </c>
    </row>
    <row r="3417" spans="1:1" x14ac:dyDescent="0.3">
      <c r="A3417" t="s">
        <v>1847</v>
      </c>
    </row>
    <row r="3418" spans="1:1" x14ac:dyDescent="0.3">
      <c r="A3418" t="s">
        <v>12</v>
      </c>
    </row>
    <row r="3419" spans="1:1" x14ac:dyDescent="0.3">
      <c r="A3419" t="s">
        <v>13</v>
      </c>
    </row>
    <row r="3420" spans="1:1" x14ac:dyDescent="0.3">
      <c r="A3420" t="s">
        <v>106</v>
      </c>
    </row>
    <row r="3421" spans="1:1" x14ac:dyDescent="0.3">
      <c r="A3421" t="s">
        <v>1848</v>
      </c>
    </row>
    <row r="3422" spans="1:1" x14ac:dyDescent="0.3">
      <c r="A3422" t="s">
        <v>1157</v>
      </c>
    </row>
    <row r="3423" spans="1:1" x14ac:dyDescent="0.3">
      <c r="A3423" t="s">
        <v>1849</v>
      </c>
    </row>
    <row r="3424" spans="1:1" x14ac:dyDescent="0.3">
      <c r="A3424" t="s">
        <v>12</v>
      </c>
    </row>
    <row r="3425" spans="1:1" x14ac:dyDescent="0.3">
      <c r="A3425" t="s">
        <v>40</v>
      </c>
    </row>
    <row r="3427" spans="1:1" x14ac:dyDescent="0.3">
      <c r="A3427" t="s">
        <v>12</v>
      </c>
    </row>
    <row r="3428" spans="1:1" x14ac:dyDescent="0.3">
      <c r="A3428" t="s">
        <v>13</v>
      </c>
    </row>
    <row r="3429" spans="1:1" x14ac:dyDescent="0.3">
      <c r="A3429" t="s">
        <v>1687</v>
      </c>
    </row>
    <row r="3430" spans="1:1" x14ac:dyDescent="0.3">
      <c r="A3430" t="s">
        <v>1807</v>
      </c>
    </row>
    <row r="3431" spans="1:1" x14ac:dyDescent="0.3">
      <c r="A3431" t="s">
        <v>1933</v>
      </c>
    </row>
    <row r="3432" spans="1:1" x14ac:dyDescent="0.3">
      <c r="A3432" t="s">
        <v>1153</v>
      </c>
    </row>
    <row r="3433" spans="1:1" x14ac:dyDescent="0.3">
      <c r="A3433" t="s">
        <v>110</v>
      </c>
    </row>
    <row r="3434" spans="1:1" x14ac:dyDescent="0.3">
      <c r="A3434" t="s">
        <v>1154</v>
      </c>
    </row>
    <row r="3435" spans="1:1" x14ac:dyDescent="0.3">
      <c r="A3435" t="s">
        <v>1934</v>
      </c>
    </row>
    <row r="3436" spans="1:1" x14ac:dyDescent="0.3">
      <c r="A3436" t="s">
        <v>51</v>
      </c>
    </row>
    <row r="3437" spans="1:1" x14ac:dyDescent="0.3">
      <c r="A3437" t="s">
        <v>52</v>
      </c>
    </row>
    <row r="3438" spans="1:1" x14ac:dyDescent="0.3">
      <c r="A3438" t="s">
        <v>79</v>
      </c>
    </row>
    <row r="3439" spans="1:1" x14ac:dyDescent="0.3">
      <c r="A3439" t="s">
        <v>98</v>
      </c>
    </row>
    <row r="3440" spans="1:1" x14ac:dyDescent="0.3">
      <c r="A3440" t="s">
        <v>13</v>
      </c>
    </row>
    <row r="3441" spans="1:1" x14ac:dyDescent="0.3">
      <c r="A3441" t="s">
        <v>105</v>
      </c>
    </row>
    <row r="3442" spans="1:1" x14ac:dyDescent="0.3">
      <c r="A3442" t="s">
        <v>1810</v>
      </c>
    </row>
    <row r="3443" spans="1:1" x14ac:dyDescent="0.3">
      <c r="A3443" t="s">
        <v>1157</v>
      </c>
    </row>
    <row r="3444" spans="1:1" x14ac:dyDescent="0.3">
      <c r="A3444" t="s">
        <v>1811</v>
      </c>
    </row>
    <row r="3445" spans="1:1" x14ac:dyDescent="0.3">
      <c r="A3445" t="s">
        <v>12</v>
      </c>
    </row>
    <row r="3446" spans="1:1" x14ac:dyDescent="0.3">
      <c r="A3446" t="s">
        <v>13</v>
      </c>
    </row>
    <row r="3447" spans="1:1" x14ac:dyDescent="0.3">
      <c r="A3447" t="s">
        <v>106</v>
      </c>
    </row>
    <row r="3448" spans="1:1" x14ac:dyDescent="0.3">
      <c r="A3448" t="s">
        <v>1812</v>
      </c>
    </row>
    <row r="3449" spans="1:1" x14ac:dyDescent="0.3">
      <c r="A3449" t="s">
        <v>1157</v>
      </c>
    </row>
    <row r="3450" spans="1:1" x14ac:dyDescent="0.3">
      <c r="A3450" t="s">
        <v>1813</v>
      </c>
    </row>
    <row r="3451" spans="1:1" x14ac:dyDescent="0.3">
      <c r="A3451" t="s">
        <v>12</v>
      </c>
    </row>
    <row r="3452" spans="1:1" x14ac:dyDescent="0.3">
      <c r="A3452" t="s">
        <v>40</v>
      </c>
    </row>
    <row r="3454" spans="1:1" x14ac:dyDescent="0.3">
      <c r="A3454" t="s">
        <v>12</v>
      </c>
    </row>
    <row r="3455" spans="1:1" x14ac:dyDescent="0.3">
      <c r="A3455" t="s">
        <v>13</v>
      </c>
    </row>
    <row r="3456" spans="1:1" x14ac:dyDescent="0.3">
      <c r="A3456" t="s">
        <v>1691</v>
      </c>
    </row>
    <row r="3457" spans="1:1" x14ac:dyDescent="0.3">
      <c r="A3457" t="s">
        <v>1826</v>
      </c>
    </row>
    <row r="3458" spans="1:1" x14ac:dyDescent="0.3">
      <c r="A3458" t="s">
        <v>1935</v>
      </c>
    </row>
    <row r="3459" spans="1:1" x14ac:dyDescent="0.3">
      <c r="A3459" t="s">
        <v>1153</v>
      </c>
    </row>
    <row r="3460" spans="1:1" x14ac:dyDescent="0.3">
      <c r="A3460" t="s">
        <v>110</v>
      </c>
    </row>
    <row r="3461" spans="1:1" x14ac:dyDescent="0.3">
      <c r="A3461" t="s">
        <v>1154</v>
      </c>
    </row>
    <row r="3462" spans="1:1" x14ac:dyDescent="0.3">
      <c r="A3462" t="s">
        <v>1936</v>
      </c>
    </row>
    <row r="3463" spans="1:1" x14ac:dyDescent="0.3">
      <c r="A3463" t="s">
        <v>51</v>
      </c>
    </row>
    <row r="3464" spans="1:1" x14ac:dyDescent="0.3">
      <c r="A3464" t="s">
        <v>52</v>
      </c>
    </row>
    <row r="3465" spans="1:1" x14ac:dyDescent="0.3">
      <c r="A3465" t="s">
        <v>79</v>
      </c>
    </row>
    <row r="3466" spans="1:1" x14ac:dyDescent="0.3">
      <c r="A3466" t="s">
        <v>98</v>
      </c>
    </row>
    <row r="3467" spans="1:1" x14ac:dyDescent="0.3">
      <c r="A3467" t="s">
        <v>13</v>
      </c>
    </row>
    <row r="3468" spans="1:1" x14ac:dyDescent="0.3">
      <c r="A3468" t="s">
        <v>105</v>
      </c>
    </row>
    <row r="3469" spans="1:1" x14ac:dyDescent="0.3">
      <c r="A3469" t="s">
        <v>1829</v>
      </c>
    </row>
    <row r="3470" spans="1:1" x14ac:dyDescent="0.3">
      <c r="A3470" t="s">
        <v>1157</v>
      </c>
    </row>
    <row r="3471" spans="1:1" x14ac:dyDescent="0.3">
      <c r="A3471" t="s">
        <v>1830</v>
      </c>
    </row>
    <row r="3472" spans="1:1" x14ac:dyDescent="0.3">
      <c r="A3472" t="s">
        <v>12</v>
      </c>
    </row>
    <row r="3473" spans="1:1" x14ac:dyDescent="0.3">
      <c r="A3473" t="s">
        <v>13</v>
      </c>
    </row>
    <row r="3474" spans="1:1" x14ac:dyDescent="0.3">
      <c r="A3474" t="s">
        <v>106</v>
      </c>
    </row>
    <row r="3475" spans="1:1" x14ac:dyDescent="0.3">
      <c r="A3475" t="s">
        <v>1831</v>
      </c>
    </row>
    <row r="3476" spans="1:1" x14ac:dyDescent="0.3">
      <c r="A3476" t="s">
        <v>1157</v>
      </c>
    </row>
    <row r="3477" spans="1:1" x14ac:dyDescent="0.3">
      <c r="A3477" t="s">
        <v>1832</v>
      </c>
    </row>
    <row r="3478" spans="1:1" x14ac:dyDescent="0.3">
      <c r="A3478" t="s">
        <v>12</v>
      </c>
    </row>
    <row r="3479" spans="1:1" x14ac:dyDescent="0.3">
      <c r="A3479" t="s">
        <v>40</v>
      </c>
    </row>
    <row r="3481" spans="1:1" x14ac:dyDescent="0.3">
      <c r="A3481" t="s">
        <v>12</v>
      </c>
    </row>
    <row r="3482" spans="1:1" x14ac:dyDescent="0.3">
      <c r="A3482" t="s">
        <v>13</v>
      </c>
    </row>
    <row r="3483" spans="1:1" x14ac:dyDescent="0.3">
      <c r="A3483" t="s">
        <v>1937</v>
      </c>
    </row>
    <row r="3484" spans="1:1" x14ac:dyDescent="0.3">
      <c r="A3484" t="s">
        <v>1826</v>
      </c>
    </row>
    <row r="3485" spans="1:1" x14ac:dyDescent="0.3">
      <c r="A3485" t="s">
        <v>1938</v>
      </c>
    </row>
    <row r="3486" spans="1:1" x14ac:dyDescent="0.3">
      <c r="A3486" t="s">
        <v>1153</v>
      </c>
    </row>
    <row r="3487" spans="1:1" x14ac:dyDescent="0.3">
      <c r="A3487" t="s">
        <v>110</v>
      </c>
    </row>
    <row r="3488" spans="1:1" x14ac:dyDescent="0.3">
      <c r="A3488" t="s">
        <v>1154</v>
      </c>
    </row>
    <row r="3489" spans="1:1" x14ac:dyDescent="0.3">
      <c r="A3489" t="s">
        <v>1939</v>
      </c>
    </row>
    <row r="3490" spans="1:1" x14ac:dyDescent="0.3">
      <c r="A3490" t="s">
        <v>51</v>
      </c>
    </row>
    <row r="3491" spans="1:1" x14ac:dyDescent="0.3">
      <c r="A3491" t="s">
        <v>52</v>
      </c>
    </row>
    <row r="3492" spans="1:1" x14ac:dyDescent="0.3">
      <c r="A3492" t="s">
        <v>79</v>
      </c>
    </row>
    <row r="3493" spans="1:1" x14ac:dyDescent="0.3">
      <c r="A3493" t="s">
        <v>98</v>
      </c>
    </row>
    <row r="3494" spans="1:1" x14ac:dyDescent="0.3">
      <c r="A3494" t="s">
        <v>13</v>
      </c>
    </row>
    <row r="3495" spans="1:1" x14ac:dyDescent="0.3">
      <c r="A3495" t="s">
        <v>105</v>
      </c>
    </row>
    <row r="3496" spans="1:1" x14ac:dyDescent="0.3">
      <c r="A3496" t="s">
        <v>1829</v>
      </c>
    </row>
    <row r="3497" spans="1:1" x14ac:dyDescent="0.3">
      <c r="A3497" t="s">
        <v>1157</v>
      </c>
    </row>
    <row r="3498" spans="1:1" x14ac:dyDescent="0.3">
      <c r="A3498" t="s">
        <v>1830</v>
      </c>
    </row>
    <row r="3499" spans="1:1" x14ac:dyDescent="0.3">
      <c r="A3499" t="s">
        <v>12</v>
      </c>
    </row>
    <row r="3500" spans="1:1" x14ac:dyDescent="0.3">
      <c r="A3500" t="s">
        <v>13</v>
      </c>
    </row>
    <row r="3501" spans="1:1" x14ac:dyDescent="0.3">
      <c r="A3501" t="s">
        <v>106</v>
      </c>
    </row>
    <row r="3502" spans="1:1" x14ac:dyDescent="0.3">
      <c r="A3502" t="s">
        <v>1831</v>
      </c>
    </row>
    <row r="3503" spans="1:1" x14ac:dyDescent="0.3">
      <c r="A3503" t="s">
        <v>1157</v>
      </c>
    </row>
    <row r="3504" spans="1:1" x14ac:dyDescent="0.3">
      <c r="A3504" t="s">
        <v>1832</v>
      </c>
    </row>
    <row r="3505" spans="1:1" x14ac:dyDescent="0.3">
      <c r="A3505" t="s">
        <v>12</v>
      </c>
    </row>
    <row r="3506" spans="1:1" x14ac:dyDescent="0.3">
      <c r="A3506" t="s">
        <v>40</v>
      </c>
    </row>
    <row r="3508" spans="1:1" x14ac:dyDescent="0.3">
      <c r="A3508" t="s">
        <v>12</v>
      </c>
    </row>
    <row r="3509" spans="1:1" x14ac:dyDescent="0.3">
      <c r="A3509" t="s">
        <v>13</v>
      </c>
    </row>
    <row r="3510" spans="1:1" x14ac:dyDescent="0.3">
      <c r="A3510" t="s">
        <v>1940</v>
      </c>
    </row>
    <row r="3511" spans="1:1" x14ac:dyDescent="0.3">
      <c r="A3511" t="s">
        <v>1826</v>
      </c>
    </row>
    <row r="3512" spans="1:1" x14ac:dyDescent="0.3">
      <c r="A3512" t="s">
        <v>1941</v>
      </c>
    </row>
    <row r="3513" spans="1:1" x14ac:dyDescent="0.3">
      <c r="A3513" t="s">
        <v>1153</v>
      </c>
    </row>
    <row r="3514" spans="1:1" x14ac:dyDescent="0.3">
      <c r="A3514" t="s">
        <v>110</v>
      </c>
    </row>
    <row r="3515" spans="1:1" x14ac:dyDescent="0.3">
      <c r="A3515" t="s">
        <v>1154</v>
      </c>
    </row>
    <row r="3516" spans="1:1" x14ac:dyDescent="0.3">
      <c r="A3516" t="s">
        <v>1942</v>
      </c>
    </row>
    <row r="3517" spans="1:1" x14ac:dyDescent="0.3">
      <c r="A3517" t="s">
        <v>51</v>
      </c>
    </row>
    <row r="3518" spans="1:1" x14ac:dyDescent="0.3">
      <c r="A3518" t="s">
        <v>52</v>
      </c>
    </row>
    <row r="3519" spans="1:1" x14ac:dyDescent="0.3">
      <c r="A3519" t="s">
        <v>79</v>
      </c>
    </row>
    <row r="3520" spans="1:1" x14ac:dyDescent="0.3">
      <c r="A3520" t="s">
        <v>98</v>
      </c>
    </row>
    <row r="3521" spans="1:1" x14ac:dyDescent="0.3">
      <c r="A3521" t="s">
        <v>13</v>
      </c>
    </row>
    <row r="3522" spans="1:1" x14ac:dyDescent="0.3">
      <c r="A3522" t="s">
        <v>105</v>
      </c>
    </row>
    <row r="3523" spans="1:1" x14ac:dyDescent="0.3">
      <c r="A3523" t="s">
        <v>1829</v>
      </c>
    </row>
    <row r="3524" spans="1:1" x14ac:dyDescent="0.3">
      <c r="A3524" t="s">
        <v>1157</v>
      </c>
    </row>
    <row r="3525" spans="1:1" x14ac:dyDescent="0.3">
      <c r="A3525" t="s">
        <v>1830</v>
      </c>
    </row>
    <row r="3526" spans="1:1" x14ac:dyDescent="0.3">
      <c r="A3526" t="s">
        <v>12</v>
      </c>
    </row>
    <row r="3527" spans="1:1" x14ac:dyDescent="0.3">
      <c r="A3527" t="s">
        <v>13</v>
      </c>
    </row>
    <row r="3528" spans="1:1" x14ac:dyDescent="0.3">
      <c r="A3528" t="s">
        <v>106</v>
      </c>
    </row>
    <row r="3529" spans="1:1" x14ac:dyDescent="0.3">
      <c r="A3529" t="s">
        <v>1831</v>
      </c>
    </row>
    <row r="3530" spans="1:1" x14ac:dyDescent="0.3">
      <c r="A3530" t="s">
        <v>1157</v>
      </c>
    </row>
    <row r="3531" spans="1:1" x14ac:dyDescent="0.3">
      <c r="A3531" t="s">
        <v>1832</v>
      </c>
    </row>
    <row r="3532" spans="1:1" x14ac:dyDescent="0.3">
      <c r="A3532" t="s">
        <v>12</v>
      </c>
    </row>
    <row r="3533" spans="1:1" x14ac:dyDescent="0.3">
      <c r="A3533" t="s">
        <v>40</v>
      </c>
    </row>
    <row r="3535" spans="1:1" x14ac:dyDescent="0.3">
      <c r="A3535" t="s">
        <v>12</v>
      </c>
    </row>
    <row r="3536" spans="1:1" x14ac:dyDescent="0.3">
      <c r="A3536" t="s">
        <v>13</v>
      </c>
    </row>
    <row r="3537" spans="1:1" x14ac:dyDescent="0.3">
      <c r="A3537" t="s">
        <v>1943</v>
      </c>
    </row>
    <row r="3538" spans="1:1" x14ac:dyDescent="0.3">
      <c r="A3538" t="s">
        <v>1826</v>
      </c>
    </row>
    <row r="3539" spans="1:1" x14ac:dyDescent="0.3">
      <c r="A3539" t="s">
        <v>1944</v>
      </c>
    </row>
    <row r="3540" spans="1:1" x14ac:dyDescent="0.3">
      <c r="A3540" t="s">
        <v>1153</v>
      </c>
    </row>
    <row r="3541" spans="1:1" x14ac:dyDescent="0.3">
      <c r="A3541" t="s">
        <v>110</v>
      </c>
    </row>
    <row r="3542" spans="1:1" x14ac:dyDescent="0.3">
      <c r="A3542" t="s">
        <v>1154</v>
      </c>
    </row>
    <row r="3543" spans="1:1" x14ac:dyDescent="0.3">
      <c r="A3543" t="s">
        <v>1945</v>
      </c>
    </row>
    <row r="3544" spans="1:1" x14ac:dyDescent="0.3">
      <c r="A3544" t="s">
        <v>51</v>
      </c>
    </row>
    <row r="3545" spans="1:1" x14ac:dyDescent="0.3">
      <c r="A3545" t="s">
        <v>52</v>
      </c>
    </row>
    <row r="3546" spans="1:1" x14ac:dyDescent="0.3">
      <c r="A3546" t="s">
        <v>79</v>
      </c>
    </row>
    <row r="3547" spans="1:1" x14ac:dyDescent="0.3">
      <c r="A3547" t="s">
        <v>98</v>
      </c>
    </row>
    <row r="3548" spans="1:1" x14ac:dyDescent="0.3">
      <c r="A3548" t="s">
        <v>13</v>
      </c>
    </row>
    <row r="3549" spans="1:1" x14ac:dyDescent="0.3">
      <c r="A3549" t="s">
        <v>105</v>
      </c>
    </row>
    <row r="3550" spans="1:1" x14ac:dyDescent="0.3">
      <c r="A3550" t="s">
        <v>1829</v>
      </c>
    </row>
    <row r="3551" spans="1:1" x14ac:dyDescent="0.3">
      <c r="A3551" t="s">
        <v>1157</v>
      </c>
    </row>
    <row r="3552" spans="1:1" x14ac:dyDescent="0.3">
      <c r="A3552" t="s">
        <v>1830</v>
      </c>
    </row>
    <row r="3553" spans="1:1" x14ac:dyDescent="0.3">
      <c r="A3553" t="s">
        <v>12</v>
      </c>
    </row>
    <row r="3554" spans="1:1" x14ac:dyDescent="0.3">
      <c r="A3554" t="s">
        <v>13</v>
      </c>
    </row>
    <row r="3555" spans="1:1" x14ac:dyDescent="0.3">
      <c r="A3555" t="s">
        <v>106</v>
      </c>
    </row>
    <row r="3556" spans="1:1" x14ac:dyDescent="0.3">
      <c r="A3556" t="s">
        <v>1831</v>
      </c>
    </row>
    <row r="3557" spans="1:1" x14ac:dyDescent="0.3">
      <c r="A3557" t="s">
        <v>1157</v>
      </c>
    </row>
    <row r="3558" spans="1:1" x14ac:dyDescent="0.3">
      <c r="A3558" t="s">
        <v>1832</v>
      </c>
    </row>
    <row r="3559" spans="1:1" x14ac:dyDescent="0.3">
      <c r="A3559" t="s">
        <v>12</v>
      </c>
    </row>
    <row r="3560" spans="1:1" x14ac:dyDescent="0.3">
      <c r="A3560" t="s">
        <v>40</v>
      </c>
    </row>
    <row r="3562" spans="1:1" x14ac:dyDescent="0.3">
      <c r="A3562" t="s">
        <v>12</v>
      </c>
    </row>
    <row r="3563" spans="1:1" x14ac:dyDescent="0.3">
      <c r="A3563" t="s">
        <v>13</v>
      </c>
    </row>
    <row r="3564" spans="1:1" x14ac:dyDescent="0.3">
      <c r="A3564" t="s">
        <v>1946</v>
      </c>
    </row>
    <row r="3565" spans="1:1" x14ac:dyDescent="0.3">
      <c r="A3565" t="s">
        <v>1947</v>
      </c>
    </row>
    <row r="3566" spans="1:1" x14ac:dyDescent="0.3">
      <c r="A3566" t="s">
        <v>1948</v>
      </c>
    </row>
    <row r="3567" spans="1:1" x14ac:dyDescent="0.3">
      <c r="A3567" t="s">
        <v>1153</v>
      </c>
    </row>
    <row r="3568" spans="1:1" x14ac:dyDescent="0.3">
      <c r="A3568" t="s">
        <v>110</v>
      </c>
    </row>
    <row r="3569" spans="1:1" x14ac:dyDescent="0.3">
      <c r="A3569" t="s">
        <v>1154</v>
      </c>
    </row>
    <row r="3570" spans="1:1" x14ac:dyDescent="0.3">
      <c r="A3570" t="s">
        <v>1949</v>
      </c>
    </row>
    <row r="3571" spans="1:1" x14ac:dyDescent="0.3">
      <c r="A3571" t="s">
        <v>51</v>
      </c>
    </row>
    <row r="3572" spans="1:1" x14ac:dyDescent="0.3">
      <c r="A3572" t="s">
        <v>52</v>
      </c>
    </row>
    <row r="3573" spans="1:1" x14ac:dyDescent="0.3">
      <c r="A3573" t="s">
        <v>79</v>
      </c>
    </row>
    <row r="3575" spans="1:1" x14ac:dyDescent="0.3">
      <c r="A3575" t="s">
        <v>12</v>
      </c>
    </row>
    <row r="3576" spans="1:1" x14ac:dyDescent="0.3">
      <c r="A3576" t="s">
        <v>13</v>
      </c>
    </row>
    <row r="3577" spans="1:1" x14ac:dyDescent="0.3">
      <c r="A3577" t="s">
        <v>1950</v>
      </c>
    </row>
    <row r="3578" spans="1:1" x14ac:dyDescent="0.3">
      <c r="A3578" t="s">
        <v>1854</v>
      </c>
    </row>
    <row r="3579" spans="1:1" x14ac:dyDescent="0.3">
      <c r="A3579" t="s">
        <v>1951</v>
      </c>
    </row>
    <row r="3580" spans="1:1" x14ac:dyDescent="0.3">
      <c r="A3580" t="s">
        <v>1153</v>
      </c>
    </row>
    <row r="3581" spans="1:1" x14ac:dyDescent="0.3">
      <c r="A3581" t="s">
        <v>110</v>
      </c>
    </row>
    <row r="3582" spans="1:1" x14ac:dyDescent="0.3">
      <c r="A3582" t="s">
        <v>1154</v>
      </c>
    </row>
    <row r="3583" spans="1:1" x14ac:dyDescent="0.3">
      <c r="A3583" t="s">
        <v>1952</v>
      </c>
    </row>
    <row r="3584" spans="1:1" x14ac:dyDescent="0.3">
      <c r="A3584" t="s">
        <v>51</v>
      </c>
    </row>
    <row r="3585" spans="1:1" x14ac:dyDescent="0.3">
      <c r="A3585" t="s">
        <v>52</v>
      </c>
    </row>
    <row r="3586" spans="1:1" x14ac:dyDescent="0.3">
      <c r="A3586" t="s">
        <v>79</v>
      </c>
    </row>
    <row r="3587" spans="1:1" x14ac:dyDescent="0.3">
      <c r="A3587" t="s">
        <v>98</v>
      </c>
    </row>
    <row r="3588" spans="1:1" x14ac:dyDescent="0.3">
      <c r="A3588" t="s">
        <v>13</v>
      </c>
    </row>
    <row r="3589" spans="1:1" x14ac:dyDescent="0.3">
      <c r="A3589" t="s">
        <v>105</v>
      </c>
    </row>
    <row r="3590" spans="1:1" x14ac:dyDescent="0.3">
      <c r="A3590" t="s">
        <v>1857</v>
      </c>
    </row>
    <row r="3591" spans="1:1" x14ac:dyDescent="0.3">
      <c r="A3591" t="s">
        <v>1157</v>
      </c>
    </row>
    <row r="3592" spans="1:1" x14ac:dyDescent="0.3">
      <c r="A3592" t="s">
        <v>1858</v>
      </c>
    </row>
    <row r="3593" spans="1:1" x14ac:dyDescent="0.3">
      <c r="A3593" t="s">
        <v>12</v>
      </c>
    </row>
    <row r="3594" spans="1:1" x14ac:dyDescent="0.3">
      <c r="A3594" t="s">
        <v>13</v>
      </c>
    </row>
    <row r="3595" spans="1:1" x14ac:dyDescent="0.3">
      <c r="A3595" t="s">
        <v>106</v>
      </c>
    </row>
    <row r="3596" spans="1:1" x14ac:dyDescent="0.3">
      <c r="A3596" t="s">
        <v>1859</v>
      </c>
    </row>
    <row r="3597" spans="1:1" x14ac:dyDescent="0.3">
      <c r="A3597" t="s">
        <v>1157</v>
      </c>
    </row>
    <row r="3598" spans="1:1" x14ac:dyDescent="0.3">
      <c r="A3598" t="s">
        <v>1860</v>
      </c>
    </row>
    <row r="3599" spans="1:1" x14ac:dyDescent="0.3">
      <c r="A3599" t="s">
        <v>12</v>
      </c>
    </row>
    <row r="3600" spans="1:1" x14ac:dyDescent="0.3">
      <c r="A3600" t="s">
        <v>40</v>
      </c>
    </row>
    <row r="3602" spans="1:1" x14ac:dyDescent="0.3">
      <c r="A3602" t="s">
        <v>12</v>
      </c>
    </row>
    <row r="3603" spans="1:1" x14ac:dyDescent="0.3">
      <c r="A3603" t="s">
        <v>13</v>
      </c>
    </row>
    <row r="3604" spans="1:1" x14ac:dyDescent="0.3">
      <c r="A3604" t="s">
        <v>1953</v>
      </c>
    </row>
    <row r="3605" spans="1:1" x14ac:dyDescent="0.3">
      <c r="A3605" t="s">
        <v>1826</v>
      </c>
    </row>
    <row r="3606" spans="1:1" x14ac:dyDescent="0.3">
      <c r="A3606" t="s">
        <v>1954</v>
      </c>
    </row>
    <row r="3607" spans="1:1" x14ac:dyDescent="0.3">
      <c r="A3607" t="s">
        <v>1153</v>
      </c>
    </row>
    <row r="3608" spans="1:1" x14ac:dyDescent="0.3">
      <c r="A3608" t="s">
        <v>110</v>
      </c>
    </row>
    <row r="3609" spans="1:1" x14ac:dyDescent="0.3">
      <c r="A3609" t="s">
        <v>1154</v>
      </c>
    </row>
    <row r="3610" spans="1:1" x14ac:dyDescent="0.3">
      <c r="A3610" t="s">
        <v>1955</v>
      </c>
    </row>
    <row r="3611" spans="1:1" x14ac:dyDescent="0.3">
      <c r="A3611" t="s">
        <v>51</v>
      </c>
    </row>
    <row r="3612" spans="1:1" x14ac:dyDescent="0.3">
      <c r="A3612" t="s">
        <v>52</v>
      </c>
    </row>
    <row r="3613" spans="1:1" x14ac:dyDescent="0.3">
      <c r="A3613" t="s">
        <v>79</v>
      </c>
    </row>
    <row r="3614" spans="1:1" x14ac:dyDescent="0.3">
      <c r="A3614" t="s">
        <v>98</v>
      </c>
    </row>
    <row r="3615" spans="1:1" x14ac:dyDescent="0.3">
      <c r="A3615" t="s">
        <v>13</v>
      </c>
    </row>
    <row r="3616" spans="1:1" x14ac:dyDescent="0.3">
      <c r="A3616" t="s">
        <v>105</v>
      </c>
    </row>
    <row r="3617" spans="1:1" x14ac:dyDescent="0.3">
      <c r="A3617" t="s">
        <v>1956</v>
      </c>
    </row>
    <row r="3618" spans="1:1" x14ac:dyDescent="0.3">
      <c r="A3618" t="s">
        <v>1157</v>
      </c>
    </row>
    <row r="3619" spans="1:1" x14ac:dyDescent="0.3">
      <c r="A3619" t="s">
        <v>1832</v>
      </c>
    </row>
    <row r="3620" spans="1:1" x14ac:dyDescent="0.3">
      <c r="A3620" t="s">
        <v>12</v>
      </c>
    </row>
    <row r="3621" spans="1:1" x14ac:dyDescent="0.3">
      <c r="A3621" t="s">
        <v>13</v>
      </c>
    </row>
    <row r="3622" spans="1:1" x14ac:dyDescent="0.3">
      <c r="A3622" t="s">
        <v>106</v>
      </c>
    </row>
    <row r="3623" spans="1:1" x14ac:dyDescent="0.3">
      <c r="A3623" t="s">
        <v>1957</v>
      </c>
    </row>
    <row r="3624" spans="1:1" x14ac:dyDescent="0.3">
      <c r="A3624" t="s">
        <v>1157</v>
      </c>
    </row>
    <row r="3625" spans="1:1" x14ac:dyDescent="0.3">
      <c r="A3625" t="s">
        <v>1958</v>
      </c>
    </row>
    <row r="3626" spans="1:1" x14ac:dyDescent="0.3">
      <c r="A3626" t="s">
        <v>12</v>
      </c>
    </row>
    <row r="3627" spans="1:1" x14ac:dyDescent="0.3">
      <c r="A3627" t="s">
        <v>40</v>
      </c>
    </row>
    <row r="3629" spans="1:1" x14ac:dyDescent="0.3">
      <c r="A3629" t="s">
        <v>12</v>
      </c>
    </row>
    <row r="3630" spans="1:1" x14ac:dyDescent="0.3">
      <c r="A3630" t="s">
        <v>13</v>
      </c>
    </row>
    <row r="3631" spans="1:1" x14ac:dyDescent="0.3">
      <c r="A3631" t="s">
        <v>1959</v>
      </c>
    </row>
    <row r="3632" spans="1:1" x14ac:dyDescent="0.3">
      <c r="A3632" t="s">
        <v>1960</v>
      </c>
    </row>
    <row r="3633" spans="1:1" x14ac:dyDescent="0.3">
      <c r="A3633" t="s">
        <v>1961</v>
      </c>
    </row>
    <row r="3634" spans="1:1" x14ac:dyDescent="0.3">
      <c r="A3634" t="s">
        <v>1153</v>
      </c>
    </row>
    <row r="3635" spans="1:1" x14ac:dyDescent="0.3">
      <c r="A3635" t="s">
        <v>110</v>
      </c>
    </row>
    <row r="3636" spans="1:1" x14ac:dyDescent="0.3">
      <c r="A3636" t="s">
        <v>1154</v>
      </c>
    </row>
    <row r="3637" spans="1:1" x14ac:dyDescent="0.3">
      <c r="A3637" t="s">
        <v>1962</v>
      </c>
    </row>
    <row r="3638" spans="1:1" x14ac:dyDescent="0.3">
      <c r="A3638" t="s">
        <v>51</v>
      </c>
    </row>
    <row r="3639" spans="1:1" x14ac:dyDescent="0.3">
      <c r="A3639" t="s">
        <v>52</v>
      </c>
    </row>
    <row r="3640" spans="1:1" x14ac:dyDescent="0.3">
      <c r="A3640" t="s">
        <v>79</v>
      </c>
    </row>
    <row r="3641" spans="1:1" x14ac:dyDescent="0.3">
      <c r="A3641" t="s">
        <v>98</v>
      </c>
    </row>
    <row r="3642" spans="1:1" x14ac:dyDescent="0.3">
      <c r="A3642" t="s">
        <v>13</v>
      </c>
    </row>
    <row r="3643" spans="1:1" x14ac:dyDescent="0.3">
      <c r="A3643" t="s">
        <v>105</v>
      </c>
    </row>
    <row r="3644" spans="1:1" x14ac:dyDescent="0.3">
      <c r="A3644" t="s">
        <v>1963</v>
      </c>
    </row>
    <row r="3645" spans="1:1" x14ac:dyDescent="0.3">
      <c r="A3645" t="s">
        <v>1157</v>
      </c>
    </row>
    <row r="3646" spans="1:1" x14ac:dyDescent="0.3">
      <c r="A3646" t="s">
        <v>1964</v>
      </c>
    </row>
    <row r="3647" spans="1:1" x14ac:dyDescent="0.3">
      <c r="A3647" t="s">
        <v>12</v>
      </c>
    </row>
    <row r="3648" spans="1:1" x14ac:dyDescent="0.3">
      <c r="A3648" t="s">
        <v>13</v>
      </c>
    </row>
    <row r="3649" spans="1:1" x14ac:dyDescent="0.3">
      <c r="A3649" t="s">
        <v>106</v>
      </c>
    </row>
    <row r="3650" spans="1:1" x14ac:dyDescent="0.3">
      <c r="A3650" t="s">
        <v>1965</v>
      </c>
    </row>
    <row r="3651" spans="1:1" x14ac:dyDescent="0.3">
      <c r="A3651" t="s">
        <v>1157</v>
      </c>
    </row>
    <row r="3652" spans="1:1" x14ac:dyDescent="0.3">
      <c r="A3652" t="s">
        <v>1966</v>
      </c>
    </row>
    <row r="3653" spans="1:1" x14ac:dyDescent="0.3">
      <c r="A3653" t="s">
        <v>12</v>
      </c>
    </row>
    <row r="3654" spans="1:1" x14ac:dyDescent="0.3">
      <c r="A3654" t="s">
        <v>40</v>
      </c>
    </row>
    <row r="3656" spans="1:1" x14ac:dyDescent="0.3">
      <c r="A3656" t="s">
        <v>12</v>
      </c>
    </row>
    <row r="3657" spans="1:1" x14ac:dyDescent="0.3">
      <c r="A3657" t="s">
        <v>13</v>
      </c>
    </row>
    <row r="3658" spans="1:1" x14ac:dyDescent="0.3">
      <c r="A3658" t="s">
        <v>1967</v>
      </c>
    </row>
    <row r="3659" spans="1:1" x14ac:dyDescent="0.3">
      <c r="A3659" t="s">
        <v>1826</v>
      </c>
    </row>
    <row r="3660" spans="1:1" x14ac:dyDescent="0.3">
      <c r="A3660" t="s">
        <v>1968</v>
      </c>
    </row>
    <row r="3661" spans="1:1" x14ac:dyDescent="0.3">
      <c r="A3661" t="s">
        <v>1153</v>
      </c>
    </row>
    <row r="3662" spans="1:1" x14ac:dyDescent="0.3">
      <c r="A3662" t="s">
        <v>110</v>
      </c>
    </row>
    <row r="3663" spans="1:1" x14ac:dyDescent="0.3">
      <c r="A3663" t="s">
        <v>1154</v>
      </c>
    </row>
    <row r="3664" spans="1:1" x14ac:dyDescent="0.3">
      <c r="A3664" t="s">
        <v>1969</v>
      </c>
    </row>
    <row r="3665" spans="1:1" x14ac:dyDescent="0.3">
      <c r="A3665" t="s">
        <v>51</v>
      </c>
    </row>
    <row r="3666" spans="1:1" x14ac:dyDescent="0.3">
      <c r="A3666" t="s">
        <v>52</v>
      </c>
    </row>
    <row r="3667" spans="1:1" x14ac:dyDescent="0.3">
      <c r="A3667" t="s">
        <v>79</v>
      </c>
    </row>
    <row r="3668" spans="1:1" x14ac:dyDescent="0.3">
      <c r="A3668" t="s">
        <v>98</v>
      </c>
    </row>
    <row r="3669" spans="1:1" x14ac:dyDescent="0.3">
      <c r="A3669" t="s">
        <v>13</v>
      </c>
    </row>
    <row r="3670" spans="1:1" x14ac:dyDescent="0.3">
      <c r="A3670" t="s">
        <v>105</v>
      </c>
    </row>
    <row r="3671" spans="1:1" x14ac:dyDescent="0.3">
      <c r="A3671" t="s">
        <v>1829</v>
      </c>
    </row>
    <row r="3672" spans="1:1" x14ac:dyDescent="0.3">
      <c r="A3672" t="s">
        <v>1157</v>
      </c>
    </row>
    <row r="3673" spans="1:1" x14ac:dyDescent="0.3">
      <c r="A3673" t="s">
        <v>1830</v>
      </c>
    </row>
    <row r="3674" spans="1:1" x14ac:dyDescent="0.3">
      <c r="A3674" t="s">
        <v>12</v>
      </c>
    </row>
    <row r="3675" spans="1:1" x14ac:dyDescent="0.3">
      <c r="A3675" t="s">
        <v>13</v>
      </c>
    </row>
    <row r="3676" spans="1:1" x14ac:dyDescent="0.3">
      <c r="A3676" t="s">
        <v>106</v>
      </c>
    </row>
    <row r="3677" spans="1:1" x14ac:dyDescent="0.3">
      <c r="A3677" t="s">
        <v>1831</v>
      </c>
    </row>
    <row r="3678" spans="1:1" x14ac:dyDescent="0.3">
      <c r="A3678" t="s">
        <v>1157</v>
      </c>
    </row>
    <row r="3679" spans="1:1" x14ac:dyDescent="0.3">
      <c r="A3679" t="s">
        <v>1832</v>
      </c>
    </row>
    <row r="3680" spans="1:1" x14ac:dyDescent="0.3">
      <c r="A3680" t="s">
        <v>12</v>
      </c>
    </row>
    <row r="3681" spans="1:1" x14ac:dyDescent="0.3">
      <c r="A3681" t="s">
        <v>40</v>
      </c>
    </row>
    <row r="3683" spans="1:1" x14ac:dyDescent="0.3">
      <c r="A3683" t="s">
        <v>12</v>
      </c>
    </row>
    <row r="3684" spans="1:1" x14ac:dyDescent="0.3">
      <c r="A3684" t="s">
        <v>13</v>
      </c>
    </row>
    <row r="3685" spans="1:1" x14ac:dyDescent="0.3">
      <c r="A3685" t="s">
        <v>1970</v>
      </c>
    </row>
    <row r="3686" spans="1:1" x14ac:dyDescent="0.3">
      <c r="A3686" t="s">
        <v>1344</v>
      </c>
    </row>
    <row r="3687" spans="1:1" x14ac:dyDescent="0.3">
      <c r="A3687" t="s">
        <v>1971</v>
      </c>
    </row>
    <row r="3688" spans="1:1" x14ac:dyDescent="0.3">
      <c r="A3688" t="s">
        <v>1153</v>
      </c>
    </row>
    <row r="3689" spans="1:1" x14ac:dyDescent="0.3">
      <c r="A3689" t="s">
        <v>110</v>
      </c>
    </row>
    <row r="3690" spans="1:1" x14ac:dyDescent="0.3">
      <c r="A3690" t="s">
        <v>1154</v>
      </c>
    </row>
    <row r="3691" spans="1:1" x14ac:dyDescent="0.3">
      <c r="A3691" t="s">
        <v>1972</v>
      </c>
    </row>
    <row r="3692" spans="1:1" x14ac:dyDescent="0.3">
      <c r="A3692" t="s">
        <v>51</v>
      </c>
    </row>
    <row r="3693" spans="1:1" x14ac:dyDescent="0.3">
      <c r="A3693" t="s">
        <v>52</v>
      </c>
    </row>
    <row r="3694" spans="1:1" x14ac:dyDescent="0.3">
      <c r="A3694" t="s">
        <v>79</v>
      </c>
    </row>
    <row r="3695" spans="1:1" x14ac:dyDescent="0.3">
      <c r="A3695" t="s">
        <v>98</v>
      </c>
    </row>
    <row r="3696" spans="1:1" x14ac:dyDescent="0.3">
      <c r="A3696" t="s">
        <v>13</v>
      </c>
    </row>
    <row r="3697" spans="1:1" x14ac:dyDescent="0.3">
      <c r="A3697" t="s">
        <v>105</v>
      </c>
    </row>
    <row r="3698" spans="1:1" x14ac:dyDescent="0.3">
      <c r="A3698" t="s">
        <v>1973</v>
      </c>
    </row>
    <row r="3699" spans="1:1" x14ac:dyDescent="0.3">
      <c r="A3699" t="s">
        <v>1157</v>
      </c>
    </row>
    <row r="3700" spans="1:1" x14ac:dyDescent="0.3">
      <c r="A3700" t="s">
        <v>1840</v>
      </c>
    </row>
    <row r="3701" spans="1:1" x14ac:dyDescent="0.3">
      <c r="A3701" t="s">
        <v>12</v>
      </c>
    </row>
    <row r="3702" spans="1:1" x14ac:dyDescent="0.3">
      <c r="A3702" t="s">
        <v>13</v>
      </c>
    </row>
    <row r="3703" spans="1:1" x14ac:dyDescent="0.3">
      <c r="A3703" t="s">
        <v>106</v>
      </c>
    </row>
    <row r="3704" spans="1:1" x14ac:dyDescent="0.3">
      <c r="A3704" t="s">
        <v>1974</v>
      </c>
    </row>
    <row r="3705" spans="1:1" x14ac:dyDescent="0.3">
      <c r="A3705" t="s">
        <v>1157</v>
      </c>
    </row>
    <row r="3706" spans="1:1" x14ac:dyDescent="0.3">
      <c r="A3706" t="s">
        <v>1975</v>
      </c>
    </row>
    <row r="3707" spans="1:1" x14ac:dyDescent="0.3">
      <c r="A3707" t="s">
        <v>12</v>
      </c>
    </row>
    <row r="3708" spans="1:1" x14ac:dyDescent="0.3">
      <c r="A3708" t="s">
        <v>40</v>
      </c>
    </row>
    <row r="3710" spans="1:1" x14ac:dyDescent="0.3">
      <c r="A3710" t="s">
        <v>12</v>
      </c>
    </row>
    <row r="3711" spans="1:1" x14ac:dyDescent="0.3">
      <c r="A3711" t="s">
        <v>13</v>
      </c>
    </row>
    <row r="3712" spans="1:1" x14ac:dyDescent="0.3">
      <c r="A3712" t="s">
        <v>1976</v>
      </c>
    </row>
    <row r="3713" spans="1:1" x14ac:dyDescent="0.3">
      <c r="A3713" t="s">
        <v>1977</v>
      </c>
    </row>
    <row r="3714" spans="1:1" x14ac:dyDescent="0.3">
      <c r="A3714" t="s">
        <v>1978</v>
      </c>
    </row>
    <row r="3715" spans="1:1" x14ac:dyDescent="0.3">
      <c r="A3715" t="s">
        <v>1153</v>
      </c>
    </row>
    <row r="3716" spans="1:1" x14ac:dyDescent="0.3">
      <c r="A3716" t="s">
        <v>110</v>
      </c>
    </row>
    <row r="3717" spans="1:1" x14ac:dyDescent="0.3">
      <c r="A3717" t="s">
        <v>1154</v>
      </c>
    </row>
    <row r="3718" spans="1:1" x14ac:dyDescent="0.3">
      <c r="A3718" t="s">
        <v>1979</v>
      </c>
    </row>
    <row r="3719" spans="1:1" x14ac:dyDescent="0.3">
      <c r="A3719" t="s">
        <v>51</v>
      </c>
    </row>
    <row r="3720" spans="1:1" x14ac:dyDescent="0.3">
      <c r="A3720" t="s">
        <v>52</v>
      </c>
    </row>
    <row r="3721" spans="1:1" x14ac:dyDescent="0.3">
      <c r="A3721" t="s">
        <v>79</v>
      </c>
    </row>
    <row r="3722" spans="1:1" x14ac:dyDescent="0.3">
      <c r="A3722" t="s">
        <v>98</v>
      </c>
    </row>
    <row r="3723" spans="1:1" x14ac:dyDescent="0.3">
      <c r="A3723" t="s">
        <v>13</v>
      </c>
    </row>
    <row r="3724" spans="1:1" x14ac:dyDescent="0.3">
      <c r="A3724" t="s">
        <v>105</v>
      </c>
    </row>
    <row r="3725" spans="1:1" x14ac:dyDescent="0.3">
      <c r="A3725" t="s">
        <v>1980</v>
      </c>
    </row>
    <row r="3726" spans="1:1" x14ac:dyDescent="0.3">
      <c r="A3726" t="s">
        <v>1157</v>
      </c>
    </row>
    <row r="3727" spans="1:1" x14ac:dyDescent="0.3">
      <c r="A3727" t="s">
        <v>1981</v>
      </c>
    </row>
    <row r="3728" spans="1:1" x14ac:dyDescent="0.3">
      <c r="A3728" t="s">
        <v>12</v>
      </c>
    </row>
    <row r="3729" spans="1:1" x14ac:dyDescent="0.3">
      <c r="A3729" t="s">
        <v>13</v>
      </c>
    </row>
    <row r="3730" spans="1:1" x14ac:dyDescent="0.3">
      <c r="A3730" t="s">
        <v>106</v>
      </c>
    </row>
    <row r="3731" spans="1:1" x14ac:dyDescent="0.3">
      <c r="A3731" t="s">
        <v>1982</v>
      </c>
    </row>
    <row r="3732" spans="1:1" x14ac:dyDescent="0.3">
      <c r="A3732" t="s">
        <v>1157</v>
      </c>
    </row>
    <row r="3733" spans="1:1" x14ac:dyDescent="0.3">
      <c r="A3733" t="s">
        <v>1983</v>
      </c>
    </row>
    <row r="3734" spans="1:1" x14ac:dyDescent="0.3">
      <c r="A3734" t="s">
        <v>12</v>
      </c>
    </row>
    <row r="3735" spans="1:1" x14ac:dyDescent="0.3">
      <c r="A3735" t="s">
        <v>40</v>
      </c>
    </row>
    <row r="3737" spans="1:1" x14ac:dyDescent="0.3">
      <c r="A3737" t="s">
        <v>12</v>
      </c>
    </row>
    <row r="3738" spans="1:1" x14ac:dyDescent="0.3">
      <c r="A3738" t="s">
        <v>13</v>
      </c>
    </row>
    <row r="3739" spans="1:1" x14ac:dyDescent="0.3">
      <c r="A3739" t="s">
        <v>1984</v>
      </c>
    </row>
    <row r="3740" spans="1:1" x14ac:dyDescent="0.3">
      <c r="A3740" t="s">
        <v>1985</v>
      </c>
    </row>
    <row r="3741" spans="1:1" x14ac:dyDescent="0.3">
      <c r="A3741" t="s">
        <v>1986</v>
      </c>
    </row>
    <row r="3742" spans="1:1" x14ac:dyDescent="0.3">
      <c r="A3742" t="s">
        <v>1153</v>
      </c>
    </row>
    <row r="3743" spans="1:1" x14ac:dyDescent="0.3">
      <c r="A3743" t="s">
        <v>110</v>
      </c>
    </row>
    <row r="3744" spans="1:1" x14ac:dyDescent="0.3">
      <c r="A3744" t="s">
        <v>1154</v>
      </c>
    </row>
    <row r="3745" spans="1:1" x14ac:dyDescent="0.3">
      <c r="A3745" t="s">
        <v>1987</v>
      </c>
    </row>
    <row r="3746" spans="1:1" x14ac:dyDescent="0.3">
      <c r="A3746" t="s">
        <v>51</v>
      </c>
    </row>
    <row r="3747" spans="1:1" x14ac:dyDescent="0.3">
      <c r="A3747" t="s">
        <v>52</v>
      </c>
    </row>
    <row r="3748" spans="1:1" x14ac:dyDescent="0.3">
      <c r="A3748" t="s">
        <v>79</v>
      </c>
    </row>
    <row r="3749" spans="1:1" x14ac:dyDescent="0.3">
      <c r="A3749" t="s">
        <v>98</v>
      </c>
    </row>
    <row r="3750" spans="1:1" x14ac:dyDescent="0.3">
      <c r="A3750" t="s">
        <v>13</v>
      </c>
    </row>
    <row r="3751" spans="1:1" x14ac:dyDescent="0.3">
      <c r="A3751" t="s">
        <v>105</v>
      </c>
    </row>
    <row r="3752" spans="1:1" x14ac:dyDescent="0.3">
      <c r="A3752" t="s">
        <v>1988</v>
      </c>
    </row>
    <row r="3753" spans="1:1" x14ac:dyDescent="0.3">
      <c r="A3753" t="s">
        <v>1157</v>
      </c>
    </row>
    <row r="3754" spans="1:1" x14ac:dyDescent="0.3">
      <c r="A3754" t="s">
        <v>1989</v>
      </c>
    </row>
    <row r="3755" spans="1:1" x14ac:dyDescent="0.3">
      <c r="A3755" t="s">
        <v>12</v>
      </c>
    </row>
    <row r="3756" spans="1:1" x14ac:dyDescent="0.3">
      <c r="A3756" t="s">
        <v>13</v>
      </c>
    </row>
    <row r="3757" spans="1:1" x14ac:dyDescent="0.3">
      <c r="A3757" t="s">
        <v>106</v>
      </c>
    </row>
    <row r="3758" spans="1:1" x14ac:dyDescent="0.3">
      <c r="A3758" t="s">
        <v>1990</v>
      </c>
    </row>
    <row r="3759" spans="1:1" x14ac:dyDescent="0.3">
      <c r="A3759" t="s">
        <v>1157</v>
      </c>
    </row>
    <row r="3760" spans="1:1" x14ac:dyDescent="0.3">
      <c r="A3760" t="s">
        <v>1991</v>
      </c>
    </row>
    <row r="3761" spans="1:1" x14ac:dyDescent="0.3">
      <c r="A3761" t="s">
        <v>12</v>
      </c>
    </row>
    <row r="3762" spans="1:1" x14ac:dyDescent="0.3">
      <c r="A3762" t="s">
        <v>40</v>
      </c>
    </row>
    <row r="3764" spans="1:1" x14ac:dyDescent="0.3">
      <c r="A3764" t="s">
        <v>12</v>
      </c>
    </row>
    <row r="3765" spans="1:1" x14ac:dyDescent="0.3">
      <c r="A3765" t="s">
        <v>13</v>
      </c>
    </row>
    <row r="3766" spans="1:1" x14ac:dyDescent="0.3">
      <c r="A3766" t="s">
        <v>1992</v>
      </c>
    </row>
    <row r="3767" spans="1:1" x14ac:dyDescent="0.3">
      <c r="A3767" t="s">
        <v>1993</v>
      </c>
    </row>
    <row r="3768" spans="1:1" x14ac:dyDescent="0.3">
      <c r="A3768" t="s">
        <v>1994</v>
      </c>
    </row>
    <row r="3769" spans="1:1" x14ac:dyDescent="0.3">
      <c r="A3769" t="s">
        <v>1153</v>
      </c>
    </row>
    <row r="3770" spans="1:1" x14ac:dyDescent="0.3">
      <c r="A3770" t="s">
        <v>110</v>
      </c>
    </row>
    <row r="3771" spans="1:1" x14ac:dyDescent="0.3">
      <c r="A3771" t="s">
        <v>1154</v>
      </c>
    </row>
    <row r="3772" spans="1:1" x14ac:dyDescent="0.3">
      <c r="A3772" t="s">
        <v>1995</v>
      </c>
    </row>
    <row r="3773" spans="1:1" x14ac:dyDescent="0.3">
      <c r="A3773" t="s">
        <v>51</v>
      </c>
    </row>
    <row r="3774" spans="1:1" x14ac:dyDescent="0.3">
      <c r="A3774" t="s">
        <v>52</v>
      </c>
    </row>
    <row r="3775" spans="1:1" x14ac:dyDescent="0.3">
      <c r="A3775" t="s">
        <v>79</v>
      </c>
    </row>
    <row r="3776" spans="1:1" x14ac:dyDescent="0.3">
      <c r="A3776" t="s">
        <v>98</v>
      </c>
    </row>
    <row r="3777" spans="1:1" x14ac:dyDescent="0.3">
      <c r="A3777" t="s">
        <v>13</v>
      </c>
    </row>
    <row r="3778" spans="1:1" x14ac:dyDescent="0.3">
      <c r="A3778" t="s">
        <v>105</v>
      </c>
    </row>
    <row r="3779" spans="1:1" x14ac:dyDescent="0.3">
      <c r="A3779" t="s">
        <v>1996</v>
      </c>
    </row>
    <row r="3780" spans="1:1" x14ac:dyDescent="0.3">
      <c r="A3780" t="s">
        <v>1157</v>
      </c>
    </row>
    <row r="3781" spans="1:1" x14ac:dyDescent="0.3">
      <c r="A3781" t="s">
        <v>1997</v>
      </c>
    </row>
    <row r="3782" spans="1:1" x14ac:dyDescent="0.3">
      <c r="A3782" t="s">
        <v>12</v>
      </c>
    </row>
    <row r="3783" spans="1:1" x14ac:dyDescent="0.3">
      <c r="A3783" t="s">
        <v>13</v>
      </c>
    </row>
    <row r="3784" spans="1:1" x14ac:dyDescent="0.3">
      <c r="A3784" t="s">
        <v>106</v>
      </c>
    </row>
    <row r="3785" spans="1:1" x14ac:dyDescent="0.3">
      <c r="A3785" t="s">
        <v>1998</v>
      </c>
    </row>
    <row r="3786" spans="1:1" x14ac:dyDescent="0.3">
      <c r="A3786" t="s">
        <v>1157</v>
      </c>
    </row>
    <row r="3787" spans="1:1" x14ac:dyDescent="0.3">
      <c r="A3787" t="s">
        <v>1999</v>
      </c>
    </row>
    <row r="3788" spans="1:1" x14ac:dyDescent="0.3">
      <c r="A3788" t="s">
        <v>12</v>
      </c>
    </row>
    <row r="3789" spans="1:1" x14ac:dyDescent="0.3">
      <c r="A3789" t="s">
        <v>40</v>
      </c>
    </row>
    <row r="3791" spans="1:1" x14ac:dyDescent="0.3">
      <c r="A3791" t="s">
        <v>12</v>
      </c>
    </row>
    <row r="3792" spans="1:1" x14ac:dyDescent="0.3">
      <c r="A3792" t="s">
        <v>13</v>
      </c>
    </row>
    <row r="3793" spans="1:1" x14ac:dyDescent="0.3">
      <c r="A3793" t="s">
        <v>2000</v>
      </c>
    </row>
    <row r="3794" spans="1:1" x14ac:dyDescent="0.3">
      <c r="A3794" t="s">
        <v>1765</v>
      </c>
    </row>
    <row r="3795" spans="1:1" x14ac:dyDescent="0.3">
      <c r="A3795" t="s">
        <v>2001</v>
      </c>
    </row>
    <row r="3796" spans="1:1" x14ac:dyDescent="0.3">
      <c r="A3796" t="s">
        <v>1153</v>
      </c>
    </row>
    <row r="3797" spans="1:1" x14ac:dyDescent="0.3">
      <c r="A3797" t="s">
        <v>110</v>
      </c>
    </row>
    <row r="3798" spans="1:1" x14ac:dyDescent="0.3">
      <c r="A3798" t="s">
        <v>1154</v>
      </c>
    </row>
    <row r="3799" spans="1:1" x14ac:dyDescent="0.3">
      <c r="A3799" t="s">
        <v>2002</v>
      </c>
    </row>
    <row r="3800" spans="1:1" x14ac:dyDescent="0.3">
      <c r="A3800" t="s">
        <v>51</v>
      </c>
    </row>
    <row r="3801" spans="1:1" x14ac:dyDescent="0.3">
      <c r="A3801" t="s">
        <v>52</v>
      </c>
    </row>
    <row r="3802" spans="1:1" x14ac:dyDescent="0.3">
      <c r="A3802" t="s">
        <v>79</v>
      </c>
    </row>
    <row r="3804" spans="1:1" x14ac:dyDescent="0.3">
      <c r="A3804" t="s">
        <v>12</v>
      </c>
    </row>
    <row r="3805" spans="1:1" x14ac:dyDescent="0.3">
      <c r="A3805" t="s">
        <v>13</v>
      </c>
    </row>
    <row r="3806" spans="1:1" x14ac:dyDescent="0.3">
      <c r="A3806" t="s">
        <v>2003</v>
      </c>
    </row>
    <row r="3807" spans="1:1" x14ac:dyDescent="0.3">
      <c r="A3807" t="s">
        <v>2004</v>
      </c>
    </row>
    <row r="3808" spans="1:1" x14ac:dyDescent="0.3">
      <c r="A3808" t="s">
        <v>2005</v>
      </c>
    </row>
    <row r="3809" spans="1:1" x14ac:dyDescent="0.3">
      <c r="A3809" t="s">
        <v>1153</v>
      </c>
    </row>
    <row r="3810" spans="1:1" x14ac:dyDescent="0.3">
      <c r="A3810" t="s">
        <v>110</v>
      </c>
    </row>
    <row r="3811" spans="1:1" x14ac:dyDescent="0.3">
      <c r="A3811" t="s">
        <v>1154</v>
      </c>
    </row>
    <row r="3812" spans="1:1" x14ac:dyDescent="0.3">
      <c r="A3812" t="s">
        <v>2006</v>
      </c>
    </row>
    <row r="3813" spans="1:1" x14ac:dyDescent="0.3">
      <c r="A3813" t="s">
        <v>51</v>
      </c>
    </row>
    <row r="3814" spans="1:1" x14ac:dyDescent="0.3">
      <c r="A3814" t="s">
        <v>52</v>
      </c>
    </row>
    <row r="3815" spans="1:1" x14ac:dyDescent="0.3">
      <c r="A3815" t="s">
        <v>79</v>
      </c>
    </row>
    <row r="3816" spans="1:1" x14ac:dyDescent="0.3">
      <c r="A3816" t="s">
        <v>98</v>
      </c>
    </row>
    <row r="3817" spans="1:1" x14ac:dyDescent="0.3">
      <c r="A3817" t="s">
        <v>13</v>
      </c>
    </row>
    <row r="3818" spans="1:1" x14ac:dyDescent="0.3">
      <c r="A3818" t="s">
        <v>105</v>
      </c>
    </row>
    <row r="3819" spans="1:1" x14ac:dyDescent="0.3">
      <c r="A3819" t="s">
        <v>2007</v>
      </c>
    </row>
    <row r="3820" spans="1:1" x14ac:dyDescent="0.3">
      <c r="A3820" t="s">
        <v>1157</v>
      </c>
    </row>
    <row r="3821" spans="1:1" x14ac:dyDescent="0.3">
      <c r="A3821" t="s">
        <v>2008</v>
      </c>
    </row>
    <row r="3822" spans="1:1" x14ac:dyDescent="0.3">
      <c r="A3822" t="s">
        <v>12</v>
      </c>
    </row>
    <row r="3823" spans="1:1" x14ac:dyDescent="0.3">
      <c r="A3823" t="s">
        <v>13</v>
      </c>
    </row>
    <row r="3824" spans="1:1" x14ac:dyDescent="0.3">
      <c r="A3824" t="s">
        <v>106</v>
      </c>
    </row>
    <row r="3825" spans="1:1" x14ac:dyDescent="0.3">
      <c r="A3825" t="s">
        <v>2009</v>
      </c>
    </row>
    <row r="3826" spans="1:1" x14ac:dyDescent="0.3">
      <c r="A3826" t="s">
        <v>1157</v>
      </c>
    </row>
    <row r="3827" spans="1:1" x14ac:dyDescent="0.3">
      <c r="A3827" t="s">
        <v>2010</v>
      </c>
    </row>
    <row r="3828" spans="1:1" x14ac:dyDescent="0.3">
      <c r="A3828" t="s">
        <v>12</v>
      </c>
    </row>
    <row r="3829" spans="1:1" x14ac:dyDescent="0.3">
      <c r="A3829" t="s">
        <v>40</v>
      </c>
    </row>
    <row r="3831" spans="1:1" x14ac:dyDescent="0.3">
      <c r="A3831" t="s">
        <v>12</v>
      </c>
    </row>
    <row r="3832" spans="1:1" x14ac:dyDescent="0.3">
      <c r="A3832" t="s">
        <v>13</v>
      </c>
    </row>
    <row r="3833" spans="1:1" x14ac:dyDescent="0.3">
      <c r="A3833" t="s">
        <v>2011</v>
      </c>
    </row>
    <row r="3834" spans="1:1" x14ac:dyDescent="0.3">
      <c r="A3834" t="s">
        <v>1993</v>
      </c>
    </row>
    <row r="3835" spans="1:1" x14ac:dyDescent="0.3">
      <c r="A3835" t="s">
        <v>2012</v>
      </c>
    </row>
    <row r="3836" spans="1:1" x14ac:dyDescent="0.3">
      <c r="A3836" t="s">
        <v>1153</v>
      </c>
    </row>
    <row r="3837" spans="1:1" x14ac:dyDescent="0.3">
      <c r="A3837" t="s">
        <v>110</v>
      </c>
    </row>
    <row r="3838" spans="1:1" x14ac:dyDescent="0.3">
      <c r="A3838" t="s">
        <v>1154</v>
      </c>
    </row>
    <row r="3839" spans="1:1" x14ac:dyDescent="0.3">
      <c r="A3839" t="s">
        <v>2013</v>
      </c>
    </row>
    <row r="3840" spans="1:1" x14ac:dyDescent="0.3">
      <c r="A3840" t="s">
        <v>51</v>
      </c>
    </row>
    <row r="3841" spans="1:1" x14ac:dyDescent="0.3">
      <c r="A3841" t="s">
        <v>52</v>
      </c>
    </row>
    <row r="3842" spans="1:1" x14ac:dyDescent="0.3">
      <c r="A3842" t="s">
        <v>79</v>
      </c>
    </row>
    <row r="3843" spans="1:1" x14ac:dyDescent="0.3">
      <c r="A3843" t="s">
        <v>98</v>
      </c>
    </row>
    <row r="3844" spans="1:1" x14ac:dyDescent="0.3">
      <c r="A3844" t="s">
        <v>13</v>
      </c>
    </row>
    <row r="3845" spans="1:1" x14ac:dyDescent="0.3">
      <c r="A3845" t="s">
        <v>105</v>
      </c>
    </row>
    <row r="3846" spans="1:1" x14ac:dyDescent="0.3">
      <c r="A3846" t="s">
        <v>1996</v>
      </c>
    </row>
    <row r="3847" spans="1:1" x14ac:dyDescent="0.3">
      <c r="A3847" t="s">
        <v>1157</v>
      </c>
    </row>
    <row r="3848" spans="1:1" x14ac:dyDescent="0.3">
      <c r="A3848" t="s">
        <v>1997</v>
      </c>
    </row>
    <row r="3849" spans="1:1" x14ac:dyDescent="0.3">
      <c r="A3849" t="s">
        <v>12</v>
      </c>
    </row>
    <row r="3850" spans="1:1" x14ac:dyDescent="0.3">
      <c r="A3850" t="s">
        <v>13</v>
      </c>
    </row>
    <row r="3851" spans="1:1" x14ac:dyDescent="0.3">
      <c r="A3851" t="s">
        <v>106</v>
      </c>
    </row>
    <row r="3852" spans="1:1" x14ac:dyDescent="0.3">
      <c r="A3852" t="s">
        <v>1998</v>
      </c>
    </row>
    <row r="3853" spans="1:1" x14ac:dyDescent="0.3">
      <c r="A3853" t="s">
        <v>1157</v>
      </c>
    </row>
    <row r="3854" spans="1:1" x14ac:dyDescent="0.3">
      <c r="A3854" t="s">
        <v>1999</v>
      </c>
    </row>
    <row r="3855" spans="1:1" x14ac:dyDescent="0.3">
      <c r="A3855" t="s">
        <v>12</v>
      </c>
    </row>
    <row r="3856" spans="1:1" x14ac:dyDescent="0.3">
      <c r="A3856" t="s">
        <v>40</v>
      </c>
    </row>
    <row r="3858" spans="1:1" x14ac:dyDescent="0.3">
      <c r="A3858" t="s">
        <v>12</v>
      </c>
    </row>
    <row r="3859" spans="1:1" x14ac:dyDescent="0.3">
      <c r="A3859" t="s">
        <v>13</v>
      </c>
    </row>
    <row r="3860" spans="1:1" x14ac:dyDescent="0.3">
      <c r="A3860" t="s">
        <v>2014</v>
      </c>
    </row>
    <row r="3861" spans="1:1" x14ac:dyDescent="0.3">
      <c r="A3861" t="s">
        <v>1993</v>
      </c>
    </row>
    <row r="3862" spans="1:1" x14ac:dyDescent="0.3">
      <c r="A3862" t="s">
        <v>2015</v>
      </c>
    </row>
    <row r="3863" spans="1:1" x14ac:dyDescent="0.3">
      <c r="A3863" t="s">
        <v>1153</v>
      </c>
    </row>
    <row r="3864" spans="1:1" x14ac:dyDescent="0.3">
      <c r="A3864" t="s">
        <v>110</v>
      </c>
    </row>
    <row r="3865" spans="1:1" x14ac:dyDescent="0.3">
      <c r="A3865" t="s">
        <v>1154</v>
      </c>
    </row>
    <row r="3866" spans="1:1" x14ac:dyDescent="0.3">
      <c r="A3866" t="s">
        <v>2016</v>
      </c>
    </row>
    <row r="3867" spans="1:1" x14ac:dyDescent="0.3">
      <c r="A3867" t="s">
        <v>51</v>
      </c>
    </row>
    <row r="3868" spans="1:1" x14ac:dyDescent="0.3">
      <c r="A3868" t="s">
        <v>52</v>
      </c>
    </row>
    <row r="3869" spans="1:1" x14ac:dyDescent="0.3">
      <c r="A3869" t="s">
        <v>79</v>
      </c>
    </row>
    <row r="3870" spans="1:1" x14ac:dyDescent="0.3">
      <c r="A3870" t="s">
        <v>98</v>
      </c>
    </row>
    <row r="3871" spans="1:1" x14ac:dyDescent="0.3">
      <c r="A3871" t="s">
        <v>13</v>
      </c>
    </row>
    <row r="3872" spans="1:1" x14ac:dyDescent="0.3">
      <c r="A3872" t="s">
        <v>105</v>
      </c>
    </row>
    <row r="3873" spans="1:1" x14ac:dyDescent="0.3">
      <c r="A3873" t="s">
        <v>1996</v>
      </c>
    </row>
    <row r="3874" spans="1:1" x14ac:dyDescent="0.3">
      <c r="A3874" t="s">
        <v>1157</v>
      </c>
    </row>
    <row r="3875" spans="1:1" x14ac:dyDescent="0.3">
      <c r="A3875" t="s">
        <v>1997</v>
      </c>
    </row>
    <row r="3876" spans="1:1" x14ac:dyDescent="0.3">
      <c r="A3876" t="s">
        <v>12</v>
      </c>
    </row>
    <row r="3877" spans="1:1" x14ac:dyDescent="0.3">
      <c r="A3877" t="s">
        <v>13</v>
      </c>
    </row>
    <row r="3878" spans="1:1" x14ac:dyDescent="0.3">
      <c r="A3878" t="s">
        <v>106</v>
      </c>
    </row>
    <row r="3879" spans="1:1" x14ac:dyDescent="0.3">
      <c r="A3879" t="s">
        <v>1998</v>
      </c>
    </row>
    <row r="3880" spans="1:1" x14ac:dyDescent="0.3">
      <c r="A3880" t="s">
        <v>1157</v>
      </c>
    </row>
    <row r="3881" spans="1:1" x14ac:dyDescent="0.3">
      <c r="A3881" t="s">
        <v>1999</v>
      </c>
    </row>
    <row r="3882" spans="1:1" x14ac:dyDescent="0.3">
      <c r="A3882" t="s">
        <v>12</v>
      </c>
    </row>
    <row r="3883" spans="1:1" x14ac:dyDescent="0.3">
      <c r="A3883" t="s">
        <v>40</v>
      </c>
    </row>
    <row r="3885" spans="1:1" x14ac:dyDescent="0.3">
      <c r="A3885" t="s">
        <v>12</v>
      </c>
    </row>
    <row r="3886" spans="1:1" x14ac:dyDescent="0.3">
      <c r="A3886" t="s">
        <v>13</v>
      </c>
    </row>
    <row r="3887" spans="1:1" x14ac:dyDescent="0.3">
      <c r="A3887" t="s">
        <v>2017</v>
      </c>
    </row>
    <row r="3888" spans="1:1" x14ac:dyDescent="0.3">
      <c r="A3888" t="s">
        <v>2018</v>
      </c>
    </row>
    <row r="3889" spans="1:1" x14ac:dyDescent="0.3">
      <c r="A3889" t="s">
        <v>2019</v>
      </c>
    </row>
    <row r="3890" spans="1:1" x14ac:dyDescent="0.3">
      <c r="A3890" t="s">
        <v>1153</v>
      </c>
    </row>
    <row r="3891" spans="1:1" x14ac:dyDescent="0.3">
      <c r="A3891" t="s">
        <v>110</v>
      </c>
    </row>
    <row r="3892" spans="1:1" x14ac:dyDescent="0.3">
      <c r="A3892" t="s">
        <v>1154</v>
      </c>
    </row>
    <row r="3893" spans="1:1" x14ac:dyDescent="0.3">
      <c r="A3893" t="s">
        <v>2020</v>
      </c>
    </row>
    <row r="3894" spans="1:1" x14ac:dyDescent="0.3">
      <c r="A3894" t="s">
        <v>51</v>
      </c>
    </row>
    <row r="3895" spans="1:1" x14ac:dyDescent="0.3">
      <c r="A3895" t="s">
        <v>52</v>
      </c>
    </row>
    <row r="3896" spans="1:1" x14ac:dyDescent="0.3">
      <c r="A3896" t="s">
        <v>79</v>
      </c>
    </row>
    <row r="3898" spans="1:1" x14ac:dyDescent="0.3">
      <c r="A3898" t="s">
        <v>12</v>
      </c>
    </row>
    <row r="3899" spans="1:1" x14ac:dyDescent="0.3">
      <c r="A3899" t="s">
        <v>13</v>
      </c>
    </row>
    <row r="3900" spans="1:1" x14ac:dyDescent="0.3">
      <c r="A3900" t="s">
        <v>2021</v>
      </c>
    </row>
    <row r="3901" spans="1:1" x14ac:dyDescent="0.3">
      <c r="A3901" t="s">
        <v>2018</v>
      </c>
    </row>
    <row r="3902" spans="1:1" x14ac:dyDescent="0.3">
      <c r="A3902" t="s">
        <v>2022</v>
      </c>
    </row>
    <row r="3903" spans="1:1" x14ac:dyDescent="0.3">
      <c r="A3903" t="s">
        <v>1153</v>
      </c>
    </row>
    <row r="3904" spans="1:1" x14ac:dyDescent="0.3">
      <c r="A3904" t="s">
        <v>110</v>
      </c>
    </row>
    <row r="3905" spans="1:1" x14ac:dyDescent="0.3">
      <c r="A3905" t="s">
        <v>1154</v>
      </c>
    </row>
    <row r="3906" spans="1:1" x14ac:dyDescent="0.3">
      <c r="A3906" t="s">
        <v>2023</v>
      </c>
    </row>
    <row r="3907" spans="1:1" x14ac:dyDescent="0.3">
      <c r="A3907" t="s">
        <v>51</v>
      </c>
    </row>
    <row r="3908" spans="1:1" x14ac:dyDescent="0.3">
      <c r="A3908" t="s">
        <v>52</v>
      </c>
    </row>
    <row r="3909" spans="1:1" x14ac:dyDescent="0.3">
      <c r="A3909" t="s">
        <v>79</v>
      </c>
    </row>
    <row r="3911" spans="1:1" x14ac:dyDescent="0.3">
      <c r="A3911" t="s">
        <v>12</v>
      </c>
    </row>
    <row r="3912" spans="1:1" x14ac:dyDescent="0.3">
      <c r="A3912" t="s">
        <v>13</v>
      </c>
    </row>
    <row r="3913" spans="1:1" x14ac:dyDescent="0.3">
      <c r="A3913" t="s">
        <v>2024</v>
      </c>
    </row>
    <row r="3914" spans="1:1" x14ac:dyDescent="0.3">
      <c r="A3914" t="s">
        <v>2025</v>
      </c>
    </row>
    <row r="3915" spans="1:1" x14ac:dyDescent="0.3">
      <c r="A3915" t="s">
        <v>2026</v>
      </c>
    </row>
    <row r="3916" spans="1:1" x14ac:dyDescent="0.3">
      <c r="A3916" t="s">
        <v>1153</v>
      </c>
    </row>
    <row r="3917" spans="1:1" x14ac:dyDescent="0.3">
      <c r="A3917" t="s">
        <v>110</v>
      </c>
    </row>
    <row r="3918" spans="1:1" x14ac:dyDescent="0.3">
      <c r="A3918" t="s">
        <v>1154</v>
      </c>
    </row>
    <row r="3919" spans="1:1" x14ac:dyDescent="0.3">
      <c r="A3919" t="s">
        <v>2027</v>
      </c>
    </row>
    <row r="3920" spans="1:1" x14ac:dyDescent="0.3">
      <c r="A3920" t="s">
        <v>51</v>
      </c>
    </row>
    <row r="3921" spans="1:1" x14ac:dyDescent="0.3">
      <c r="A3921" t="s">
        <v>52</v>
      </c>
    </row>
    <row r="3922" spans="1:1" x14ac:dyDescent="0.3">
      <c r="A3922" t="s">
        <v>79</v>
      </c>
    </row>
    <row r="3924" spans="1:1" x14ac:dyDescent="0.3">
      <c r="A3924" t="s">
        <v>12</v>
      </c>
    </row>
    <row r="3925" spans="1:1" x14ac:dyDescent="0.3">
      <c r="A3925" t="s">
        <v>13</v>
      </c>
    </row>
    <row r="3926" spans="1:1" x14ac:dyDescent="0.3">
      <c r="A3926" t="s">
        <v>2028</v>
      </c>
    </row>
    <row r="3927" spans="1:1" x14ac:dyDescent="0.3">
      <c r="A3927" t="s">
        <v>2025</v>
      </c>
    </row>
    <row r="3928" spans="1:1" x14ac:dyDescent="0.3">
      <c r="A3928" t="s">
        <v>2029</v>
      </c>
    </row>
    <row r="3929" spans="1:1" x14ac:dyDescent="0.3">
      <c r="A3929" t="s">
        <v>1153</v>
      </c>
    </row>
    <row r="3930" spans="1:1" x14ac:dyDescent="0.3">
      <c r="A3930" t="s">
        <v>110</v>
      </c>
    </row>
    <row r="3931" spans="1:1" x14ac:dyDescent="0.3">
      <c r="A3931" t="s">
        <v>1154</v>
      </c>
    </row>
    <row r="3932" spans="1:1" x14ac:dyDescent="0.3">
      <c r="A3932" t="s">
        <v>2030</v>
      </c>
    </row>
    <row r="3933" spans="1:1" x14ac:dyDescent="0.3">
      <c r="A3933" t="s">
        <v>51</v>
      </c>
    </row>
    <row r="3934" spans="1:1" x14ac:dyDescent="0.3">
      <c r="A3934" t="s">
        <v>52</v>
      </c>
    </row>
    <row r="3935" spans="1:1" x14ac:dyDescent="0.3">
      <c r="A3935" t="s">
        <v>79</v>
      </c>
    </row>
    <row r="3937" spans="1:1" x14ac:dyDescent="0.3">
      <c r="A3937" t="s">
        <v>12</v>
      </c>
    </row>
    <row r="3938" spans="1:1" x14ac:dyDescent="0.3">
      <c r="A3938" t="s">
        <v>13</v>
      </c>
    </row>
    <row r="3939" spans="1:1" x14ac:dyDescent="0.3">
      <c r="A3939" t="s">
        <v>2031</v>
      </c>
    </row>
    <row r="3940" spans="1:1" x14ac:dyDescent="0.3">
      <c r="A3940" t="s">
        <v>2025</v>
      </c>
    </row>
    <row r="3941" spans="1:1" x14ac:dyDescent="0.3">
      <c r="A3941" t="s">
        <v>2032</v>
      </c>
    </row>
    <row r="3942" spans="1:1" x14ac:dyDescent="0.3">
      <c r="A3942" t="s">
        <v>1153</v>
      </c>
    </row>
    <row r="3943" spans="1:1" x14ac:dyDescent="0.3">
      <c r="A3943" t="s">
        <v>110</v>
      </c>
    </row>
    <row r="3944" spans="1:1" x14ac:dyDescent="0.3">
      <c r="A3944" t="s">
        <v>1154</v>
      </c>
    </row>
    <row r="3945" spans="1:1" x14ac:dyDescent="0.3">
      <c r="A3945" t="s">
        <v>2033</v>
      </c>
    </row>
    <row r="3946" spans="1:1" x14ac:dyDescent="0.3">
      <c r="A3946" t="s">
        <v>51</v>
      </c>
    </row>
    <row r="3947" spans="1:1" x14ac:dyDescent="0.3">
      <c r="A3947" t="s">
        <v>52</v>
      </c>
    </row>
    <row r="3948" spans="1:1" x14ac:dyDescent="0.3">
      <c r="A3948" t="s">
        <v>79</v>
      </c>
    </row>
    <row r="3950" spans="1:1" x14ac:dyDescent="0.3">
      <c r="A3950" t="s">
        <v>12</v>
      </c>
    </row>
    <row r="3951" spans="1:1" x14ac:dyDescent="0.3">
      <c r="A3951" t="s">
        <v>13</v>
      </c>
    </row>
    <row r="3952" spans="1:1" x14ac:dyDescent="0.3">
      <c r="A3952" t="s">
        <v>2034</v>
      </c>
    </row>
    <row r="3953" spans="1:1" x14ac:dyDescent="0.3">
      <c r="A3953" t="s">
        <v>2035</v>
      </c>
    </row>
    <row r="3954" spans="1:1" x14ac:dyDescent="0.3">
      <c r="A3954" t="s">
        <v>2036</v>
      </c>
    </row>
    <row r="3955" spans="1:1" x14ac:dyDescent="0.3">
      <c r="A3955" t="s">
        <v>1153</v>
      </c>
    </row>
    <row r="3956" spans="1:1" x14ac:dyDescent="0.3">
      <c r="A3956" t="s">
        <v>110</v>
      </c>
    </row>
    <row r="3957" spans="1:1" x14ac:dyDescent="0.3">
      <c r="A3957" t="s">
        <v>1154</v>
      </c>
    </row>
    <row r="3958" spans="1:1" x14ac:dyDescent="0.3">
      <c r="A3958" t="s">
        <v>2037</v>
      </c>
    </row>
    <row r="3959" spans="1:1" x14ac:dyDescent="0.3">
      <c r="A3959" t="s">
        <v>51</v>
      </c>
    </row>
    <row r="3960" spans="1:1" x14ac:dyDescent="0.3">
      <c r="A3960" t="s">
        <v>52</v>
      </c>
    </row>
    <row r="3961" spans="1:1" x14ac:dyDescent="0.3">
      <c r="A3961" t="s">
        <v>79</v>
      </c>
    </row>
    <row r="3962" spans="1:1" x14ac:dyDescent="0.3">
      <c r="A3962" t="s">
        <v>98</v>
      </c>
    </row>
    <row r="3963" spans="1:1" x14ac:dyDescent="0.3">
      <c r="A3963" t="s">
        <v>13</v>
      </c>
    </row>
    <row r="3964" spans="1:1" x14ac:dyDescent="0.3">
      <c r="A3964" t="s">
        <v>105</v>
      </c>
    </row>
    <row r="3965" spans="1:1" x14ac:dyDescent="0.3">
      <c r="A3965" t="s">
        <v>2038</v>
      </c>
    </row>
    <row r="3966" spans="1:1" x14ac:dyDescent="0.3">
      <c r="A3966" t="s">
        <v>1157</v>
      </c>
    </row>
    <row r="3967" spans="1:1" x14ac:dyDescent="0.3">
      <c r="A3967" t="s">
        <v>2039</v>
      </c>
    </row>
    <row r="3968" spans="1:1" x14ac:dyDescent="0.3">
      <c r="A3968" t="s">
        <v>12</v>
      </c>
    </row>
    <row r="3969" spans="1:1" x14ac:dyDescent="0.3">
      <c r="A3969" t="s">
        <v>13</v>
      </c>
    </row>
    <row r="3970" spans="1:1" x14ac:dyDescent="0.3">
      <c r="A3970" t="s">
        <v>106</v>
      </c>
    </row>
    <row r="3971" spans="1:1" x14ac:dyDescent="0.3">
      <c r="A3971" t="s">
        <v>2040</v>
      </c>
    </row>
    <row r="3972" spans="1:1" x14ac:dyDescent="0.3">
      <c r="A3972" t="s">
        <v>1157</v>
      </c>
    </row>
    <row r="3973" spans="1:1" x14ac:dyDescent="0.3">
      <c r="A3973" t="s">
        <v>2041</v>
      </c>
    </row>
    <row r="3974" spans="1:1" x14ac:dyDescent="0.3">
      <c r="A3974" t="s">
        <v>12</v>
      </c>
    </row>
    <row r="3975" spans="1:1" x14ac:dyDescent="0.3">
      <c r="A3975" t="s">
        <v>40</v>
      </c>
    </row>
    <row r="3977" spans="1:1" x14ac:dyDescent="0.3">
      <c r="A3977" t="s">
        <v>12</v>
      </c>
    </row>
    <row r="3978" spans="1:1" x14ac:dyDescent="0.3">
      <c r="A3978" t="s">
        <v>13</v>
      </c>
    </row>
    <row r="3979" spans="1:1" x14ac:dyDescent="0.3">
      <c r="A3979" t="s">
        <v>2042</v>
      </c>
    </row>
    <row r="3980" spans="1:1" x14ac:dyDescent="0.3">
      <c r="A3980" t="s">
        <v>1993</v>
      </c>
    </row>
    <row r="3981" spans="1:1" x14ac:dyDescent="0.3">
      <c r="A3981" t="s">
        <v>2043</v>
      </c>
    </row>
    <row r="3982" spans="1:1" x14ac:dyDescent="0.3">
      <c r="A3982" t="s">
        <v>1153</v>
      </c>
    </row>
    <row r="3983" spans="1:1" x14ac:dyDescent="0.3">
      <c r="A3983" t="s">
        <v>110</v>
      </c>
    </row>
    <row r="3984" spans="1:1" x14ac:dyDescent="0.3">
      <c r="A3984" t="s">
        <v>1154</v>
      </c>
    </row>
    <row r="3985" spans="1:1" x14ac:dyDescent="0.3">
      <c r="A3985" t="s">
        <v>2044</v>
      </c>
    </row>
    <row r="3986" spans="1:1" x14ac:dyDescent="0.3">
      <c r="A3986" t="s">
        <v>51</v>
      </c>
    </row>
    <row r="3987" spans="1:1" x14ac:dyDescent="0.3">
      <c r="A3987" t="s">
        <v>52</v>
      </c>
    </row>
    <row r="3988" spans="1:1" x14ac:dyDescent="0.3">
      <c r="A3988" t="s">
        <v>79</v>
      </c>
    </row>
    <row r="3989" spans="1:1" x14ac:dyDescent="0.3">
      <c r="A3989" t="s">
        <v>98</v>
      </c>
    </row>
    <row r="3990" spans="1:1" x14ac:dyDescent="0.3">
      <c r="A3990" t="s">
        <v>13</v>
      </c>
    </row>
    <row r="3991" spans="1:1" x14ac:dyDescent="0.3">
      <c r="A3991" t="s">
        <v>105</v>
      </c>
    </row>
    <row r="3992" spans="1:1" x14ac:dyDescent="0.3">
      <c r="A3992" t="s">
        <v>1996</v>
      </c>
    </row>
    <row r="3993" spans="1:1" x14ac:dyDescent="0.3">
      <c r="A3993" t="s">
        <v>1157</v>
      </c>
    </row>
    <row r="3994" spans="1:1" x14ac:dyDescent="0.3">
      <c r="A3994" t="s">
        <v>1997</v>
      </c>
    </row>
    <row r="3995" spans="1:1" x14ac:dyDescent="0.3">
      <c r="A3995" t="s">
        <v>12</v>
      </c>
    </row>
    <row r="3996" spans="1:1" x14ac:dyDescent="0.3">
      <c r="A3996" t="s">
        <v>13</v>
      </c>
    </row>
    <row r="3997" spans="1:1" x14ac:dyDescent="0.3">
      <c r="A3997" t="s">
        <v>106</v>
      </c>
    </row>
    <row r="3998" spans="1:1" x14ac:dyDescent="0.3">
      <c r="A3998" t="s">
        <v>1998</v>
      </c>
    </row>
    <row r="3999" spans="1:1" x14ac:dyDescent="0.3">
      <c r="A3999" t="s">
        <v>1157</v>
      </c>
    </row>
    <row r="4000" spans="1:1" x14ac:dyDescent="0.3">
      <c r="A4000" t="s">
        <v>1999</v>
      </c>
    </row>
    <row r="4001" spans="1:1" x14ac:dyDescent="0.3">
      <c r="A4001" t="s">
        <v>12</v>
      </c>
    </row>
    <row r="4002" spans="1:1" x14ac:dyDescent="0.3">
      <c r="A4002" t="s">
        <v>40</v>
      </c>
    </row>
    <row r="4004" spans="1:1" x14ac:dyDescent="0.3">
      <c r="A4004" t="s">
        <v>12</v>
      </c>
    </row>
    <row r="4005" spans="1:1" x14ac:dyDescent="0.3">
      <c r="A4005" t="s">
        <v>13</v>
      </c>
    </row>
    <row r="4006" spans="1:1" x14ac:dyDescent="0.3">
      <c r="A4006" t="s">
        <v>2045</v>
      </c>
    </row>
    <row r="4007" spans="1:1" x14ac:dyDescent="0.3">
      <c r="A4007" t="s">
        <v>2046</v>
      </c>
    </row>
    <row r="4008" spans="1:1" x14ac:dyDescent="0.3">
      <c r="A4008" t="s">
        <v>2047</v>
      </c>
    </row>
    <row r="4009" spans="1:1" x14ac:dyDescent="0.3">
      <c r="A4009" t="s">
        <v>1153</v>
      </c>
    </row>
    <row r="4010" spans="1:1" x14ac:dyDescent="0.3">
      <c r="A4010" t="s">
        <v>110</v>
      </c>
    </row>
    <row r="4011" spans="1:1" x14ac:dyDescent="0.3">
      <c r="A4011" t="s">
        <v>1154</v>
      </c>
    </row>
    <row r="4012" spans="1:1" x14ac:dyDescent="0.3">
      <c r="A4012" t="s">
        <v>2048</v>
      </c>
    </row>
    <row r="4013" spans="1:1" x14ac:dyDescent="0.3">
      <c r="A4013" t="s">
        <v>51</v>
      </c>
    </row>
    <row r="4014" spans="1:1" x14ac:dyDescent="0.3">
      <c r="A4014" t="s">
        <v>52</v>
      </c>
    </row>
    <row r="4015" spans="1:1" x14ac:dyDescent="0.3">
      <c r="A4015" t="s">
        <v>79</v>
      </c>
    </row>
    <row r="4016" spans="1:1" x14ac:dyDescent="0.3">
      <c r="A4016" t="s">
        <v>98</v>
      </c>
    </row>
    <row r="4017" spans="1:1" x14ac:dyDescent="0.3">
      <c r="A4017" t="s">
        <v>13</v>
      </c>
    </row>
    <row r="4018" spans="1:1" x14ac:dyDescent="0.3">
      <c r="A4018" t="s">
        <v>105</v>
      </c>
    </row>
    <row r="4019" spans="1:1" x14ac:dyDescent="0.3">
      <c r="A4019" t="s">
        <v>2049</v>
      </c>
    </row>
    <row r="4020" spans="1:1" x14ac:dyDescent="0.3">
      <c r="A4020" t="s">
        <v>1157</v>
      </c>
    </row>
    <row r="4021" spans="1:1" x14ac:dyDescent="0.3">
      <c r="A4021" t="s">
        <v>2050</v>
      </c>
    </row>
    <row r="4022" spans="1:1" x14ac:dyDescent="0.3">
      <c r="A4022" t="s">
        <v>12</v>
      </c>
    </row>
    <row r="4023" spans="1:1" x14ac:dyDescent="0.3">
      <c r="A4023" t="s">
        <v>13</v>
      </c>
    </row>
    <row r="4024" spans="1:1" x14ac:dyDescent="0.3">
      <c r="A4024" t="s">
        <v>106</v>
      </c>
    </row>
    <row r="4025" spans="1:1" x14ac:dyDescent="0.3">
      <c r="A4025" t="s">
        <v>2051</v>
      </c>
    </row>
    <row r="4026" spans="1:1" x14ac:dyDescent="0.3">
      <c r="A4026" t="s">
        <v>1157</v>
      </c>
    </row>
    <row r="4027" spans="1:1" x14ac:dyDescent="0.3">
      <c r="A4027" t="s">
        <v>2052</v>
      </c>
    </row>
    <row r="4028" spans="1:1" x14ac:dyDescent="0.3">
      <c r="A4028" t="s">
        <v>12</v>
      </c>
    </row>
    <row r="4029" spans="1:1" x14ac:dyDescent="0.3">
      <c r="A4029" t="s">
        <v>40</v>
      </c>
    </row>
    <row r="4031" spans="1:1" x14ac:dyDescent="0.3">
      <c r="A4031" t="s">
        <v>12</v>
      </c>
    </row>
    <row r="4032" spans="1:1" x14ac:dyDescent="0.3">
      <c r="A4032" t="s">
        <v>13</v>
      </c>
    </row>
    <row r="4033" spans="1:1" x14ac:dyDescent="0.3">
      <c r="A4033" t="s">
        <v>2053</v>
      </c>
    </row>
    <row r="4034" spans="1:1" x14ac:dyDescent="0.3">
      <c r="A4034" t="s">
        <v>2054</v>
      </c>
    </row>
    <row r="4035" spans="1:1" x14ac:dyDescent="0.3">
      <c r="A4035" t="s">
        <v>2055</v>
      </c>
    </row>
    <row r="4036" spans="1:1" x14ac:dyDescent="0.3">
      <c r="A4036" t="s">
        <v>1153</v>
      </c>
    </row>
    <row r="4037" spans="1:1" x14ac:dyDescent="0.3">
      <c r="A4037" t="s">
        <v>110</v>
      </c>
    </row>
    <row r="4038" spans="1:1" x14ac:dyDescent="0.3">
      <c r="A4038" t="s">
        <v>1154</v>
      </c>
    </row>
    <row r="4039" spans="1:1" x14ac:dyDescent="0.3">
      <c r="A4039" t="s">
        <v>2056</v>
      </c>
    </row>
    <row r="4040" spans="1:1" x14ac:dyDescent="0.3">
      <c r="A4040" t="s">
        <v>51</v>
      </c>
    </row>
    <row r="4041" spans="1:1" x14ac:dyDescent="0.3">
      <c r="A4041" t="s">
        <v>52</v>
      </c>
    </row>
    <row r="4042" spans="1:1" x14ac:dyDescent="0.3">
      <c r="A4042" t="s">
        <v>79</v>
      </c>
    </row>
    <row r="4043" spans="1:1" x14ac:dyDescent="0.3">
      <c r="A4043" t="s">
        <v>98</v>
      </c>
    </row>
    <row r="4044" spans="1:1" x14ac:dyDescent="0.3">
      <c r="A4044" t="s">
        <v>13</v>
      </c>
    </row>
    <row r="4045" spans="1:1" x14ac:dyDescent="0.3">
      <c r="A4045" t="s">
        <v>105</v>
      </c>
    </row>
    <row r="4046" spans="1:1" x14ac:dyDescent="0.3">
      <c r="A4046" t="s">
        <v>2057</v>
      </c>
    </row>
    <row r="4047" spans="1:1" x14ac:dyDescent="0.3">
      <c r="A4047" t="s">
        <v>1157</v>
      </c>
    </row>
    <row r="4048" spans="1:1" x14ac:dyDescent="0.3">
      <c r="A4048" t="s">
        <v>2058</v>
      </c>
    </row>
    <row r="4049" spans="1:1" x14ac:dyDescent="0.3">
      <c r="A4049" t="s">
        <v>12</v>
      </c>
    </row>
    <row r="4050" spans="1:1" x14ac:dyDescent="0.3">
      <c r="A4050" t="s">
        <v>13</v>
      </c>
    </row>
    <row r="4051" spans="1:1" x14ac:dyDescent="0.3">
      <c r="A4051" t="s">
        <v>106</v>
      </c>
    </row>
    <row r="4052" spans="1:1" x14ac:dyDescent="0.3">
      <c r="A4052" t="s">
        <v>2059</v>
      </c>
    </row>
    <row r="4053" spans="1:1" x14ac:dyDescent="0.3">
      <c r="A4053" t="s">
        <v>1157</v>
      </c>
    </row>
    <row r="4054" spans="1:1" x14ac:dyDescent="0.3">
      <c r="A4054" t="s">
        <v>2060</v>
      </c>
    </row>
    <row r="4055" spans="1:1" x14ac:dyDescent="0.3">
      <c r="A4055" t="s">
        <v>12</v>
      </c>
    </row>
    <row r="4056" spans="1:1" x14ac:dyDescent="0.3">
      <c r="A4056" t="s">
        <v>40</v>
      </c>
    </row>
    <row r="4058" spans="1:1" x14ac:dyDescent="0.3">
      <c r="A4058" t="s">
        <v>12</v>
      </c>
    </row>
    <row r="4059" spans="1:1" x14ac:dyDescent="0.3">
      <c r="A4059" t="s">
        <v>13</v>
      </c>
    </row>
    <row r="4060" spans="1:1" x14ac:dyDescent="0.3">
      <c r="A4060" t="s">
        <v>2061</v>
      </c>
    </row>
    <row r="4061" spans="1:1" x14ac:dyDescent="0.3">
      <c r="A4061" t="s">
        <v>2062</v>
      </c>
    </row>
    <row r="4062" spans="1:1" x14ac:dyDescent="0.3">
      <c r="A4062" t="s">
        <v>2063</v>
      </c>
    </row>
    <row r="4063" spans="1:1" x14ac:dyDescent="0.3">
      <c r="A4063" t="s">
        <v>1153</v>
      </c>
    </row>
    <row r="4064" spans="1:1" x14ac:dyDescent="0.3">
      <c r="A4064" t="s">
        <v>110</v>
      </c>
    </row>
    <row r="4065" spans="1:1" x14ac:dyDescent="0.3">
      <c r="A4065" t="s">
        <v>1154</v>
      </c>
    </row>
    <row r="4066" spans="1:1" x14ac:dyDescent="0.3">
      <c r="A4066" t="s">
        <v>2064</v>
      </c>
    </row>
    <row r="4067" spans="1:1" x14ac:dyDescent="0.3">
      <c r="A4067" t="s">
        <v>51</v>
      </c>
    </row>
    <row r="4068" spans="1:1" x14ac:dyDescent="0.3">
      <c r="A4068" t="s">
        <v>52</v>
      </c>
    </row>
    <row r="4069" spans="1:1" x14ac:dyDescent="0.3">
      <c r="A4069" t="s">
        <v>79</v>
      </c>
    </row>
    <row r="4070" spans="1:1" x14ac:dyDescent="0.3">
      <c r="A4070" t="s">
        <v>98</v>
      </c>
    </row>
    <row r="4071" spans="1:1" x14ac:dyDescent="0.3">
      <c r="A4071" t="s">
        <v>13</v>
      </c>
    </row>
    <row r="4072" spans="1:1" x14ac:dyDescent="0.3">
      <c r="A4072" t="s">
        <v>105</v>
      </c>
    </row>
    <row r="4073" spans="1:1" x14ac:dyDescent="0.3">
      <c r="A4073" t="s">
        <v>2065</v>
      </c>
    </row>
    <row r="4074" spans="1:1" x14ac:dyDescent="0.3">
      <c r="A4074" t="s">
        <v>1157</v>
      </c>
    </row>
    <row r="4075" spans="1:1" x14ac:dyDescent="0.3">
      <c r="A4075" t="s">
        <v>2066</v>
      </c>
    </row>
    <row r="4076" spans="1:1" x14ac:dyDescent="0.3">
      <c r="A4076" t="s">
        <v>12</v>
      </c>
    </row>
    <row r="4077" spans="1:1" x14ac:dyDescent="0.3">
      <c r="A4077" t="s">
        <v>13</v>
      </c>
    </row>
    <row r="4078" spans="1:1" x14ac:dyDescent="0.3">
      <c r="A4078" t="s">
        <v>106</v>
      </c>
    </row>
    <row r="4079" spans="1:1" x14ac:dyDescent="0.3">
      <c r="A4079" t="s">
        <v>2067</v>
      </c>
    </row>
    <row r="4080" spans="1:1" x14ac:dyDescent="0.3">
      <c r="A4080" t="s">
        <v>1157</v>
      </c>
    </row>
    <row r="4081" spans="1:1" x14ac:dyDescent="0.3">
      <c r="A4081" t="s">
        <v>2068</v>
      </c>
    </row>
    <row r="4082" spans="1:1" x14ac:dyDescent="0.3">
      <c r="A4082" t="s">
        <v>12</v>
      </c>
    </row>
    <row r="4083" spans="1:1" x14ac:dyDescent="0.3">
      <c r="A4083" t="s">
        <v>40</v>
      </c>
    </row>
    <row r="4085" spans="1:1" x14ac:dyDescent="0.3">
      <c r="A4085" t="s">
        <v>12</v>
      </c>
    </row>
    <row r="4086" spans="1:1" x14ac:dyDescent="0.3">
      <c r="A4086" t="s">
        <v>13</v>
      </c>
    </row>
    <row r="4087" spans="1:1" x14ac:dyDescent="0.3">
      <c r="A4087" t="s">
        <v>2069</v>
      </c>
    </row>
    <row r="4088" spans="1:1" x14ac:dyDescent="0.3">
      <c r="A4088" t="s">
        <v>2070</v>
      </c>
    </row>
    <row r="4089" spans="1:1" x14ac:dyDescent="0.3">
      <c r="A4089" t="s">
        <v>2071</v>
      </c>
    </row>
    <row r="4090" spans="1:1" x14ac:dyDescent="0.3">
      <c r="A4090" t="s">
        <v>1153</v>
      </c>
    </row>
    <row r="4091" spans="1:1" x14ac:dyDescent="0.3">
      <c r="A4091" t="s">
        <v>110</v>
      </c>
    </row>
    <row r="4092" spans="1:1" x14ac:dyDescent="0.3">
      <c r="A4092" t="s">
        <v>1154</v>
      </c>
    </row>
    <row r="4093" spans="1:1" x14ac:dyDescent="0.3">
      <c r="A4093" t="s">
        <v>2072</v>
      </c>
    </row>
    <row r="4094" spans="1:1" x14ac:dyDescent="0.3">
      <c r="A4094" t="s">
        <v>51</v>
      </c>
    </row>
    <row r="4095" spans="1:1" x14ac:dyDescent="0.3">
      <c r="A4095" t="s">
        <v>52</v>
      </c>
    </row>
    <row r="4096" spans="1:1" x14ac:dyDescent="0.3">
      <c r="A4096" t="s">
        <v>79</v>
      </c>
    </row>
    <row r="4097" spans="1:1" x14ac:dyDescent="0.3">
      <c r="A4097" t="s">
        <v>98</v>
      </c>
    </row>
    <row r="4098" spans="1:1" x14ac:dyDescent="0.3">
      <c r="A4098" t="s">
        <v>13</v>
      </c>
    </row>
    <row r="4099" spans="1:1" x14ac:dyDescent="0.3">
      <c r="A4099" t="s">
        <v>105</v>
      </c>
    </row>
    <row r="4100" spans="1:1" x14ac:dyDescent="0.3">
      <c r="A4100" t="s">
        <v>2073</v>
      </c>
    </row>
    <row r="4101" spans="1:1" x14ac:dyDescent="0.3">
      <c r="A4101" t="s">
        <v>1157</v>
      </c>
    </row>
    <row r="4102" spans="1:1" x14ac:dyDescent="0.3">
      <c r="A4102" t="s">
        <v>2074</v>
      </c>
    </row>
    <row r="4103" spans="1:1" x14ac:dyDescent="0.3">
      <c r="A4103" t="s">
        <v>12</v>
      </c>
    </row>
    <row r="4104" spans="1:1" x14ac:dyDescent="0.3">
      <c r="A4104" t="s">
        <v>13</v>
      </c>
    </row>
    <row r="4105" spans="1:1" x14ac:dyDescent="0.3">
      <c r="A4105" t="s">
        <v>106</v>
      </c>
    </row>
    <row r="4106" spans="1:1" x14ac:dyDescent="0.3">
      <c r="A4106" t="s">
        <v>2075</v>
      </c>
    </row>
    <row r="4107" spans="1:1" x14ac:dyDescent="0.3">
      <c r="A4107" t="s">
        <v>1157</v>
      </c>
    </row>
    <row r="4108" spans="1:1" x14ac:dyDescent="0.3">
      <c r="A4108" t="s">
        <v>2076</v>
      </c>
    </row>
    <row r="4109" spans="1:1" x14ac:dyDescent="0.3">
      <c r="A4109" t="s">
        <v>12</v>
      </c>
    </row>
    <row r="4110" spans="1:1" x14ac:dyDescent="0.3">
      <c r="A4110" t="s">
        <v>40</v>
      </c>
    </row>
    <row r="4112" spans="1:1" x14ac:dyDescent="0.3">
      <c r="A4112" t="s">
        <v>12</v>
      </c>
    </row>
    <row r="4113" spans="1:1" x14ac:dyDescent="0.3">
      <c r="A4113" t="s">
        <v>13</v>
      </c>
    </row>
    <row r="4114" spans="1:1" x14ac:dyDescent="0.3">
      <c r="A4114" t="s">
        <v>2077</v>
      </c>
    </row>
    <row r="4115" spans="1:1" x14ac:dyDescent="0.3">
      <c r="A4115" t="s">
        <v>2078</v>
      </c>
    </row>
    <row r="4116" spans="1:1" x14ac:dyDescent="0.3">
      <c r="A4116" t="s">
        <v>2079</v>
      </c>
    </row>
    <row r="4117" spans="1:1" x14ac:dyDescent="0.3">
      <c r="A4117" t="s">
        <v>1153</v>
      </c>
    </row>
    <row r="4118" spans="1:1" x14ac:dyDescent="0.3">
      <c r="A4118" t="s">
        <v>110</v>
      </c>
    </row>
    <row r="4119" spans="1:1" x14ac:dyDescent="0.3">
      <c r="A4119" t="s">
        <v>1154</v>
      </c>
    </row>
    <row r="4120" spans="1:1" x14ac:dyDescent="0.3">
      <c r="A4120" t="s">
        <v>2080</v>
      </c>
    </row>
    <row r="4121" spans="1:1" x14ac:dyDescent="0.3">
      <c r="A4121" t="s">
        <v>51</v>
      </c>
    </row>
    <row r="4122" spans="1:1" x14ac:dyDescent="0.3">
      <c r="A4122" t="s">
        <v>52</v>
      </c>
    </row>
    <row r="4123" spans="1:1" x14ac:dyDescent="0.3">
      <c r="A4123" t="s">
        <v>79</v>
      </c>
    </row>
    <row r="4124" spans="1:1" x14ac:dyDescent="0.3">
      <c r="A4124" t="s">
        <v>98</v>
      </c>
    </row>
    <row r="4125" spans="1:1" x14ac:dyDescent="0.3">
      <c r="A4125" t="s">
        <v>13</v>
      </c>
    </row>
    <row r="4126" spans="1:1" x14ac:dyDescent="0.3">
      <c r="A4126" t="s">
        <v>105</v>
      </c>
    </row>
    <row r="4127" spans="1:1" x14ac:dyDescent="0.3">
      <c r="A4127" t="s">
        <v>2081</v>
      </c>
    </row>
    <row r="4128" spans="1:1" x14ac:dyDescent="0.3">
      <c r="A4128" t="s">
        <v>1157</v>
      </c>
    </row>
    <row r="4129" spans="1:1" x14ac:dyDescent="0.3">
      <c r="A4129" t="s">
        <v>2082</v>
      </c>
    </row>
    <row r="4130" spans="1:1" x14ac:dyDescent="0.3">
      <c r="A4130" t="s">
        <v>12</v>
      </c>
    </row>
    <row r="4131" spans="1:1" x14ac:dyDescent="0.3">
      <c r="A4131" t="s">
        <v>13</v>
      </c>
    </row>
    <row r="4132" spans="1:1" x14ac:dyDescent="0.3">
      <c r="A4132" t="s">
        <v>106</v>
      </c>
    </row>
    <row r="4133" spans="1:1" x14ac:dyDescent="0.3">
      <c r="A4133" t="s">
        <v>2083</v>
      </c>
    </row>
    <row r="4134" spans="1:1" x14ac:dyDescent="0.3">
      <c r="A4134" t="s">
        <v>1157</v>
      </c>
    </row>
    <row r="4135" spans="1:1" x14ac:dyDescent="0.3">
      <c r="A4135" t="s">
        <v>2084</v>
      </c>
    </row>
    <row r="4136" spans="1:1" x14ac:dyDescent="0.3">
      <c r="A4136" t="s">
        <v>12</v>
      </c>
    </row>
    <row r="4137" spans="1:1" x14ac:dyDescent="0.3">
      <c r="A4137" t="s">
        <v>40</v>
      </c>
    </row>
    <row r="4139" spans="1:1" x14ac:dyDescent="0.3">
      <c r="A4139" t="s">
        <v>12</v>
      </c>
    </row>
    <row r="4140" spans="1:1" x14ac:dyDescent="0.3">
      <c r="A4140" t="s">
        <v>13</v>
      </c>
    </row>
    <row r="4141" spans="1:1" x14ac:dyDescent="0.3">
      <c r="A4141" t="s">
        <v>2085</v>
      </c>
    </row>
    <row r="4142" spans="1:1" x14ac:dyDescent="0.3">
      <c r="A4142" t="s">
        <v>2086</v>
      </c>
    </row>
    <row r="4143" spans="1:1" x14ac:dyDescent="0.3">
      <c r="A4143" t="s">
        <v>2087</v>
      </c>
    </row>
    <row r="4144" spans="1:1" x14ac:dyDescent="0.3">
      <c r="A4144" t="s">
        <v>1153</v>
      </c>
    </row>
    <row r="4145" spans="1:1" x14ac:dyDescent="0.3">
      <c r="A4145" t="s">
        <v>110</v>
      </c>
    </row>
    <row r="4146" spans="1:1" x14ac:dyDescent="0.3">
      <c r="A4146" t="s">
        <v>1154</v>
      </c>
    </row>
    <row r="4147" spans="1:1" x14ac:dyDescent="0.3">
      <c r="A4147" t="s">
        <v>2088</v>
      </c>
    </row>
    <row r="4148" spans="1:1" x14ac:dyDescent="0.3">
      <c r="A4148" t="s">
        <v>51</v>
      </c>
    </row>
    <row r="4149" spans="1:1" x14ac:dyDescent="0.3">
      <c r="A4149" t="s">
        <v>52</v>
      </c>
    </row>
    <row r="4150" spans="1:1" x14ac:dyDescent="0.3">
      <c r="A4150" t="s">
        <v>79</v>
      </c>
    </row>
    <row r="4151" spans="1:1" x14ac:dyDescent="0.3">
      <c r="A4151" t="s">
        <v>98</v>
      </c>
    </row>
    <row r="4152" spans="1:1" x14ac:dyDescent="0.3">
      <c r="A4152" t="s">
        <v>13</v>
      </c>
    </row>
    <row r="4153" spans="1:1" x14ac:dyDescent="0.3">
      <c r="A4153" t="s">
        <v>105</v>
      </c>
    </row>
    <row r="4154" spans="1:1" x14ac:dyDescent="0.3">
      <c r="A4154" t="s">
        <v>2089</v>
      </c>
    </row>
    <row r="4155" spans="1:1" x14ac:dyDescent="0.3">
      <c r="A4155" t="s">
        <v>1157</v>
      </c>
    </row>
    <row r="4156" spans="1:1" x14ac:dyDescent="0.3">
      <c r="A4156" t="s">
        <v>2090</v>
      </c>
    </row>
    <row r="4157" spans="1:1" x14ac:dyDescent="0.3">
      <c r="A4157" t="s">
        <v>12</v>
      </c>
    </row>
    <row r="4158" spans="1:1" x14ac:dyDescent="0.3">
      <c r="A4158" t="s">
        <v>13</v>
      </c>
    </row>
    <row r="4159" spans="1:1" x14ac:dyDescent="0.3">
      <c r="A4159" t="s">
        <v>106</v>
      </c>
    </row>
    <row r="4160" spans="1:1" x14ac:dyDescent="0.3">
      <c r="A4160" t="s">
        <v>2091</v>
      </c>
    </row>
    <row r="4161" spans="1:1" x14ac:dyDescent="0.3">
      <c r="A4161" t="s">
        <v>1157</v>
      </c>
    </row>
    <row r="4162" spans="1:1" x14ac:dyDescent="0.3">
      <c r="A4162" t="s">
        <v>2092</v>
      </c>
    </row>
    <row r="4163" spans="1:1" x14ac:dyDescent="0.3">
      <c r="A4163" t="s">
        <v>12</v>
      </c>
    </row>
    <row r="4164" spans="1:1" x14ac:dyDescent="0.3">
      <c r="A4164" t="s">
        <v>40</v>
      </c>
    </row>
    <row r="4166" spans="1:1" x14ac:dyDescent="0.3">
      <c r="A4166" t="s">
        <v>12</v>
      </c>
    </row>
    <row r="4167" spans="1:1" x14ac:dyDescent="0.3">
      <c r="A4167" t="s">
        <v>13</v>
      </c>
    </row>
    <row r="4168" spans="1:1" x14ac:dyDescent="0.3">
      <c r="A4168" t="s">
        <v>2093</v>
      </c>
    </row>
    <row r="4169" spans="1:1" x14ac:dyDescent="0.3">
      <c r="A4169" t="s">
        <v>2094</v>
      </c>
    </row>
    <row r="4170" spans="1:1" x14ac:dyDescent="0.3">
      <c r="A4170" t="s">
        <v>2095</v>
      </c>
    </row>
    <row r="4171" spans="1:1" x14ac:dyDescent="0.3">
      <c r="A4171" t="s">
        <v>1153</v>
      </c>
    </row>
    <row r="4172" spans="1:1" x14ac:dyDescent="0.3">
      <c r="A4172" t="s">
        <v>110</v>
      </c>
    </row>
    <row r="4173" spans="1:1" x14ac:dyDescent="0.3">
      <c r="A4173" t="s">
        <v>1154</v>
      </c>
    </row>
    <row r="4174" spans="1:1" x14ac:dyDescent="0.3">
      <c r="A4174" t="s">
        <v>2096</v>
      </c>
    </row>
    <row r="4175" spans="1:1" x14ac:dyDescent="0.3">
      <c r="A4175" t="s">
        <v>51</v>
      </c>
    </row>
    <row r="4176" spans="1:1" x14ac:dyDescent="0.3">
      <c r="A4176" t="s">
        <v>52</v>
      </c>
    </row>
    <row r="4177" spans="1:1" x14ac:dyDescent="0.3">
      <c r="A4177" t="s">
        <v>79</v>
      </c>
    </row>
    <row r="4179" spans="1:1" x14ac:dyDescent="0.3">
      <c r="A4179" t="s">
        <v>12</v>
      </c>
    </row>
    <row r="4180" spans="1:1" x14ac:dyDescent="0.3">
      <c r="A4180" t="s">
        <v>13</v>
      </c>
    </row>
    <row r="4181" spans="1:1" x14ac:dyDescent="0.3">
      <c r="A4181" t="s">
        <v>2097</v>
      </c>
    </row>
    <row r="4182" spans="1:1" x14ac:dyDescent="0.3">
      <c r="A4182" t="s">
        <v>2098</v>
      </c>
    </row>
    <row r="4183" spans="1:1" x14ac:dyDescent="0.3">
      <c r="A4183" t="s">
        <v>2099</v>
      </c>
    </row>
    <row r="4184" spans="1:1" x14ac:dyDescent="0.3">
      <c r="A4184" t="s">
        <v>1153</v>
      </c>
    </row>
    <row r="4185" spans="1:1" x14ac:dyDescent="0.3">
      <c r="A4185" t="s">
        <v>110</v>
      </c>
    </row>
    <row r="4186" spans="1:1" x14ac:dyDescent="0.3">
      <c r="A4186" t="s">
        <v>1154</v>
      </c>
    </row>
    <row r="4187" spans="1:1" x14ac:dyDescent="0.3">
      <c r="A4187" t="s">
        <v>2100</v>
      </c>
    </row>
    <row r="4188" spans="1:1" x14ac:dyDescent="0.3">
      <c r="A4188" t="s">
        <v>51</v>
      </c>
    </row>
    <row r="4189" spans="1:1" x14ac:dyDescent="0.3">
      <c r="A4189" t="s">
        <v>52</v>
      </c>
    </row>
    <row r="4190" spans="1:1" x14ac:dyDescent="0.3">
      <c r="A4190" t="s">
        <v>79</v>
      </c>
    </row>
    <row r="4192" spans="1:1" x14ac:dyDescent="0.3">
      <c r="A4192" t="s">
        <v>12</v>
      </c>
    </row>
    <row r="4193" spans="1:1" x14ac:dyDescent="0.3">
      <c r="A4193" t="s">
        <v>13</v>
      </c>
    </row>
    <row r="4194" spans="1:1" x14ac:dyDescent="0.3">
      <c r="A4194" t="s">
        <v>2101</v>
      </c>
    </row>
    <row r="4195" spans="1:1" x14ac:dyDescent="0.3">
      <c r="A4195" t="s">
        <v>2098</v>
      </c>
    </row>
    <row r="4196" spans="1:1" x14ac:dyDescent="0.3">
      <c r="A4196" t="s">
        <v>2102</v>
      </c>
    </row>
    <row r="4197" spans="1:1" x14ac:dyDescent="0.3">
      <c r="A4197" t="s">
        <v>1153</v>
      </c>
    </row>
    <row r="4198" spans="1:1" x14ac:dyDescent="0.3">
      <c r="A4198" t="s">
        <v>110</v>
      </c>
    </row>
    <row r="4199" spans="1:1" x14ac:dyDescent="0.3">
      <c r="A4199" t="s">
        <v>1154</v>
      </c>
    </row>
    <row r="4200" spans="1:1" x14ac:dyDescent="0.3">
      <c r="A4200" t="s">
        <v>2103</v>
      </c>
    </row>
    <row r="4201" spans="1:1" x14ac:dyDescent="0.3">
      <c r="A4201" t="s">
        <v>51</v>
      </c>
    </row>
    <row r="4202" spans="1:1" x14ac:dyDescent="0.3">
      <c r="A4202" t="s">
        <v>52</v>
      </c>
    </row>
    <row r="4203" spans="1:1" x14ac:dyDescent="0.3">
      <c r="A4203" t="s">
        <v>79</v>
      </c>
    </row>
    <row r="4205" spans="1:1" x14ac:dyDescent="0.3">
      <c r="A4205" t="s">
        <v>12</v>
      </c>
    </row>
    <row r="4206" spans="1:1" x14ac:dyDescent="0.3">
      <c r="A4206" t="s">
        <v>13</v>
      </c>
    </row>
    <row r="4207" spans="1:1" x14ac:dyDescent="0.3">
      <c r="A4207" t="s">
        <v>2104</v>
      </c>
    </row>
    <row r="4208" spans="1:1" x14ac:dyDescent="0.3">
      <c r="A4208" t="s">
        <v>2105</v>
      </c>
    </row>
    <row r="4209" spans="1:1" x14ac:dyDescent="0.3">
      <c r="A4209" t="s">
        <v>2106</v>
      </c>
    </row>
    <row r="4210" spans="1:1" x14ac:dyDescent="0.3">
      <c r="A4210" t="s">
        <v>1153</v>
      </c>
    </row>
    <row r="4211" spans="1:1" x14ac:dyDescent="0.3">
      <c r="A4211" t="s">
        <v>110</v>
      </c>
    </row>
    <row r="4212" spans="1:1" x14ac:dyDescent="0.3">
      <c r="A4212" t="s">
        <v>1154</v>
      </c>
    </row>
    <row r="4213" spans="1:1" x14ac:dyDescent="0.3">
      <c r="A4213" t="s">
        <v>2107</v>
      </c>
    </row>
    <row r="4214" spans="1:1" x14ac:dyDescent="0.3">
      <c r="A4214" t="s">
        <v>51</v>
      </c>
    </row>
    <row r="4215" spans="1:1" x14ac:dyDescent="0.3">
      <c r="A4215" t="s">
        <v>52</v>
      </c>
    </row>
    <row r="4216" spans="1:1" x14ac:dyDescent="0.3">
      <c r="A4216" t="s">
        <v>79</v>
      </c>
    </row>
    <row r="4217" spans="1:1" x14ac:dyDescent="0.3">
      <c r="A4217" t="s">
        <v>98</v>
      </c>
    </row>
    <row r="4218" spans="1:1" x14ac:dyDescent="0.3">
      <c r="A4218" t="s">
        <v>13</v>
      </c>
    </row>
    <row r="4219" spans="1:1" x14ac:dyDescent="0.3">
      <c r="A4219" t="s">
        <v>105</v>
      </c>
    </row>
    <row r="4220" spans="1:1" x14ac:dyDescent="0.3">
      <c r="A4220" t="s">
        <v>2108</v>
      </c>
    </row>
    <row r="4221" spans="1:1" x14ac:dyDescent="0.3">
      <c r="A4221" t="s">
        <v>1157</v>
      </c>
    </row>
    <row r="4222" spans="1:1" x14ac:dyDescent="0.3">
      <c r="A4222" t="s">
        <v>2109</v>
      </c>
    </row>
    <row r="4223" spans="1:1" x14ac:dyDescent="0.3">
      <c r="A4223" t="s">
        <v>12</v>
      </c>
    </row>
    <row r="4224" spans="1:1" x14ac:dyDescent="0.3">
      <c r="A4224" t="s">
        <v>13</v>
      </c>
    </row>
    <row r="4225" spans="1:1" x14ac:dyDescent="0.3">
      <c r="A4225" t="s">
        <v>106</v>
      </c>
    </row>
    <row r="4226" spans="1:1" x14ac:dyDescent="0.3">
      <c r="A4226" t="s">
        <v>2110</v>
      </c>
    </row>
    <row r="4227" spans="1:1" x14ac:dyDescent="0.3">
      <c r="A4227" t="s">
        <v>1157</v>
      </c>
    </row>
    <row r="4228" spans="1:1" x14ac:dyDescent="0.3">
      <c r="A4228" t="s">
        <v>2111</v>
      </c>
    </row>
    <row r="4229" spans="1:1" x14ac:dyDescent="0.3">
      <c r="A4229" t="s">
        <v>12</v>
      </c>
    </row>
    <row r="4230" spans="1:1" x14ac:dyDescent="0.3">
      <c r="A4230" t="s">
        <v>40</v>
      </c>
    </row>
    <row r="4232" spans="1:1" x14ac:dyDescent="0.3">
      <c r="A4232" t="s">
        <v>12</v>
      </c>
    </row>
    <row r="4233" spans="1:1" x14ac:dyDescent="0.3">
      <c r="A4233" t="s">
        <v>13</v>
      </c>
    </row>
    <row r="4234" spans="1:1" x14ac:dyDescent="0.3">
      <c r="A4234" t="s">
        <v>2112</v>
      </c>
    </row>
    <row r="4235" spans="1:1" x14ac:dyDescent="0.3">
      <c r="A4235" t="s">
        <v>1758</v>
      </c>
    </row>
    <row r="4236" spans="1:1" x14ac:dyDescent="0.3">
      <c r="A4236" t="s">
        <v>2113</v>
      </c>
    </row>
    <row r="4237" spans="1:1" x14ac:dyDescent="0.3">
      <c r="A4237" t="s">
        <v>1153</v>
      </c>
    </row>
    <row r="4238" spans="1:1" x14ac:dyDescent="0.3">
      <c r="A4238" t="s">
        <v>110</v>
      </c>
    </row>
    <row r="4239" spans="1:1" x14ac:dyDescent="0.3">
      <c r="A4239" t="s">
        <v>1154</v>
      </c>
    </row>
    <row r="4240" spans="1:1" x14ac:dyDescent="0.3">
      <c r="A4240" t="s">
        <v>2114</v>
      </c>
    </row>
    <row r="4241" spans="1:1" x14ac:dyDescent="0.3">
      <c r="A4241" t="s">
        <v>51</v>
      </c>
    </row>
    <row r="4242" spans="1:1" x14ac:dyDescent="0.3">
      <c r="A4242" t="s">
        <v>52</v>
      </c>
    </row>
    <row r="4243" spans="1:1" x14ac:dyDescent="0.3">
      <c r="A4243" t="s">
        <v>79</v>
      </c>
    </row>
    <row r="4244" spans="1:1" x14ac:dyDescent="0.3">
      <c r="A4244" t="s">
        <v>98</v>
      </c>
    </row>
    <row r="4245" spans="1:1" x14ac:dyDescent="0.3">
      <c r="A4245" t="s">
        <v>13</v>
      </c>
    </row>
    <row r="4246" spans="1:1" x14ac:dyDescent="0.3">
      <c r="A4246" t="s">
        <v>105</v>
      </c>
    </row>
    <row r="4247" spans="1:1" x14ac:dyDescent="0.3">
      <c r="A4247" t="s">
        <v>1761</v>
      </c>
    </row>
    <row r="4248" spans="1:1" x14ac:dyDescent="0.3">
      <c r="A4248" t="s">
        <v>1157</v>
      </c>
    </row>
    <row r="4249" spans="1:1" x14ac:dyDescent="0.3">
      <c r="A4249" t="s">
        <v>1762</v>
      </c>
    </row>
    <row r="4250" spans="1:1" x14ac:dyDescent="0.3">
      <c r="A4250" t="s">
        <v>12</v>
      </c>
    </row>
    <row r="4251" spans="1:1" x14ac:dyDescent="0.3">
      <c r="A4251" t="s">
        <v>13</v>
      </c>
    </row>
    <row r="4252" spans="1:1" x14ac:dyDescent="0.3">
      <c r="A4252" t="s">
        <v>106</v>
      </c>
    </row>
    <row r="4253" spans="1:1" x14ac:dyDescent="0.3">
      <c r="A4253" t="s">
        <v>1763</v>
      </c>
    </row>
    <row r="4254" spans="1:1" x14ac:dyDescent="0.3">
      <c r="A4254" t="s">
        <v>1157</v>
      </c>
    </row>
    <row r="4255" spans="1:1" x14ac:dyDescent="0.3">
      <c r="A4255" t="s">
        <v>1764</v>
      </c>
    </row>
    <row r="4256" spans="1:1" x14ac:dyDescent="0.3">
      <c r="A4256" t="s">
        <v>12</v>
      </c>
    </row>
    <row r="4257" spans="1:1" x14ac:dyDescent="0.3">
      <c r="A4257" t="s">
        <v>40</v>
      </c>
    </row>
    <row r="4259" spans="1:1" x14ac:dyDescent="0.3">
      <c r="A4259" t="s">
        <v>12</v>
      </c>
    </row>
    <row r="4260" spans="1:1" x14ac:dyDescent="0.3">
      <c r="A4260" t="s">
        <v>13</v>
      </c>
    </row>
    <row r="4261" spans="1:1" x14ac:dyDescent="0.3">
      <c r="A4261" t="s">
        <v>2115</v>
      </c>
    </row>
    <row r="4262" spans="1:1" x14ac:dyDescent="0.3">
      <c r="A4262" t="s">
        <v>2116</v>
      </c>
    </row>
    <row r="4263" spans="1:1" x14ac:dyDescent="0.3">
      <c r="A4263" t="s">
        <v>2117</v>
      </c>
    </row>
    <row r="4264" spans="1:1" x14ac:dyDescent="0.3">
      <c r="A4264" t="s">
        <v>1153</v>
      </c>
    </row>
    <row r="4265" spans="1:1" x14ac:dyDescent="0.3">
      <c r="A4265" t="s">
        <v>110</v>
      </c>
    </row>
    <row r="4266" spans="1:1" x14ac:dyDescent="0.3">
      <c r="A4266" t="s">
        <v>1154</v>
      </c>
    </row>
    <row r="4267" spans="1:1" x14ac:dyDescent="0.3">
      <c r="A4267" t="s">
        <v>2118</v>
      </c>
    </row>
    <row r="4268" spans="1:1" x14ac:dyDescent="0.3">
      <c r="A4268" t="s">
        <v>51</v>
      </c>
    </row>
    <row r="4269" spans="1:1" x14ac:dyDescent="0.3">
      <c r="A4269" t="s">
        <v>52</v>
      </c>
    </row>
    <row r="4270" spans="1:1" x14ac:dyDescent="0.3">
      <c r="A4270" t="s">
        <v>79</v>
      </c>
    </row>
    <row r="4271" spans="1:1" x14ac:dyDescent="0.3">
      <c r="A4271" t="s">
        <v>98</v>
      </c>
    </row>
    <row r="4272" spans="1:1" x14ac:dyDescent="0.3">
      <c r="A4272" t="s">
        <v>13</v>
      </c>
    </row>
    <row r="4273" spans="1:1" x14ac:dyDescent="0.3">
      <c r="A4273" t="s">
        <v>105</v>
      </c>
    </row>
    <row r="4274" spans="1:1" x14ac:dyDescent="0.3">
      <c r="A4274" t="s">
        <v>2119</v>
      </c>
    </row>
    <row r="4275" spans="1:1" x14ac:dyDescent="0.3">
      <c r="A4275" t="s">
        <v>1157</v>
      </c>
    </row>
    <row r="4276" spans="1:1" x14ac:dyDescent="0.3">
      <c r="A4276" t="s">
        <v>2010</v>
      </c>
    </row>
    <row r="4277" spans="1:1" x14ac:dyDescent="0.3">
      <c r="A4277" t="s">
        <v>12</v>
      </c>
    </row>
    <row r="4278" spans="1:1" x14ac:dyDescent="0.3">
      <c r="A4278" t="s">
        <v>13</v>
      </c>
    </row>
    <row r="4279" spans="1:1" x14ac:dyDescent="0.3">
      <c r="A4279" t="s">
        <v>106</v>
      </c>
    </row>
    <row r="4280" spans="1:1" x14ac:dyDescent="0.3">
      <c r="A4280" t="s">
        <v>2120</v>
      </c>
    </row>
    <row r="4281" spans="1:1" x14ac:dyDescent="0.3">
      <c r="A4281" t="s">
        <v>1157</v>
      </c>
    </row>
    <row r="4282" spans="1:1" x14ac:dyDescent="0.3">
      <c r="A4282" t="s">
        <v>2121</v>
      </c>
    </row>
    <row r="4283" spans="1:1" x14ac:dyDescent="0.3">
      <c r="A4283" t="s">
        <v>12</v>
      </c>
    </row>
    <row r="4284" spans="1:1" x14ac:dyDescent="0.3">
      <c r="A4284" t="s">
        <v>40</v>
      </c>
    </row>
    <row r="4286" spans="1:1" x14ac:dyDescent="0.3">
      <c r="A4286" t="s">
        <v>12</v>
      </c>
    </row>
    <row r="4287" spans="1:1" x14ac:dyDescent="0.3">
      <c r="A4287" t="s">
        <v>13</v>
      </c>
    </row>
    <row r="4288" spans="1:1" x14ac:dyDescent="0.3">
      <c r="A4288" t="s">
        <v>2122</v>
      </c>
    </row>
    <row r="4289" spans="1:1" x14ac:dyDescent="0.3">
      <c r="A4289" t="s">
        <v>2004</v>
      </c>
    </row>
    <row r="4290" spans="1:1" x14ac:dyDescent="0.3">
      <c r="A4290" t="s">
        <v>2123</v>
      </c>
    </row>
    <row r="4291" spans="1:1" x14ac:dyDescent="0.3">
      <c r="A4291" t="s">
        <v>1153</v>
      </c>
    </row>
    <row r="4292" spans="1:1" x14ac:dyDescent="0.3">
      <c r="A4292" t="s">
        <v>110</v>
      </c>
    </row>
    <row r="4293" spans="1:1" x14ac:dyDescent="0.3">
      <c r="A4293" t="s">
        <v>1154</v>
      </c>
    </row>
    <row r="4294" spans="1:1" x14ac:dyDescent="0.3">
      <c r="A4294" t="s">
        <v>2124</v>
      </c>
    </row>
    <row r="4295" spans="1:1" x14ac:dyDescent="0.3">
      <c r="A4295" t="s">
        <v>51</v>
      </c>
    </row>
    <row r="4296" spans="1:1" x14ac:dyDescent="0.3">
      <c r="A4296" t="s">
        <v>52</v>
      </c>
    </row>
    <row r="4297" spans="1:1" x14ac:dyDescent="0.3">
      <c r="A4297" t="s">
        <v>79</v>
      </c>
    </row>
    <row r="4298" spans="1:1" x14ac:dyDescent="0.3">
      <c r="A4298" t="s">
        <v>98</v>
      </c>
    </row>
    <row r="4299" spans="1:1" x14ac:dyDescent="0.3">
      <c r="A4299" t="s">
        <v>13</v>
      </c>
    </row>
    <row r="4300" spans="1:1" x14ac:dyDescent="0.3">
      <c r="A4300" t="s">
        <v>105</v>
      </c>
    </row>
    <row r="4301" spans="1:1" x14ac:dyDescent="0.3">
      <c r="A4301" t="s">
        <v>2007</v>
      </c>
    </row>
    <row r="4302" spans="1:1" x14ac:dyDescent="0.3">
      <c r="A4302" t="s">
        <v>1157</v>
      </c>
    </row>
    <row r="4303" spans="1:1" x14ac:dyDescent="0.3">
      <c r="A4303" t="s">
        <v>2008</v>
      </c>
    </row>
    <row r="4304" spans="1:1" x14ac:dyDescent="0.3">
      <c r="A4304" t="s">
        <v>12</v>
      </c>
    </row>
    <row r="4305" spans="1:1" x14ac:dyDescent="0.3">
      <c r="A4305" t="s">
        <v>13</v>
      </c>
    </row>
    <row r="4306" spans="1:1" x14ac:dyDescent="0.3">
      <c r="A4306" t="s">
        <v>106</v>
      </c>
    </row>
    <row r="4307" spans="1:1" x14ac:dyDescent="0.3">
      <c r="A4307" t="s">
        <v>2009</v>
      </c>
    </row>
    <row r="4308" spans="1:1" x14ac:dyDescent="0.3">
      <c r="A4308" t="s">
        <v>1157</v>
      </c>
    </row>
    <row r="4309" spans="1:1" x14ac:dyDescent="0.3">
      <c r="A4309" t="s">
        <v>2010</v>
      </c>
    </row>
    <row r="4310" spans="1:1" x14ac:dyDescent="0.3">
      <c r="A4310" t="s">
        <v>12</v>
      </c>
    </row>
    <row r="4311" spans="1:1" x14ac:dyDescent="0.3">
      <c r="A4311" t="s">
        <v>40</v>
      </c>
    </row>
    <row r="4313" spans="1:1" x14ac:dyDescent="0.3">
      <c r="A4313" t="s">
        <v>12</v>
      </c>
    </row>
    <row r="4314" spans="1:1" x14ac:dyDescent="0.3">
      <c r="A4314" t="s">
        <v>13</v>
      </c>
    </row>
    <row r="4315" spans="1:1" x14ac:dyDescent="0.3">
      <c r="A4315" t="s">
        <v>2125</v>
      </c>
    </row>
    <row r="4316" spans="1:1" x14ac:dyDescent="0.3">
      <c r="A4316" t="s">
        <v>2004</v>
      </c>
    </row>
    <row r="4317" spans="1:1" x14ac:dyDescent="0.3">
      <c r="A4317" t="s">
        <v>2126</v>
      </c>
    </row>
    <row r="4318" spans="1:1" x14ac:dyDescent="0.3">
      <c r="A4318" t="s">
        <v>1153</v>
      </c>
    </row>
    <row r="4319" spans="1:1" x14ac:dyDescent="0.3">
      <c r="A4319" t="s">
        <v>110</v>
      </c>
    </row>
    <row r="4320" spans="1:1" x14ac:dyDescent="0.3">
      <c r="A4320" t="s">
        <v>1154</v>
      </c>
    </row>
    <row r="4321" spans="1:1" x14ac:dyDescent="0.3">
      <c r="A4321" t="s">
        <v>2127</v>
      </c>
    </row>
    <row r="4322" spans="1:1" x14ac:dyDescent="0.3">
      <c r="A4322" t="s">
        <v>51</v>
      </c>
    </row>
    <row r="4323" spans="1:1" x14ac:dyDescent="0.3">
      <c r="A4323" t="s">
        <v>52</v>
      </c>
    </row>
    <row r="4324" spans="1:1" x14ac:dyDescent="0.3">
      <c r="A4324" t="s">
        <v>79</v>
      </c>
    </row>
    <row r="4325" spans="1:1" x14ac:dyDescent="0.3">
      <c r="A4325" t="s">
        <v>98</v>
      </c>
    </row>
    <row r="4326" spans="1:1" x14ac:dyDescent="0.3">
      <c r="A4326" t="s">
        <v>13</v>
      </c>
    </row>
    <row r="4327" spans="1:1" x14ac:dyDescent="0.3">
      <c r="A4327" t="s">
        <v>105</v>
      </c>
    </row>
    <row r="4328" spans="1:1" x14ac:dyDescent="0.3">
      <c r="A4328" t="s">
        <v>2007</v>
      </c>
    </row>
    <row r="4329" spans="1:1" x14ac:dyDescent="0.3">
      <c r="A4329" t="s">
        <v>1157</v>
      </c>
    </row>
    <row r="4330" spans="1:1" x14ac:dyDescent="0.3">
      <c r="A4330" t="s">
        <v>2008</v>
      </c>
    </row>
    <row r="4331" spans="1:1" x14ac:dyDescent="0.3">
      <c r="A4331" t="s">
        <v>12</v>
      </c>
    </row>
    <row r="4332" spans="1:1" x14ac:dyDescent="0.3">
      <c r="A4332" t="s">
        <v>13</v>
      </c>
    </row>
    <row r="4333" spans="1:1" x14ac:dyDescent="0.3">
      <c r="A4333" t="s">
        <v>106</v>
      </c>
    </row>
    <row r="4334" spans="1:1" x14ac:dyDescent="0.3">
      <c r="A4334" t="s">
        <v>2009</v>
      </c>
    </row>
    <row r="4335" spans="1:1" x14ac:dyDescent="0.3">
      <c r="A4335" t="s">
        <v>1157</v>
      </c>
    </row>
    <row r="4336" spans="1:1" x14ac:dyDescent="0.3">
      <c r="A4336" t="s">
        <v>2010</v>
      </c>
    </row>
    <row r="4337" spans="1:1" x14ac:dyDescent="0.3">
      <c r="A4337" t="s">
        <v>12</v>
      </c>
    </row>
    <row r="4338" spans="1:1" x14ac:dyDescent="0.3">
      <c r="A4338" t="s">
        <v>40</v>
      </c>
    </row>
    <row r="4340" spans="1:1" x14ac:dyDescent="0.3">
      <c r="A4340" t="s">
        <v>12</v>
      </c>
    </row>
    <row r="4341" spans="1:1" x14ac:dyDescent="0.3">
      <c r="A4341" t="s">
        <v>13</v>
      </c>
    </row>
    <row r="4342" spans="1:1" x14ac:dyDescent="0.3">
      <c r="A4342" t="s">
        <v>2128</v>
      </c>
    </row>
    <row r="4343" spans="1:1" x14ac:dyDescent="0.3">
      <c r="A4343" t="s">
        <v>2129</v>
      </c>
    </row>
    <row r="4344" spans="1:1" x14ac:dyDescent="0.3">
      <c r="A4344" t="s">
        <v>2130</v>
      </c>
    </row>
    <row r="4345" spans="1:1" x14ac:dyDescent="0.3">
      <c r="A4345" t="s">
        <v>1153</v>
      </c>
    </row>
    <row r="4346" spans="1:1" x14ac:dyDescent="0.3">
      <c r="A4346" t="s">
        <v>110</v>
      </c>
    </row>
    <row r="4347" spans="1:1" x14ac:dyDescent="0.3">
      <c r="A4347" t="s">
        <v>1154</v>
      </c>
    </row>
    <row r="4348" spans="1:1" x14ac:dyDescent="0.3">
      <c r="A4348" t="s">
        <v>2131</v>
      </c>
    </row>
    <row r="4349" spans="1:1" x14ac:dyDescent="0.3">
      <c r="A4349" t="s">
        <v>51</v>
      </c>
    </row>
    <row r="4350" spans="1:1" x14ac:dyDescent="0.3">
      <c r="A4350" t="s">
        <v>52</v>
      </c>
    </row>
    <row r="4351" spans="1:1" x14ac:dyDescent="0.3">
      <c r="A4351" t="s">
        <v>79</v>
      </c>
    </row>
    <row r="4352" spans="1:1" x14ac:dyDescent="0.3">
      <c r="A4352" t="s">
        <v>98</v>
      </c>
    </row>
    <row r="4353" spans="1:1" x14ac:dyDescent="0.3">
      <c r="A4353" t="s">
        <v>13</v>
      </c>
    </row>
    <row r="4354" spans="1:1" x14ac:dyDescent="0.3">
      <c r="A4354" t="s">
        <v>105</v>
      </c>
    </row>
    <row r="4355" spans="1:1" x14ac:dyDescent="0.3">
      <c r="A4355" t="s">
        <v>2132</v>
      </c>
    </row>
    <row r="4356" spans="1:1" x14ac:dyDescent="0.3">
      <c r="A4356" t="s">
        <v>1157</v>
      </c>
    </row>
    <row r="4357" spans="1:1" x14ac:dyDescent="0.3">
      <c r="A4357" t="s">
        <v>2133</v>
      </c>
    </row>
    <row r="4358" spans="1:1" x14ac:dyDescent="0.3">
      <c r="A4358" t="s">
        <v>12</v>
      </c>
    </row>
    <row r="4359" spans="1:1" x14ac:dyDescent="0.3">
      <c r="A4359" t="s">
        <v>13</v>
      </c>
    </row>
    <row r="4360" spans="1:1" x14ac:dyDescent="0.3">
      <c r="A4360" t="s">
        <v>106</v>
      </c>
    </row>
    <row r="4361" spans="1:1" x14ac:dyDescent="0.3">
      <c r="A4361" t="s">
        <v>2134</v>
      </c>
    </row>
    <row r="4362" spans="1:1" x14ac:dyDescent="0.3">
      <c r="A4362" t="s">
        <v>1157</v>
      </c>
    </row>
    <row r="4363" spans="1:1" x14ac:dyDescent="0.3">
      <c r="A4363" t="s">
        <v>2135</v>
      </c>
    </row>
    <row r="4364" spans="1:1" x14ac:dyDescent="0.3">
      <c r="A4364" t="s">
        <v>12</v>
      </c>
    </row>
    <row r="4365" spans="1:1" x14ac:dyDescent="0.3">
      <c r="A4365" t="s">
        <v>40</v>
      </c>
    </row>
    <row r="4367" spans="1:1" x14ac:dyDescent="0.3">
      <c r="A4367" t="s">
        <v>12</v>
      </c>
    </row>
    <row r="4368" spans="1:1" x14ac:dyDescent="0.3">
      <c r="A4368" t="s">
        <v>13</v>
      </c>
    </row>
    <row r="4369" spans="1:1" x14ac:dyDescent="0.3">
      <c r="A4369" t="s">
        <v>2136</v>
      </c>
    </row>
    <row r="4370" spans="1:1" x14ac:dyDescent="0.3">
      <c r="A4370" t="s">
        <v>2004</v>
      </c>
    </row>
    <row r="4371" spans="1:1" x14ac:dyDescent="0.3">
      <c r="A4371" t="s">
        <v>2137</v>
      </c>
    </row>
    <row r="4372" spans="1:1" x14ac:dyDescent="0.3">
      <c r="A4372" t="s">
        <v>1153</v>
      </c>
    </row>
    <row r="4373" spans="1:1" x14ac:dyDescent="0.3">
      <c r="A4373" t="s">
        <v>110</v>
      </c>
    </row>
    <row r="4374" spans="1:1" x14ac:dyDescent="0.3">
      <c r="A4374" t="s">
        <v>1154</v>
      </c>
    </row>
    <row r="4375" spans="1:1" x14ac:dyDescent="0.3">
      <c r="A4375" t="s">
        <v>2138</v>
      </c>
    </row>
    <row r="4376" spans="1:1" x14ac:dyDescent="0.3">
      <c r="A4376" t="s">
        <v>51</v>
      </c>
    </row>
    <row r="4377" spans="1:1" x14ac:dyDescent="0.3">
      <c r="A4377" t="s">
        <v>52</v>
      </c>
    </row>
    <row r="4378" spans="1:1" x14ac:dyDescent="0.3">
      <c r="A4378" t="s">
        <v>79</v>
      </c>
    </row>
    <row r="4379" spans="1:1" x14ac:dyDescent="0.3">
      <c r="A4379" t="s">
        <v>98</v>
      </c>
    </row>
    <row r="4380" spans="1:1" x14ac:dyDescent="0.3">
      <c r="A4380" t="s">
        <v>13</v>
      </c>
    </row>
    <row r="4381" spans="1:1" x14ac:dyDescent="0.3">
      <c r="A4381" t="s">
        <v>105</v>
      </c>
    </row>
    <row r="4382" spans="1:1" x14ac:dyDescent="0.3">
      <c r="A4382" t="s">
        <v>2007</v>
      </c>
    </row>
    <row r="4383" spans="1:1" x14ac:dyDescent="0.3">
      <c r="A4383" t="s">
        <v>1157</v>
      </c>
    </row>
    <row r="4384" spans="1:1" x14ac:dyDescent="0.3">
      <c r="A4384" t="s">
        <v>2008</v>
      </c>
    </row>
    <row r="4385" spans="1:1" x14ac:dyDescent="0.3">
      <c r="A4385" t="s">
        <v>12</v>
      </c>
    </row>
    <row r="4386" spans="1:1" x14ac:dyDescent="0.3">
      <c r="A4386" t="s">
        <v>13</v>
      </c>
    </row>
    <row r="4387" spans="1:1" x14ac:dyDescent="0.3">
      <c r="A4387" t="s">
        <v>106</v>
      </c>
    </row>
    <row r="4388" spans="1:1" x14ac:dyDescent="0.3">
      <c r="A4388" t="s">
        <v>2009</v>
      </c>
    </row>
    <row r="4389" spans="1:1" x14ac:dyDescent="0.3">
      <c r="A4389" t="s">
        <v>1157</v>
      </c>
    </row>
    <row r="4390" spans="1:1" x14ac:dyDescent="0.3">
      <c r="A4390" t="s">
        <v>2010</v>
      </c>
    </row>
    <row r="4391" spans="1:1" x14ac:dyDescent="0.3">
      <c r="A4391" t="s">
        <v>12</v>
      </c>
    </row>
    <row r="4392" spans="1:1" x14ac:dyDescent="0.3">
      <c r="A4392" t="s">
        <v>40</v>
      </c>
    </row>
    <row r="4394" spans="1:1" x14ac:dyDescent="0.3">
      <c r="A4394" t="s">
        <v>12</v>
      </c>
    </row>
    <row r="4395" spans="1:1" x14ac:dyDescent="0.3">
      <c r="A4395" t="s">
        <v>13</v>
      </c>
    </row>
    <row r="4396" spans="1:1" x14ac:dyDescent="0.3">
      <c r="A4396" t="s">
        <v>2139</v>
      </c>
    </row>
    <row r="4397" spans="1:1" x14ac:dyDescent="0.3">
      <c r="A4397" t="s">
        <v>2140</v>
      </c>
    </row>
    <row r="4398" spans="1:1" x14ac:dyDescent="0.3">
      <c r="A4398" t="s">
        <v>2141</v>
      </c>
    </row>
    <row r="4399" spans="1:1" x14ac:dyDescent="0.3">
      <c r="A4399" t="s">
        <v>1153</v>
      </c>
    </row>
    <row r="4400" spans="1:1" x14ac:dyDescent="0.3">
      <c r="A4400" t="s">
        <v>110</v>
      </c>
    </row>
    <row r="4401" spans="1:1" x14ac:dyDescent="0.3">
      <c r="A4401" t="s">
        <v>1154</v>
      </c>
    </row>
    <row r="4402" spans="1:1" x14ac:dyDescent="0.3">
      <c r="A4402" t="s">
        <v>2142</v>
      </c>
    </row>
    <row r="4403" spans="1:1" x14ac:dyDescent="0.3">
      <c r="A4403" t="s">
        <v>51</v>
      </c>
    </row>
    <row r="4404" spans="1:1" x14ac:dyDescent="0.3">
      <c r="A4404" t="s">
        <v>52</v>
      </c>
    </row>
    <row r="4405" spans="1:1" x14ac:dyDescent="0.3">
      <c r="A4405" t="s">
        <v>79</v>
      </c>
    </row>
    <row r="4406" spans="1:1" x14ac:dyDescent="0.3">
      <c r="A4406" t="s">
        <v>98</v>
      </c>
    </row>
    <row r="4407" spans="1:1" x14ac:dyDescent="0.3">
      <c r="A4407" t="s">
        <v>13</v>
      </c>
    </row>
    <row r="4408" spans="1:1" x14ac:dyDescent="0.3">
      <c r="A4408" t="s">
        <v>105</v>
      </c>
    </row>
    <row r="4409" spans="1:1" x14ac:dyDescent="0.3">
      <c r="A4409" t="s">
        <v>2143</v>
      </c>
    </row>
    <row r="4410" spans="1:1" x14ac:dyDescent="0.3">
      <c r="A4410" t="s">
        <v>1157</v>
      </c>
    </row>
    <row r="4411" spans="1:1" x14ac:dyDescent="0.3">
      <c r="A4411" t="s">
        <v>2144</v>
      </c>
    </row>
    <row r="4412" spans="1:1" x14ac:dyDescent="0.3">
      <c r="A4412" t="s">
        <v>12</v>
      </c>
    </row>
    <row r="4413" spans="1:1" x14ac:dyDescent="0.3">
      <c r="A4413" t="s">
        <v>13</v>
      </c>
    </row>
    <row r="4414" spans="1:1" x14ac:dyDescent="0.3">
      <c r="A4414" t="s">
        <v>106</v>
      </c>
    </row>
    <row r="4415" spans="1:1" x14ac:dyDescent="0.3">
      <c r="A4415" t="s">
        <v>2145</v>
      </c>
    </row>
    <row r="4416" spans="1:1" x14ac:dyDescent="0.3">
      <c r="A4416" t="s">
        <v>1157</v>
      </c>
    </row>
    <row r="4417" spans="1:1" x14ac:dyDescent="0.3">
      <c r="A4417" t="s">
        <v>2146</v>
      </c>
    </row>
    <row r="4418" spans="1:1" x14ac:dyDescent="0.3">
      <c r="A4418" t="s">
        <v>12</v>
      </c>
    </row>
    <row r="4419" spans="1:1" x14ac:dyDescent="0.3">
      <c r="A4419" t="s">
        <v>40</v>
      </c>
    </row>
    <row r="4421" spans="1:1" x14ac:dyDescent="0.3">
      <c r="A4421" t="s">
        <v>12</v>
      </c>
    </row>
    <row r="4422" spans="1:1" x14ac:dyDescent="0.3">
      <c r="A4422" t="s">
        <v>13</v>
      </c>
    </row>
    <row r="4423" spans="1:1" x14ac:dyDescent="0.3">
      <c r="A4423" t="s">
        <v>2147</v>
      </c>
    </row>
    <row r="4424" spans="1:1" x14ac:dyDescent="0.3">
      <c r="A4424" t="s">
        <v>2148</v>
      </c>
    </row>
    <row r="4425" spans="1:1" x14ac:dyDescent="0.3">
      <c r="A4425" t="s">
        <v>2149</v>
      </c>
    </row>
    <row r="4426" spans="1:1" x14ac:dyDescent="0.3">
      <c r="A4426" t="s">
        <v>1153</v>
      </c>
    </row>
    <row r="4427" spans="1:1" x14ac:dyDescent="0.3">
      <c r="A4427" t="s">
        <v>110</v>
      </c>
    </row>
    <row r="4428" spans="1:1" x14ac:dyDescent="0.3">
      <c r="A4428" t="s">
        <v>1154</v>
      </c>
    </row>
    <row r="4429" spans="1:1" x14ac:dyDescent="0.3">
      <c r="A4429" t="s">
        <v>2150</v>
      </c>
    </row>
    <row r="4430" spans="1:1" x14ac:dyDescent="0.3">
      <c r="A4430" t="s">
        <v>51</v>
      </c>
    </row>
    <row r="4431" spans="1:1" x14ac:dyDescent="0.3">
      <c r="A4431" t="s">
        <v>52</v>
      </c>
    </row>
    <row r="4432" spans="1:1" x14ac:dyDescent="0.3">
      <c r="A4432" t="s">
        <v>79</v>
      </c>
    </row>
    <row r="4434" spans="1:1" x14ac:dyDescent="0.3">
      <c r="A4434" t="s">
        <v>12</v>
      </c>
    </row>
    <row r="4435" spans="1:1" x14ac:dyDescent="0.3">
      <c r="A4435" t="s">
        <v>13</v>
      </c>
    </row>
    <row r="4436" spans="1:1" x14ac:dyDescent="0.3">
      <c r="A4436" t="s">
        <v>2151</v>
      </c>
    </row>
    <row r="4437" spans="1:1" x14ac:dyDescent="0.3">
      <c r="A4437" t="s">
        <v>2152</v>
      </c>
    </row>
    <row r="4438" spans="1:1" x14ac:dyDescent="0.3">
      <c r="A4438" t="s">
        <v>2153</v>
      </c>
    </row>
    <row r="4439" spans="1:1" x14ac:dyDescent="0.3">
      <c r="A4439" t="s">
        <v>1153</v>
      </c>
    </row>
    <row r="4440" spans="1:1" x14ac:dyDescent="0.3">
      <c r="A4440" t="s">
        <v>110</v>
      </c>
    </row>
    <row r="4441" spans="1:1" x14ac:dyDescent="0.3">
      <c r="A4441" t="s">
        <v>1154</v>
      </c>
    </row>
    <row r="4442" spans="1:1" x14ac:dyDescent="0.3">
      <c r="A4442" t="s">
        <v>2154</v>
      </c>
    </row>
    <row r="4443" spans="1:1" x14ac:dyDescent="0.3">
      <c r="A4443" t="s">
        <v>51</v>
      </c>
    </row>
    <row r="4444" spans="1:1" x14ac:dyDescent="0.3">
      <c r="A4444" t="s">
        <v>52</v>
      </c>
    </row>
    <row r="4445" spans="1:1" x14ac:dyDescent="0.3">
      <c r="A4445" t="s">
        <v>79</v>
      </c>
    </row>
    <row r="4446" spans="1:1" x14ac:dyDescent="0.3">
      <c r="A4446" t="s">
        <v>98</v>
      </c>
    </row>
    <row r="4447" spans="1:1" x14ac:dyDescent="0.3">
      <c r="A4447" t="s">
        <v>13</v>
      </c>
    </row>
    <row r="4448" spans="1:1" x14ac:dyDescent="0.3">
      <c r="A4448" t="s">
        <v>105</v>
      </c>
    </row>
    <row r="4449" spans="1:1" x14ac:dyDescent="0.3">
      <c r="A4449" t="s">
        <v>2155</v>
      </c>
    </row>
    <row r="4450" spans="1:1" x14ac:dyDescent="0.3">
      <c r="A4450" t="s">
        <v>1157</v>
      </c>
    </row>
    <row r="4451" spans="1:1" x14ac:dyDescent="0.3">
      <c r="A4451" t="s">
        <v>2156</v>
      </c>
    </row>
    <row r="4452" spans="1:1" x14ac:dyDescent="0.3">
      <c r="A4452" t="s">
        <v>12</v>
      </c>
    </row>
    <row r="4453" spans="1:1" x14ac:dyDescent="0.3">
      <c r="A4453" t="s">
        <v>13</v>
      </c>
    </row>
    <row r="4454" spans="1:1" x14ac:dyDescent="0.3">
      <c r="A4454" t="s">
        <v>106</v>
      </c>
    </row>
    <row r="4455" spans="1:1" x14ac:dyDescent="0.3">
      <c r="A4455" t="s">
        <v>2157</v>
      </c>
    </row>
    <row r="4456" spans="1:1" x14ac:dyDescent="0.3">
      <c r="A4456" t="s">
        <v>1157</v>
      </c>
    </row>
    <row r="4457" spans="1:1" x14ac:dyDescent="0.3">
      <c r="A4457" t="s">
        <v>2158</v>
      </c>
    </row>
    <row r="4458" spans="1:1" x14ac:dyDescent="0.3">
      <c r="A4458" t="s">
        <v>12</v>
      </c>
    </row>
    <row r="4459" spans="1:1" x14ac:dyDescent="0.3">
      <c r="A4459" t="s">
        <v>40</v>
      </c>
    </row>
    <row r="4461" spans="1:1" x14ac:dyDescent="0.3">
      <c r="A4461" t="s">
        <v>12</v>
      </c>
    </row>
    <row r="4462" spans="1:1" x14ac:dyDescent="0.3">
      <c r="A4462" t="s">
        <v>13</v>
      </c>
    </row>
    <row r="4463" spans="1:1" x14ac:dyDescent="0.3">
      <c r="A4463" t="s">
        <v>2159</v>
      </c>
    </row>
    <row r="4464" spans="1:1" x14ac:dyDescent="0.3">
      <c r="A4464" t="s">
        <v>2160</v>
      </c>
    </row>
    <row r="4465" spans="1:1" x14ac:dyDescent="0.3">
      <c r="A4465" t="s">
        <v>2161</v>
      </c>
    </row>
    <row r="4466" spans="1:1" x14ac:dyDescent="0.3">
      <c r="A4466" t="s">
        <v>1153</v>
      </c>
    </row>
    <row r="4467" spans="1:1" x14ac:dyDescent="0.3">
      <c r="A4467" t="s">
        <v>110</v>
      </c>
    </row>
    <row r="4468" spans="1:1" x14ac:dyDescent="0.3">
      <c r="A4468" t="s">
        <v>1154</v>
      </c>
    </row>
    <row r="4469" spans="1:1" x14ac:dyDescent="0.3">
      <c r="A4469" t="s">
        <v>2162</v>
      </c>
    </row>
    <row r="4470" spans="1:1" x14ac:dyDescent="0.3">
      <c r="A4470" t="s">
        <v>51</v>
      </c>
    </row>
    <row r="4471" spans="1:1" x14ac:dyDescent="0.3">
      <c r="A4471" t="s">
        <v>52</v>
      </c>
    </row>
    <row r="4472" spans="1:1" x14ac:dyDescent="0.3">
      <c r="A4472" t="s">
        <v>79</v>
      </c>
    </row>
    <row r="4473" spans="1:1" x14ac:dyDescent="0.3">
      <c r="A4473" t="s">
        <v>98</v>
      </c>
    </row>
    <row r="4474" spans="1:1" x14ac:dyDescent="0.3">
      <c r="A4474" t="s">
        <v>13</v>
      </c>
    </row>
    <row r="4475" spans="1:1" x14ac:dyDescent="0.3">
      <c r="A4475" t="s">
        <v>105</v>
      </c>
    </row>
    <row r="4476" spans="1:1" x14ac:dyDescent="0.3">
      <c r="A4476" t="s">
        <v>2163</v>
      </c>
    </row>
    <row r="4477" spans="1:1" x14ac:dyDescent="0.3">
      <c r="A4477" t="s">
        <v>1157</v>
      </c>
    </row>
    <row r="4478" spans="1:1" x14ac:dyDescent="0.3">
      <c r="A4478" t="s">
        <v>2164</v>
      </c>
    </row>
    <row r="4479" spans="1:1" x14ac:dyDescent="0.3">
      <c r="A4479" t="s">
        <v>12</v>
      </c>
    </row>
    <row r="4480" spans="1:1" x14ac:dyDescent="0.3">
      <c r="A4480" t="s">
        <v>13</v>
      </c>
    </row>
    <row r="4481" spans="1:1" x14ac:dyDescent="0.3">
      <c r="A4481" t="s">
        <v>106</v>
      </c>
    </row>
    <row r="4482" spans="1:1" x14ac:dyDescent="0.3">
      <c r="A4482" t="s">
        <v>2165</v>
      </c>
    </row>
    <row r="4483" spans="1:1" x14ac:dyDescent="0.3">
      <c r="A4483" t="s">
        <v>1157</v>
      </c>
    </row>
    <row r="4484" spans="1:1" x14ac:dyDescent="0.3">
      <c r="A4484" t="s">
        <v>2166</v>
      </c>
    </row>
    <row r="4485" spans="1:1" x14ac:dyDescent="0.3">
      <c r="A4485" t="s">
        <v>12</v>
      </c>
    </row>
    <row r="4486" spans="1:1" x14ac:dyDescent="0.3">
      <c r="A4486" t="s">
        <v>40</v>
      </c>
    </row>
    <row r="4488" spans="1:1" x14ac:dyDescent="0.3">
      <c r="A4488" t="s">
        <v>12</v>
      </c>
    </row>
    <row r="4489" spans="1:1" x14ac:dyDescent="0.3">
      <c r="A4489" t="s">
        <v>13</v>
      </c>
    </row>
    <row r="4490" spans="1:1" x14ac:dyDescent="0.3">
      <c r="A4490" t="s">
        <v>2167</v>
      </c>
    </row>
    <row r="4491" spans="1:1" x14ac:dyDescent="0.3">
      <c r="A4491" t="s">
        <v>2160</v>
      </c>
    </row>
    <row r="4492" spans="1:1" x14ac:dyDescent="0.3">
      <c r="A4492" t="s">
        <v>2168</v>
      </c>
    </row>
    <row r="4493" spans="1:1" x14ac:dyDescent="0.3">
      <c r="A4493" t="s">
        <v>1153</v>
      </c>
    </row>
    <row r="4494" spans="1:1" x14ac:dyDescent="0.3">
      <c r="A4494" t="s">
        <v>110</v>
      </c>
    </row>
    <row r="4495" spans="1:1" x14ac:dyDescent="0.3">
      <c r="A4495" t="s">
        <v>1154</v>
      </c>
    </row>
    <row r="4496" spans="1:1" x14ac:dyDescent="0.3">
      <c r="A4496" t="s">
        <v>2169</v>
      </c>
    </row>
    <row r="4497" spans="1:1" x14ac:dyDescent="0.3">
      <c r="A4497" t="s">
        <v>51</v>
      </c>
    </row>
    <row r="4498" spans="1:1" x14ac:dyDescent="0.3">
      <c r="A4498" t="s">
        <v>52</v>
      </c>
    </row>
    <row r="4499" spans="1:1" x14ac:dyDescent="0.3">
      <c r="A4499" t="s">
        <v>79</v>
      </c>
    </row>
    <row r="4500" spans="1:1" x14ac:dyDescent="0.3">
      <c r="A4500" t="s">
        <v>98</v>
      </c>
    </row>
    <row r="4501" spans="1:1" x14ac:dyDescent="0.3">
      <c r="A4501" t="s">
        <v>13</v>
      </c>
    </row>
    <row r="4502" spans="1:1" x14ac:dyDescent="0.3">
      <c r="A4502" t="s">
        <v>105</v>
      </c>
    </row>
    <row r="4503" spans="1:1" x14ac:dyDescent="0.3">
      <c r="A4503" t="s">
        <v>2163</v>
      </c>
    </row>
    <row r="4504" spans="1:1" x14ac:dyDescent="0.3">
      <c r="A4504" t="s">
        <v>1157</v>
      </c>
    </row>
    <row r="4505" spans="1:1" x14ac:dyDescent="0.3">
      <c r="A4505" t="s">
        <v>2164</v>
      </c>
    </row>
    <row r="4506" spans="1:1" x14ac:dyDescent="0.3">
      <c r="A4506" t="s">
        <v>12</v>
      </c>
    </row>
    <row r="4507" spans="1:1" x14ac:dyDescent="0.3">
      <c r="A4507" t="s">
        <v>13</v>
      </c>
    </row>
    <row r="4508" spans="1:1" x14ac:dyDescent="0.3">
      <c r="A4508" t="s">
        <v>106</v>
      </c>
    </row>
    <row r="4509" spans="1:1" x14ac:dyDescent="0.3">
      <c r="A4509" t="s">
        <v>2165</v>
      </c>
    </row>
    <row r="4510" spans="1:1" x14ac:dyDescent="0.3">
      <c r="A4510" t="s">
        <v>1157</v>
      </c>
    </row>
    <row r="4511" spans="1:1" x14ac:dyDescent="0.3">
      <c r="A4511" t="s">
        <v>2166</v>
      </c>
    </row>
    <row r="4512" spans="1:1" x14ac:dyDescent="0.3">
      <c r="A4512" t="s">
        <v>12</v>
      </c>
    </row>
    <row r="4513" spans="1:1" x14ac:dyDescent="0.3">
      <c r="A4513" t="s">
        <v>40</v>
      </c>
    </row>
    <row r="4515" spans="1:1" x14ac:dyDescent="0.3">
      <c r="A4515" t="s">
        <v>12</v>
      </c>
    </row>
    <row r="4516" spans="1:1" x14ac:dyDescent="0.3">
      <c r="A4516" t="s">
        <v>13</v>
      </c>
    </row>
    <row r="4517" spans="1:1" x14ac:dyDescent="0.3">
      <c r="A4517" t="s">
        <v>2170</v>
      </c>
    </row>
    <row r="4518" spans="1:1" x14ac:dyDescent="0.3">
      <c r="A4518" t="s">
        <v>2171</v>
      </c>
    </row>
    <row r="4519" spans="1:1" x14ac:dyDescent="0.3">
      <c r="A4519" t="s">
        <v>2172</v>
      </c>
    </row>
    <row r="4520" spans="1:1" x14ac:dyDescent="0.3">
      <c r="A4520" t="s">
        <v>1153</v>
      </c>
    </row>
    <row r="4521" spans="1:1" x14ac:dyDescent="0.3">
      <c r="A4521" t="s">
        <v>110</v>
      </c>
    </row>
    <row r="4522" spans="1:1" x14ac:dyDescent="0.3">
      <c r="A4522" t="s">
        <v>1154</v>
      </c>
    </row>
    <row r="4523" spans="1:1" x14ac:dyDescent="0.3">
      <c r="A4523" t="s">
        <v>2173</v>
      </c>
    </row>
    <row r="4524" spans="1:1" x14ac:dyDescent="0.3">
      <c r="A4524" t="s">
        <v>51</v>
      </c>
    </row>
    <row r="4525" spans="1:1" x14ac:dyDescent="0.3">
      <c r="A4525" t="s">
        <v>52</v>
      </c>
    </row>
    <row r="4526" spans="1:1" x14ac:dyDescent="0.3">
      <c r="A4526" t="s">
        <v>79</v>
      </c>
    </row>
    <row r="4528" spans="1:1" x14ac:dyDescent="0.3">
      <c r="A4528" t="s">
        <v>12</v>
      </c>
    </row>
    <row r="4529" spans="1:1" x14ac:dyDescent="0.3">
      <c r="A4529" t="s">
        <v>13</v>
      </c>
    </row>
    <row r="4530" spans="1:1" x14ac:dyDescent="0.3">
      <c r="A4530" t="s">
        <v>2174</v>
      </c>
    </row>
    <row r="4531" spans="1:1" x14ac:dyDescent="0.3">
      <c r="A4531" t="s">
        <v>2175</v>
      </c>
    </row>
    <row r="4532" spans="1:1" x14ac:dyDescent="0.3">
      <c r="A4532" t="s">
        <v>2176</v>
      </c>
    </row>
    <row r="4533" spans="1:1" x14ac:dyDescent="0.3">
      <c r="A4533" t="s">
        <v>1153</v>
      </c>
    </row>
    <row r="4534" spans="1:1" x14ac:dyDescent="0.3">
      <c r="A4534" t="s">
        <v>110</v>
      </c>
    </row>
    <row r="4535" spans="1:1" x14ac:dyDescent="0.3">
      <c r="A4535" t="s">
        <v>1154</v>
      </c>
    </row>
    <row r="4536" spans="1:1" x14ac:dyDescent="0.3">
      <c r="A4536" t="s">
        <v>2177</v>
      </c>
    </row>
    <row r="4537" spans="1:1" x14ac:dyDescent="0.3">
      <c r="A4537" t="s">
        <v>51</v>
      </c>
    </row>
    <row r="4538" spans="1:1" x14ac:dyDescent="0.3">
      <c r="A4538" t="s">
        <v>52</v>
      </c>
    </row>
    <row r="4539" spans="1:1" x14ac:dyDescent="0.3">
      <c r="A4539" t="s">
        <v>79</v>
      </c>
    </row>
    <row r="4541" spans="1:1" x14ac:dyDescent="0.3">
      <c r="A4541" t="s">
        <v>12</v>
      </c>
    </row>
    <row r="4542" spans="1:1" x14ac:dyDescent="0.3">
      <c r="A4542" t="s">
        <v>13</v>
      </c>
    </row>
    <row r="4543" spans="1:1" x14ac:dyDescent="0.3">
      <c r="A4543" t="s">
        <v>2178</v>
      </c>
    </row>
    <row r="4544" spans="1:1" x14ac:dyDescent="0.3">
      <c r="A4544" t="s">
        <v>2179</v>
      </c>
    </row>
    <row r="4545" spans="1:1" x14ac:dyDescent="0.3">
      <c r="A4545" t="s">
        <v>2180</v>
      </c>
    </row>
    <row r="4546" spans="1:1" x14ac:dyDescent="0.3">
      <c r="A4546" t="s">
        <v>1153</v>
      </c>
    </row>
    <row r="4547" spans="1:1" x14ac:dyDescent="0.3">
      <c r="A4547" t="s">
        <v>110</v>
      </c>
    </row>
    <row r="4548" spans="1:1" x14ac:dyDescent="0.3">
      <c r="A4548" t="s">
        <v>1154</v>
      </c>
    </row>
    <row r="4549" spans="1:1" x14ac:dyDescent="0.3">
      <c r="A4549" t="s">
        <v>2181</v>
      </c>
    </row>
    <row r="4550" spans="1:1" x14ac:dyDescent="0.3">
      <c r="A4550" t="s">
        <v>51</v>
      </c>
    </row>
    <row r="4551" spans="1:1" x14ac:dyDescent="0.3">
      <c r="A4551" t="s">
        <v>52</v>
      </c>
    </row>
    <row r="4552" spans="1:1" x14ac:dyDescent="0.3">
      <c r="A4552" t="s">
        <v>79</v>
      </c>
    </row>
    <row r="4554" spans="1:1" x14ac:dyDescent="0.3">
      <c r="A4554" t="s">
        <v>12</v>
      </c>
    </row>
    <row r="4555" spans="1:1" x14ac:dyDescent="0.3">
      <c r="A4555" t="s">
        <v>13</v>
      </c>
    </row>
    <row r="4556" spans="1:1" x14ac:dyDescent="0.3">
      <c r="A4556" t="s">
        <v>2182</v>
      </c>
    </row>
    <row r="4557" spans="1:1" x14ac:dyDescent="0.3">
      <c r="A4557" t="s">
        <v>2183</v>
      </c>
    </row>
    <row r="4558" spans="1:1" x14ac:dyDescent="0.3">
      <c r="A4558" t="s">
        <v>2184</v>
      </c>
    </row>
    <row r="4559" spans="1:1" x14ac:dyDescent="0.3">
      <c r="A4559" t="s">
        <v>1153</v>
      </c>
    </row>
    <row r="4560" spans="1:1" x14ac:dyDescent="0.3">
      <c r="A4560" t="s">
        <v>110</v>
      </c>
    </row>
    <row r="4561" spans="1:1" x14ac:dyDescent="0.3">
      <c r="A4561" t="s">
        <v>1154</v>
      </c>
    </row>
    <row r="4562" spans="1:1" x14ac:dyDescent="0.3">
      <c r="A4562" t="s">
        <v>2185</v>
      </c>
    </row>
    <row r="4563" spans="1:1" x14ac:dyDescent="0.3">
      <c r="A4563" t="s">
        <v>51</v>
      </c>
    </row>
    <row r="4564" spans="1:1" x14ac:dyDescent="0.3">
      <c r="A4564" t="s">
        <v>52</v>
      </c>
    </row>
    <row r="4565" spans="1:1" x14ac:dyDescent="0.3">
      <c r="A4565" t="s">
        <v>79</v>
      </c>
    </row>
    <row r="4567" spans="1:1" x14ac:dyDescent="0.3">
      <c r="A4567" t="s">
        <v>12</v>
      </c>
    </row>
    <row r="4568" spans="1:1" x14ac:dyDescent="0.3">
      <c r="A4568" t="s">
        <v>13</v>
      </c>
    </row>
    <row r="4569" spans="1:1" x14ac:dyDescent="0.3">
      <c r="A4569" t="s">
        <v>2186</v>
      </c>
    </row>
    <row r="4570" spans="1:1" x14ac:dyDescent="0.3">
      <c r="A4570" t="s">
        <v>2187</v>
      </c>
    </row>
    <row r="4571" spans="1:1" x14ac:dyDescent="0.3">
      <c r="A4571" t="s">
        <v>2188</v>
      </c>
    </row>
    <row r="4572" spans="1:1" x14ac:dyDescent="0.3">
      <c r="A4572" t="s">
        <v>1153</v>
      </c>
    </row>
    <row r="4573" spans="1:1" x14ac:dyDescent="0.3">
      <c r="A4573" t="s">
        <v>110</v>
      </c>
    </row>
    <row r="4574" spans="1:1" x14ac:dyDescent="0.3">
      <c r="A4574" t="s">
        <v>1154</v>
      </c>
    </row>
    <row r="4575" spans="1:1" x14ac:dyDescent="0.3">
      <c r="A4575" t="s">
        <v>2189</v>
      </c>
    </row>
    <row r="4576" spans="1:1" x14ac:dyDescent="0.3">
      <c r="A4576" t="s">
        <v>51</v>
      </c>
    </row>
    <row r="4577" spans="1:1" x14ac:dyDescent="0.3">
      <c r="A4577" t="s">
        <v>52</v>
      </c>
    </row>
    <row r="4578" spans="1:1" x14ac:dyDescent="0.3">
      <c r="A4578" t="s">
        <v>79</v>
      </c>
    </row>
    <row r="4580" spans="1:1" x14ac:dyDescent="0.3">
      <c r="A4580" t="s">
        <v>12</v>
      </c>
    </row>
    <row r="4581" spans="1:1" x14ac:dyDescent="0.3">
      <c r="A4581" t="s">
        <v>13</v>
      </c>
    </row>
    <row r="4582" spans="1:1" x14ac:dyDescent="0.3">
      <c r="A4582" t="s">
        <v>2190</v>
      </c>
    </row>
    <row r="4583" spans="1:1" x14ac:dyDescent="0.3">
      <c r="A4583" t="s">
        <v>2191</v>
      </c>
    </row>
    <row r="4584" spans="1:1" x14ac:dyDescent="0.3">
      <c r="A4584" t="s">
        <v>2192</v>
      </c>
    </row>
    <row r="4585" spans="1:1" x14ac:dyDescent="0.3">
      <c r="A4585" t="s">
        <v>1153</v>
      </c>
    </row>
    <row r="4586" spans="1:1" x14ac:dyDescent="0.3">
      <c r="A4586" t="s">
        <v>110</v>
      </c>
    </row>
    <row r="4587" spans="1:1" x14ac:dyDescent="0.3">
      <c r="A4587" t="s">
        <v>1154</v>
      </c>
    </row>
    <row r="4588" spans="1:1" x14ac:dyDescent="0.3">
      <c r="A4588" t="s">
        <v>2193</v>
      </c>
    </row>
    <row r="4589" spans="1:1" x14ac:dyDescent="0.3">
      <c r="A4589" t="s">
        <v>51</v>
      </c>
    </row>
    <row r="4590" spans="1:1" x14ac:dyDescent="0.3">
      <c r="A4590" t="s">
        <v>52</v>
      </c>
    </row>
    <row r="4591" spans="1:1" x14ac:dyDescent="0.3">
      <c r="A4591" t="s">
        <v>79</v>
      </c>
    </row>
    <row r="4593" spans="1:1" x14ac:dyDescent="0.3">
      <c r="A4593" t="s">
        <v>12</v>
      </c>
    </row>
    <row r="4594" spans="1:1" x14ac:dyDescent="0.3">
      <c r="A4594" t="s">
        <v>13</v>
      </c>
    </row>
    <row r="4595" spans="1:1" x14ac:dyDescent="0.3">
      <c r="A4595" t="s">
        <v>2194</v>
      </c>
    </row>
    <row r="4596" spans="1:1" x14ac:dyDescent="0.3">
      <c r="A4596" t="s">
        <v>2195</v>
      </c>
    </row>
    <row r="4597" spans="1:1" x14ac:dyDescent="0.3">
      <c r="A4597" t="s">
        <v>2196</v>
      </c>
    </row>
    <row r="4598" spans="1:1" x14ac:dyDescent="0.3">
      <c r="A4598" t="s">
        <v>1153</v>
      </c>
    </row>
    <row r="4599" spans="1:1" x14ac:dyDescent="0.3">
      <c r="A4599" t="s">
        <v>110</v>
      </c>
    </row>
    <row r="4600" spans="1:1" x14ac:dyDescent="0.3">
      <c r="A4600" t="s">
        <v>1154</v>
      </c>
    </row>
    <row r="4601" spans="1:1" x14ac:dyDescent="0.3">
      <c r="A4601" t="s">
        <v>2197</v>
      </c>
    </row>
    <row r="4602" spans="1:1" x14ac:dyDescent="0.3">
      <c r="A4602" t="s">
        <v>51</v>
      </c>
    </row>
    <row r="4603" spans="1:1" x14ac:dyDescent="0.3">
      <c r="A4603" t="s">
        <v>52</v>
      </c>
    </row>
    <row r="4604" spans="1:1" x14ac:dyDescent="0.3">
      <c r="A4604" t="s">
        <v>79</v>
      </c>
    </row>
    <row r="4606" spans="1:1" x14ac:dyDescent="0.3">
      <c r="A4606" t="s">
        <v>12</v>
      </c>
    </row>
    <row r="4607" spans="1:1" x14ac:dyDescent="0.3">
      <c r="A4607" t="s">
        <v>13</v>
      </c>
    </row>
    <row r="4608" spans="1:1" x14ac:dyDescent="0.3">
      <c r="A4608" t="s">
        <v>2198</v>
      </c>
    </row>
    <row r="4609" spans="1:1" x14ac:dyDescent="0.3">
      <c r="A4609" t="s">
        <v>2179</v>
      </c>
    </row>
    <row r="4610" spans="1:1" x14ac:dyDescent="0.3">
      <c r="A4610" t="s">
        <v>2199</v>
      </c>
    </row>
    <row r="4611" spans="1:1" x14ac:dyDescent="0.3">
      <c r="A4611" t="s">
        <v>1153</v>
      </c>
    </row>
    <row r="4612" spans="1:1" x14ac:dyDescent="0.3">
      <c r="A4612" t="s">
        <v>110</v>
      </c>
    </row>
    <row r="4613" spans="1:1" x14ac:dyDescent="0.3">
      <c r="A4613" t="s">
        <v>1154</v>
      </c>
    </row>
    <row r="4614" spans="1:1" x14ac:dyDescent="0.3">
      <c r="A4614" t="s">
        <v>2200</v>
      </c>
    </row>
    <row r="4615" spans="1:1" x14ac:dyDescent="0.3">
      <c r="A4615" t="s">
        <v>51</v>
      </c>
    </row>
    <row r="4616" spans="1:1" x14ac:dyDescent="0.3">
      <c r="A4616" t="s">
        <v>52</v>
      </c>
    </row>
    <row r="4617" spans="1:1" x14ac:dyDescent="0.3">
      <c r="A4617" t="s">
        <v>79</v>
      </c>
    </row>
    <row r="4619" spans="1:1" x14ac:dyDescent="0.3">
      <c r="A4619" t="s">
        <v>12</v>
      </c>
    </row>
    <row r="4620" spans="1:1" x14ac:dyDescent="0.3">
      <c r="A4620" t="s">
        <v>13</v>
      </c>
    </row>
    <row r="4621" spans="1:1" x14ac:dyDescent="0.3">
      <c r="A4621" t="s">
        <v>2201</v>
      </c>
    </row>
    <row r="4622" spans="1:1" x14ac:dyDescent="0.3">
      <c r="A4622" t="s">
        <v>2202</v>
      </c>
    </row>
    <row r="4623" spans="1:1" x14ac:dyDescent="0.3">
      <c r="A4623" t="s">
        <v>2203</v>
      </c>
    </row>
    <row r="4624" spans="1:1" x14ac:dyDescent="0.3">
      <c r="A4624" t="s">
        <v>1153</v>
      </c>
    </row>
    <row r="4625" spans="1:1" x14ac:dyDescent="0.3">
      <c r="A4625" t="s">
        <v>110</v>
      </c>
    </row>
    <row r="4626" spans="1:1" x14ac:dyDescent="0.3">
      <c r="A4626" t="s">
        <v>1154</v>
      </c>
    </row>
    <row r="4627" spans="1:1" x14ac:dyDescent="0.3">
      <c r="A4627" t="s">
        <v>2204</v>
      </c>
    </row>
    <row r="4628" spans="1:1" x14ac:dyDescent="0.3">
      <c r="A4628" t="s">
        <v>51</v>
      </c>
    </row>
    <row r="4629" spans="1:1" x14ac:dyDescent="0.3">
      <c r="A4629" t="s">
        <v>52</v>
      </c>
    </row>
    <row r="4630" spans="1:1" x14ac:dyDescent="0.3">
      <c r="A4630" t="s">
        <v>79</v>
      </c>
    </row>
    <row r="4632" spans="1:1" x14ac:dyDescent="0.3">
      <c r="A4632" t="s">
        <v>12</v>
      </c>
    </row>
    <row r="4633" spans="1:1" x14ac:dyDescent="0.3">
      <c r="A4633" t="s">
        <v>13</v>
      </c>
    </row>
    <row r="4634" spans="1:1" x14ac:dyDescent="0.3">
      <c r="A4634" t="s">
        <v>2205</v>
      </c>
    </row>
    <row r="4635" spans="1:1" x14ac:dyDescent="0.3">
      <c r="A4635" t="s">
        <v>1904</v>
      </c>
    </row>
    <row r="4636" spans="1:1" x14ac:dyDescent="0.3">
      <c r="A4636" t="s">
        <v>2206</v>
      </c>
    </row>
    <row r="4637" spans="1:1" x14ac:dyDescent="0.3">
      <c r="A4637" t="s">
        <v>1153</v>
      </c>
    </row>
    <row r="4638" spans="1:1" x14ac:dyDescent="0.3">
      <c r="A4638" t="s">
        <v>110</v>
      </c>
    </row>
    <row r="4639" spans="1:1" x14ac:dyDescent="0.3">
      <c r="A4639" t="s">
        <v>1154</v>
      </c>
    </row>
    <row r="4640" spans="1:1" x14ac:dyDescent="0.3">
      <c r="A4640" t="s">
        <v>2207</v>
      </c>
    </row>
    <row r="4641" spans="1:1" x14ac:dyDescent="0.3">
      <c r="A4641" t="s">
        <v>51</v>
      </c>
    </row>
    <row r="4642" spans="1:1" x14ac:dyDescent="0.3">
      <c r="A4642" t="s">
        <v>52</v>
      </c>
    </row>
    <row r="4643" spans="1:1" x14ac:dyDescent="0.3">
      <c r="A4643" t="s">
        <v>79</v>
      </c>
    </row>
    <row r="4645" spans="1:1" x14ac:dyDescent="0.3">
      <c r="A4645" t="s">
        <v>12</v>
      </c>
    </row>
    <row r="4646" spans="1:1" x14ac:dyDescent="0.3">
      <c r="A4646" t="s">
        <v>13</v>
      </c>
    </row>
    <row r="4647" spans="1:1" x14ac:dyDescent="0.3">
      <c r="A4647" t="s">
        <v>2208</v>
      </c>
    </row>
    <row r="4648" spans="1:1" x14ac:dyDescent="0.3">
      <c r="A4648" t="s">
        <v>2209</v>
      </c>
    </row>
    <row r="4649" spans="1:1" x14ac:dyDescent="0.3">
      <c r="A4649" t="s">
        <v>2210</v>
      </c>
    </row>
    <row r="4650" spans="1:1" x14ac:dyDescent="0.3">
      <c r="A4650" t="s">
        <v>1153</v>
      </c>
    </row>
    <row r="4651" spans="1:1" x14ac:dyDescent="0.3">
      <c r="A4651" t="s">
        <v>110</v>
      </c>
    </row>
    <row r="4652" spans="1:1" x14ac:dyDescent="0.3">
      <c r="A4652" t="s">
        <v>1154</v>
      </c>
    </row>
    <row r="4653" spans="1:1" x14ac:dyDescent="0.3">
      <c r="A4653" t="s">
        <v>2211</v>
      </c>
    </row>
    <row r="4654" spans="1:1" x14ac:dyDescent="0.3">
      <c r="A4654" t="s">
        <v>51</v>
      </c>
    </row>
    <row r="4655" spans="1:1" x14ac:dyDescent="0.3">
      <c r="A4655" t="s">
        <v>52</v>
      </c>
    </row>
    <row r="4656" spans="1:1" x14ac:dyDescent="0.3">
      <c r="A4656" t="s">
        <v>79</v>
      </c>
    </row>
    <row r="4658" spans="1:1" x14ac:dyDescent="0.3">
      <c r="A4658" t="s">
        <v>12</v>
      </c>
    </row>
    <row r="4659" spans="1:1" x14ac:dyDescent="0.3">
      <c r="A4659" t="s">
        <v>13</v>
      </c>
    </row>
    <row r="4660" spans="1:1" x14ac:dyDescent="0.3">
      <c r="A4660" t="s">
        <v>2212</v>
      </c>
    </row>
    <row r="4661" spans="1:1" x14ac:dyDescent="0.3">
      <c r="A4661" t="s">
        <v>2213</v>
      </c>
    </row>
    <row r="4662" spans="1:1" x14ac:dyDescent="0.3">
      <c r="A4662" t="s">
        <v>2214</v>
      </c>
    </row>
    <row r="4663" spans="1:1" x14ac:dyDescent="0.3">
      <c r="A4663" t="s">
        <v>1153</v>
      </c>
    </row>
    <row r="4664" spans="1:1" x14ac:dyDescent="0.3">
      <c r="A4664" t="s">
        <v>110</v>
      </c>
    </row>
    <row r="4665" spans="1:1" x14ac:dyDescent="0.3">
      <c r="A4665" t="s">
        <v>1154</v>
      </c>
    </row>
    <row r="4666" spans="1:1" x14ac:dyDescent="0.3">
      <c r="A4666" t="s">
        <v>2215</v>
      </c>
    </row>
    <row r="4667" spans="1:1" x14ac:dyDescent="0.3">
      <c r="A4667" t="s">
        <v>51</v>
      </c>
    </row>
    <row r="4668" spans="1:1" x14ac:dyDescent="0.3">
      <c r="A4668" t="s">
        <v>52</v>
      </c>
    </row>
    <row r="4669" spans="1:1" x14ac:dyDescent="0.3">
      <c r="A4669" t="s">
        <v>79</v>
      </c>
    </row>
    <row r="4671" spans="1:1" x14ac:dyDescent="0.3">
      <c r="A4671" t="s">
        <v>12</v>
      </c>
    </row>
    <row r="4672" spans="1:1" x14ac:dyDescent="0.3">
      <c r="A4672" t="s">
        <v>13</v>
      </c>
    </row>
    <row r="4673" spans="1:1" x14ac:dyDescent="0.3">
      <c r="A4673" t="s">
        <v>2216</v>
      </c>
    </row>
    <row r="4674" spans="1:1" x14ac:dyDescent="0.3">
      <c r="A4674" t="s">
        <v>2209</v>
      </c>
    </row>
    <row r="4675" spans="1:1" x14ac:dyDescent="0.3">
      <c r="A4675" t="s">
        <v>2217</v>
      </c>
    </row>
    <row r="4676" spans="1:1" x14ac:dyDescent="0.3">
      <c r="A4676" t="s">
        <v>1153</v>
      </c>
    </row>
    <row r="4677" spans="1:1" x14ac:dyDescent="0.3">
      <c r="A4677" t="s">
        <v>110</v>
      </c>
    </row>
    <row r="4678" spans="1:1" x14ac:dyDescent="0.3">
      <c r="A4678" t="s">
        <v>1154</v>
      </c>
    </row>
    <row r="4679" spans="1:1" x14ac:dyDescent="0.3">
      <c r="A4679" t="s">
        <v>2218</v>
      </c>
    </row>
    <row r="4680" spans="1:1" x14ac:dyDescent="0.3">
      <c r="A4680" t="s">
        <v>51</v>
      </c>
    </row>
    <row r="4681" spans="1:1" x14ac:dyDescent="0.3">
      <c r="A4681" t="s">
        <v>52</v>
      </c>
    </row>
    <row r="4682" spans="1:1" x14ac:dyDescent="0.3">
      <c r="A4682" t="s">
        <v>79</v>
      </c>
    </row>
    <row r="4684" spans="1:1" x14ac:dyDescent="0.3">
      <c r="A4684" t="s">
        <v>12</v>
      </c>
    </row>
    <row r="4685" spans="1:1" x14ac:dyDescent="0.3">
      <c r="A4685" t="s">
        <v>13</v>
      </c>
    </row>
    <row r="4686" spans="1:1" x14ac:dyDescent="0.3">
      <c r="A4686" t="s">
        <v>2219</v>
      </c>
    </row>
    <row r="4687" spans="1:1" x14ac:dyDescent="0.3">
      <c r="A4687" t="s">
        <v>1863</v>
      </c>
    </row>
    <row r="4688" spans="1:1" x14ac:dyDescent="0.3">
      <c r="A4688" t="s">
        <v>2220</v>
      </c>
    </row>
    <row r="4689" spans="1:1" x14ac:dyDescent="0.3">
      <c r="A4689" t="s">
        <v>1153</v>
      </c>
    </row>
    <row r="4690" spans="1:1" x14ac:dyDescent="0.3">
      <c r="A4690" t="s">
        <v>110</v>
      </c>
    </row>
    <row r="4691" spans="1:1" x14ac:dyDescent="0.3">
      <c r="A4691" t="s">
        <v>1154</v>
      </c>
    </row>
    <row r="4692" spans="1:1" x14ac:dyDescent="0.3">
      <c r="A4692" t="s">
        <v>2221</v>
      </c>
    </row>
    <row r="4693" spans="1:1" x14ac:dyDescent="0.3">
      <c r="A4693" t="s">
        <v>51</v>
      </c>
    </row>
    <row r="4694" spans="1:1" x14ac:dyDescent="0.3">
      <c r="A4694" t="s">
        <v>52</v>
      </c>
    </row>
    <row r="4695" spans="1:1" x14ac:dyDescent="0.3">
      <c r="A4695" t="s">
        <v>79</v>
      </c>
    </row>
    <row r="4697" spans="1:1" x14ac:dyDescent="0.3">
      <c r="A4697" t="s">
        <v>12</v>
      </c>
    </row>
    <row r="4698" spans="1:1" x14ac:dyDescent="0.3">
      <c r="A4698" t="s">
        <v>13</v>
      </c>
    </row>
    <row r="4699" spans="1:1" x14ac:dyDescent="0.3">
      <c r="A4699" t="s">
        <v>2222</v>
      </c>
    </row>
    <row r="4700" spans="1:1" x14ac:dyDescent="0.3">
      <c r="A4700" t="s">
        <v>2223</v>
      </c>
    </row>
    <row r="4701" spans="1:1" x14ac:dyDescent="0.3">
      <c r="A4701" t="s">
        <v>2224</v>
      </c>
    </row>
    <row r="4702" spans="1:1" x14ac:dyDescent="0.3">
      <c r="A4702" t="s">
        <v>1153</v>
      </c>
    </row>
    <row r="4703" spans="1:1" x14ac:dyDescent="0.3">
      <c r="A4703" t="s">
        <v>110</v>
      </c>
    </row>
    <row r="4704" spans="1:1" x14ac:dyDescent="0.3">
      <c r="A4704" t="s">
        <v>1154</v>
      </c>
    </row>
    <row r="4705" spans="1:1" x14ac:dyDescent="0.3">
      <c r="A4705" t="s">
        <v>2225</v>
      </c>
    </row>
    <row r="4706" spans="1:1" x14ac:dyDescent="0.3">
      <c r="A4706" t="s">
        <v>51</v>
      </c>
    </row>
    <row r="4707" spans="1:1" x14ac:dyDescent="0.3">
      <c r="A4707" t="s">
        <v>52</v>
      </c>
    </row>
    <row r="4708" spans="1:1" x14ac:dyDescent="0.3">
      <c r="A4708" t="s">
        <v>79</v>
      </c>
    </row>
    <row r="4710" spans="1:1" x14ac:dyDescent="0.3">
      <c r="A4710" t="s">
        <v>12</v>
      </c>
    </row>
    <row r="4711" spans="1:1" x14ac:dyDescent="0.3">
      <c r="A4711" t="s">
        <v>13</v>
      </c>
    </row>
    <row r="4712" spans="1:1" x14ac:dyDescent="0.3">
      <c r="A4712" t="s">
        <v>2226</v>
      </c>
    </row>
    <row r="4713" spans="1:1" x14ac:dyDescent="0.3">
      <c r="A4713" t="s">
        <v>2227</v>
      </c>
    </row>
    <row r="4714" spans="1:1" x14ac:dyDescent="0.3">
      <c r="A4714" t="s">
        <v>2228</v>
      </c>
    </row>
    <row r="4715" spans="1:1" x14ac:dyDescent="0.3">
      <c r="A4715" t="s">
        <v>1153</v>
      </c>
    </row>
    <row r="4716" spans="1:1" x14ac:dyDescent="0.3">
      <c r="A4716" t="s">
        <v>110</v>
      </c>
    </row>
    <row r="4717" spans="1:1" x14ac:dyDescent="0.3">
      <c r="A4717" t="s">
        <v>1154</v>
      </c>
    </row>
    <row r="4718" spans="1:1" x14ac:dyDescent="0.3">
      <c r="A4718" t="s">
        <v>2229</v>
      </c>
    </row>
    <row r="4719" spans="1:1" x14ac:dyDescent="0.3">
      <c r="A4719" t="s">
        <v>51</v>
      </c>
    </row>
    <row r="4720" spans="1:1" x14ac:dyDescent="0.3">
      <c r="A4720" t="s">
        <v>52</v>
      </c>
    </row>
    <row r="4721" spans="1:1" x14ac:dyDescent="0.3">
      <c r="A4721" t="s">
        <v>79</v>
      </c>
    </row>
    <row r="4723" spans="1:1" x14ac:dyDescent="0.3">
      <c r="A4723" t="s">
        <v>12</v>
      </c>
    </row>
    <row r="4724" spans="1:1" x14ac:dyDescent="0.3">
      <c r="A4724" t="s">
        <v>13</v>
      </c>
    </row>
    <row r="4725" spans="1:1" x14ac:dyDescent="0.3">
      <c r="A4725" t="s">
        <v>2230</v>
      </c>
    </row>
    <row r="4726" spans="1:1" x14ac:dyDescent="0.3">
      <c r="A4726" t="s">
        <v>2231</v>
      </c>
    </row>
    <row r="4727" spans="1:1" x14ac:dyDescent="0.3">
      <c r="A4727" t="s">
        <v>2232</v>
      </c>
    </row>
    <row r="4728" spans="1:1" x14ac:dyDescent="0.3">
      <c r="A4728" t="s">
        <v>1153</v>
      </c>
    </row>
    <row r="4729" spans="1:1" x14ac:dyDescent="0.3">
      <c r="A4729" t="s">
        <v>110</v>
      </c>
    </row>
    <row r="4730" spans="1:1" x14ac:dyDescent="0.3">
      <c r="A4730" t="s">
        <v>1154</v>
      </c>
    </row>
    <row r="4731" spans="1:1" x14ac:dyDescent="0.3">
      <c r="A4731" t="s">
        <v>2233</v>
      </c>
    </row>
    <row r="4732" spans="1:1" x14ac:dyDescent="0.3">
      <c r="A4732" t="s">
        <v>51</v>
      </c>
    </row>
    <row r="4733" spans="1:1" x14ac:dyDescent="0.3">
      <c r="A4733" t="s">
        <v>52</v>
      </c>
    </row>
    <row r="4734" spans="1:1" x14ac:dyDescent="0.3">
      <c r="A4734" t="s">
        <v>79</v>
      </c>
    </row>
    <row r="4736" spans="1:1" x14ac:dyDescent="0.3">
      <c r="A4736" t="s">
        <v>12</v>
      </c>
    </row>
    <row r="4737" spans="1:1" x14ac:dyDescent="0.3">
      <c r="A4737" t="s">
        <v>13</v>
      </c>
    </row>
    <row r="4738" spans="1:1" x14ac:dyDescent="0.3">
      <c r="A4738" t="s">
        <v>2234</v>
      </c>
    </row>
    <row r="4739" spans="1:1" x14ac:dyDescent="0.3">
      <c r="A4739" t="s">
        <v>2235</v>
      </c>
    </row>
    <row r="4740" spans="1:1" x14ac:dyDescent="0.3">
      <c r="A4740" t="s">
        <v>2236</v>
      </c>
    </row>
    <row r="4741" spans="1:1" x14ac:dyDescent="0.3">
      <c r="A4741" t="s">
        <v>1153</v>
      </c>
    </row>
    <row r="4742" spans="1:1" x14ac:dyDescent="0.3">
      <c r="A4742" t="s">
        <v>110</v>
      </c>
    </row>
    <row r="4743" spans="1:1" x14ac:dyDescent="0.3">
      <c r="A4743" t="s">
        <v>1154</v>
      </c>
    </row>
    <row r="4744" spans="1:1" x14ac:dyDescent="0.3">
      <c r="A4744" t="s">
        <v>2237</v>
      </c>
    </row>
    <row r="4745" spans="1:1" x14ac:dyDescent="0.3">
      <c r="A4745" t="s">
        <v>51</v>
      </c>
    </row>
    <row r="4746" spans="1:1" x14ac:dyDescent="0.3">
      <c r="A4746" t="s">
        <v>52</v>
      </c>
    </row>
    <row r="4747" spans="1:1" x14ac:dyDescent="0.3">
      <c r="A4747" t="s">
        <v>79</v>
      </c>
    </row>
    <row r="4749" spans="1:1" x14ac:dyDescent="0.3">
      <c r="A4749" t="s">
        <v>12</v>
      </c>
    </row>
    <row r="4750" spans="1:1" x14ac:dyDescent="0.3">
      <c r="A4750" t="s">
        <v>13</v>
      </c>
    </row>
    <row r="4751" spans="1:1" x14ac:dyDescent="0.3">
      <c r="A4751" t="s">
        <v>2238</v>
      </c>
    </row>
    <row r="4752" spans="1:1" x14ac:dyDescent="0.3">
      <c r="A4752" t="s">
        <v>2239</v>
      </c>
    </row>
    <row r="4753" spans="1:1" x14ac:dyDescent="0.3">
      <c r="A4753" t="s">
        <v>2240</v>
      </c>
    </row>
    <row r="4754" spans="1:1" x14ac:dyDescent="0.3">
      <c r="A4754" t="s">
        <v>1153</v>
      </c>
    </row>
    <row r="4755" spans="1:1" x14ac:dyDescent="0.3">
      <c r="A4755" t="s">
        <v>110</v>
      </c>
    </row>
    <row r="4756" spans="1:1" x14ac:dyDescent="0.3">
      <c r="A4756" t="s">
        <v>1154</v>
      </c>
    </row>
    <row r="4757" spans="1:1" x14ac:dyDescent="0.3">
      <c r="A4757" t="s">
        <v>2241</v>
      </c>
    </row>
    <row r="4758" spans="1:1" x14ac:dyDescent="0.3">
      <c r="A4758" t="s">
        <v>51</v>
      </c>
    </row>
    <row r="4759" spans="1:1" x14ac:dyDescent="0.3">
      <c r="A4759" t="s">
        <v>52</v>
      </c>
    </row>
    <row r="4760" spans="1:1" x14ac:dyDescent="0.3">
      <c r="A4760" t="s">
        <v>79</v>
      </c>
    </row>
    <row r="4762" spans="1:1" x14ac:dyDescent="0.3">
      <c r="A4762" t="s">
        <v>12</v>
      </c>
    </row>
    <row r="4763" spans="1:1" x14ac:dyDescent="0.3">
      <c r="A4763" t="s">
        <v>13</v>
      </c>
    </row>
    <row r="4764" spans="1:1" x14ac:dyDescent="0.3">
      <c r="A4764" t="s">
        <v>2242</v>
      </c>
    </row>
    <row r="4765" spans="1:1" x14ac:dyDescent="0.3">
      <c r="A4765" t="s">
        <v>2243</v>
      </c>
    </row>
    <row r="4766" spans="1:1" x14ac:dyDescent="0.3">
      <c r="A4766" t="s">
        <v>2244</v>
      </c>
    </row>
    <row r="4767" spans="1:1" x14ac:dyDescent="0.3">
      <c r="A4767" t="s">
        <v>1153</v>
      </c>
    </row>
    <row r="4768" spans="1:1" x14ac:dyDescent="0.3">
      <c r="A4768" t="s">
        <v>110</v>
      </c>
    </row>
    <row r="4769" spans="1:1" x14ac:dyDescent="0.3">
      <c r="A4769" t="s">
        <v>1154</v>
      </c>
    </row>
    <row r="4770" spans="1:1" x14ac:dyDescent="0.3">
      <c r="A4770" t="s">
        <v>2245</v>
      </c>
    </row>
    <row r="4771" spans="1:1" x14ac:dyDescent="0.3">
      <c r="A4771" t="s">
        <v>51</v>
      </c>
    </row>
    <row r="4772" spans="1:1" x14ac:dyDescent="0.3">
      <c r="A4772" t="s">
        <v>52</v>
      </c>
    </row>
    <row r="4773" spans="1:1" x14ac:dyDescent="0.3">
      <c r="A4773" t="s">
        <v>79</v>
      </c>
    </row>
    <row r="4774" spans="1:1" x14ac:dyDescent="0.3">
      <c r="A4774" t="s">
        <v>98</v>
      </c>
    </row>
    <row r="4775" spans="1:1" x14ac:dyDescent="0.3">
      <c r="A4775" t="s">
        <v>13</v>
      </c>
    </row>
    <row r="4776" spans="1:1" x14ac:dyDescent="0.3">
      <c r="A4776" t="s">
        <v>105</v>
      </c>
    </row>
    <row r="4777" spans="1:1" x14ac:dyDescent="0.3">
      <c r="A4777" t="s">
        <v>2246</v>
      </c>
    </row>
    <row r="4778" spans="1:1" x14ac:dyDescent="0.3">
      <c r="A4778" t="s">
        <v>1157</v>
      </c>
    </row>
    <row r="4779" spans="1:1" x14ac:dyDescent="0.3">
      <c r="A4779" t="s">
        <v>2247</v>
      </c>
    </row>
    <row r="4780" spans="1:1" x14ac:dyDescent="0.3">
      <c r="A4780" t="s">
        <v>12</v>
      </c>
    </row>
    <row r="4781" spans="1:1" x14ac:dyDescent="0.3">
      <c r="A4781" t="s">
        <v>40</v>
      </c>
    </row>
    <row r="4783" spans="1:1" x14ac:dyDescent="0.3">
      <c r="A4783" t="s">
        <v>12</v>
      </c>
    </row>
    <row r="4784" spans="1:1" x14ac:dyDescent="0.3">
      <c r="A4784" t="s">
        <v>13</v>
      </c>
    </row>
    <row r="4785" spans="1:1" x14ac:dyDescent="0.3">
      <c r="A4785" t="s">
        <v>2248</v>
      </c>
    </row>
    <row r="4786" spans="1:1" x14ac:dyDescent="0.3">
      <c r="A4786" t="s">
        <v>2249</v>
      </c>
    </row>
    <row r="4787" spans="1:1" x14ac:dyDescent="0.3">
      <c r="A4787" t="s">
        <v>2250</v>
      </c>
    </row>
    <row r="4788" spans="1:1" x14ac:dyDescent="0.3">
      <c r="A4788" t="s">
        <v>1153</v>
      </c>
    </row>
    <row r="4789" spans="1:1" x14ac:dyDescent="0.3">
      <c r="A4789" t="s">
        <v>110</v>
      </c>
    </row>
    <row r="4790" spans="1:1" x14ac:dyDescent="0.3">
      <c r="A4790" t="s">
        <v>1154</v>
      </c>
    </row>
    <row r="4791" spans="1:1" x14ac:dyDescent="0.3">
      <c r="A4791" t="s">
        <v>2251</v>
      </c>
    </row>
    <row r="4792" spans="1:1" x14ac:dyDescent="0.3">
      <c r="A4792" t="s">
        <v>51</v>
      </c>
    </row>
    <row r="4793" spans="1:1" x14ac:dyDescent="0.3">
      <c r="A4793" t="s">
        <v>52</v>
      </c>
    </row>
    <row r="4794" spans="1:1" x14ac:dyDescent="0.3">
      <c r="A4794" t="s">
        <v>79</v>
      </c>
    </row>
    <row r="4795" spans="1:1" x14ac:dyDescent="0.3">
      <c r="A4795" t="s">
        <v>98</v>
      </c>
    </row>
    <row r="4796" spans="1:1" x14ac:dyDescent="0.3">
      <c r="A4796" t="s">
        <v>13</v>
      </c>
    </row>
    <row r="4797" spans="1:1" x14ac:dyDescent="0.3">
      <c r="A4797" t="s">
        <v>106</v>
      </c>
    </row>
    <row r="4798" spans="1:1" x14ac:dyDescent="0.3">
      <c r="A4798" t="s">
        <v>2252</v>
      </c>
    </row>
    <row r="4799" spans="1:1" x14ac:dyDescent="0.3">
      <c r="A4799" t="s">
        <v>1157</v>
      </c>
    </row>
    <row r="4800" spans="1:1" x14ac:dyDescent="0.3">
      <c r="A4800" t="s">
        <v>2253</v>
      </c>
    </row>
    <row r="4801" spans="1:1" x14ac:dyDescent="0.3">
      <c r="A4801" t="s">
        <v>12</v>
      </c>
    </row>
    <row r="4802" spans="1:1" x14ac:dyDescent="0.3">
      <c r="A4802" t="s">
        <v>13</v>
      </c>
    </row>
    <row r="4803" spans="1:1" x14ac:dyDescent="0.3">
      <c r="A4803" t="s">
        <v>105</v>
      </c>
    </row>
    <row r="4804" spans="1:1" x14ac:dyDescent="0.3">
      <c r="A4804" t="s">
        <v>2254</v>
      </c>
    </row>
    <row r="4805" spans="1:1" x14ac:dyDescent="0.3">
      <c r="A4805" t="s">
        <v>1157</v>
      </c>
    </row>
    <row r="4806" spans="1:1" x14ac:dyDescent="0.3">
      <c r="A4806" t="s">
        <v>2255</v>
      </c>
    </row>
    <row r="4807" spans="1:1" x14ac:dyDescent="0.3">
      <c r="A4807" t="s">
        <v>12</v>
      </c>
    </row>
    <row r="4808" spans="1:1" x14ac:dyDescent="0.3">
      <c r="A4808" t="s">
        <v>40</v>
      </c>
    </row>
    <row r="4810" spans="1:1" x14ac:dyDescent="0.3">
      <c r="A4810" t="s">
        <v>12</v>
      </c>
    </row>
    <row r="4811" spans="1:1" x14ac:dyDescent="0.3">
      <c r="A4811" t="s">
        <v>13</v>
      </c>
    </row>
    <row r="4812" spans="1:1" x14ac:dyDescent="0.3">
      <c r="A4812" t="s">
        <v>2256</v>
      </c>
    </row>
    <row r="4813" spans="1:1" x14ac:dyDescent="0.3">
      <c r="A4813" t="s">
        <v>2249</v>
      </c>
    </row>
    <row r="4814" spans="1:1" x14ac:dyDescent="0.3">
      <c r="A4814" t="s">
        <v>2257</v>
      </c>
    </row>
    <row r="4815" spans="1:1" x14ac:dyDescent="0.3">
      <c r="A4815" t="s">
        <v>1153</v>
      </c>
    </row>
    <row r="4816" spans="1:1" x14ac:dyDescent="0.3">
      <c r="A4816" t="s">
        <v>110</v>
      </c>
    </row>
    <row r="4817" spans="1:1" x14ac:dyDescent="0.3">
      <c r="A4817" t="s">
        <v>1154</v>
      </c>
    </row>
    <row r="4818" spans="1:1" x14ac:dyDescent="0.3">
      <c r="A4818" t="s">
        <v>2258</v>
      </c>
    </row>
    <row r="4819" spans="1:1" x14ac:dyDescent="0.3">
      <c r="A4819" t="s">
        <v>51</v>
      </c>
    </row>
    <row r="4820" spans="1:1" x14ac:dyDescent="0.3">
      <c r="A4820" t="s">
        <v>52</v>
      </c>
    </row>
    <row r="4821" spans="1:1" x14ac:dyDescent="0.3">
      <c r="A4821" t="s">
        <v>79</v>
      </c>
    </row>
    <row r="4822" spans="1:1" x14ac:dyDescent="0.3">
      <c r="A4822" t="s">
        <v>98</v>
      </c>
    </row>
    <row r="4823" spans="1:1" x14ac:dyDescent="0.3">
      <c r="A4823" t="s">
        <v>13</v>
      </c>
    </row>
    <row r="4824" spans="1:1" x14ac:dyDescent="0.3">
      <c r="A4824" t="s">
        <v>106</v>
      </c>
    </row>
    <row r="4825" spans="1:1" x14ac:dyDescent="0.3">
      <c r="A4825" t="s">
        <v>2252</v>
      </c>
    </row>
    <row r="4826" spans="1:1" x14ac:dyDescent="0.3">
      <c r="A4826" t="s">
        <v>1157</v>
      </c>
    </row>
    <row r="4827" spans="1:1" x14ac:dyDescent="0.3">
      <c r="A4827" t="s">
        <v>2253</v>
      </c>
    </row>
    <row r="4828" spans="1:1" x14ac:dyDescent="0.3">
      <c r="A4828" t="s">
        <v>12</v>
      </c>
    </row>
    <row r="4829" spans="1:1" x14ac:dyDescent="0.3">
      <c r="A4829" t="s">
        <v>13</v>
      </c>
    </row>
    <row r="4830" spans="1:1" x14ac:dyDescent="0.3">
      <c r="A4830" t="s">
        <v>105</v>
      </c>
    </row>
    <row r="4831" spans="1:1" x14ac:dyDescent="0.3">
      <c r="A4831" t="s">
        <v>2254</v>
      </c>
    </row>
    <row r="4832" spans="1:1" x14ac:dyDescent="0.3">
      <c r="A4832" t="s">
        <v>1157</v>
      </c>
    </row>
    <row r="4833" spans="1:1" x14ac:dyDescent="0.3">
      <c r="A4833" t="s">
        <v>2255</v>
      </c>
    </row>
    <row r="4834" spans="1:1" x14ac:dyDescent="0.3">
      <c r="A4834" t="s">
        <v>12</v>
      </c>
    </row>
    <row r="4835" spans="1:1" x14ac:dyDescent="0.3">
      <c r="A4835" t="s">
        <v>40</v>
      </c>
    </row>
    <row r="4837" spans="1:1" x14ac:dyDescent="0.3">
      <c r="A4837" t="s">
        <v>12</v>
      </c>
    </row>
    <row r="4838" spans="1:1" x14ac:dyDescent="0.3">
      <c r="A4838" t="s">
        <v>13</v>
      </c>
    </row>
    <row r="4839" spans="1:1" x14ac:dyDescent="0.3">
      <c r="A4839" t="s">
        <v>2259</v>
      </c>
    </row>
    <row r="4840" spans="1:1" x14ac:dyDescent="0.3">
      <c r="A4840" t="s">
        <v>2260</v>
      </c>
    </row>
    <row r="4841" spans="1:1" x14ac:dyDescent="0.3">
      <c r="A4841" t="s">
        <v>2261</v>
      </c>
    </row>
    <row r="4842" spans="1:1" x14ac:dyDescent="0.3">
      <c r="A4842" t="s">
        <v>1153</v>
      </c>
    </row>
    <row r="4843" spans="1:1" x14ac:dyDescent="0.3">
      <c r="A4843" t="s">
        <v>110</v>
      </c>
    </row>
    <row r="4844" spans="1:1" x14ac:dyDescent="0.3">
      <c r="A4844" t="s">
        <v>1154</v>
      </c>
    </row>
    <row r="4845" spans="1:1" x14ac:dyDescent="0.3">
      <c r="A4845" t="s">
        <v>2262</v>
      </c>
    </row>
    <row r="4846" spans="1:1" x14ac:dyDescent="0.3">
      <c r="A4846" t="s">
        <v>51</v>
      </c>
    </row>
    <row r="4847" spans="1:1" x14ac:dyDescent="0.3">
      <c r="A4847" t="s">
        <v>52</v>
      </c>
    </row>
    <row r="4848" spans="1:1" x14ac:dyDescent="0.3">
      <c r="A4848" t="s">
        <v>79</v>
      </c>
    </row>
    <row r="4849" spans="1:1" x14ac:dyDescent="0.3">
      <c r="A4849" t="s">
        <v>98</v>
      </c>
    </row>
    <row r="4850" spans="1:1" x14ac:dyDescent="0.3">
      <c r="A4850" t="s">
        <v>13</v>
      </c>
    </row>
    <row r="4851" spans="1:1" x14ac:dyDescent="0.3">
      <c r="A4851" t="s">
        <v>106</v>
      </c>
    </row>
    <row r="4852" spans="1:1" x14ac:dyDescent="0.3">
      <c r="A4852" t="s">
        <v>2263</v>
      </c>
    </row>
    <row r="4853" spans="1:1" x14ac:dyDescent="0.3">
      <c r="A4853" t="s">
        <v>1157</v>
      </c>
    </row>
    <row r="4854" spans="1:1" x14ac:dyDescent="0.3">
      <c r="A4854" t="s">
        <v>2264</v>
      </c>
    </row>
    <row r="4855" spans="1:1" x14ac:dyDescent="0.3">
      <c r="A4855" t="s">
        <v>12</v>
      </c>
    </row>
    <row r="4856" spans="1:1" x14ac:dyDescent="0.3">
      <c r="A4856" t="s">
        <v>13</v>
      </c>
    </row>
    <row r="4857" spans="1:1" x14ac:dyDescent="0.3">
      <c r="A4857" t="s">
        <v>105</v>
      </c>
    </row>
    <row r="4858" spans="1:1" x14ac:dyDescent="0.3">
      <c r="A4858" t="s">
        <v>2265</v>
      </c>
    </row>
    <row r="4859" spans="1:1" x14ac:dyDescent="0.3">
      <c r="A4859" t="s">
        <v>1157</v>
      </c>
    </row>
    <row r="4860" spans="1:1" x14ac:dyDescent="0.3">
      <c r="A4860" t="s">
        <v>2266</v>
      </c>
    </row>
    <row r="4861" spans="1:1" x14ac:dyDescent="0.3">
      <c r="A4861" t="s">
        <v>12</v>
      </c>
    </row>
    <row r="4862" spans="1:1" x14ac:dyDescent="0.3">
      <c r="A4862" t="s">
        <v>40</v>
      </c>
    </row>
    <row r="4864" spans="1:1" x14ac:dyDescent="0.3">
      <c r="A4864" t="s">
        <v>12</v>
      </c>
    </row>
    <row r="4865" spans="1:1" x14ac:dyDescent="0.3">
      <c r="A4865" t="s">
        <v>13</v>
      </c>
    </row>
    <row r="4866" spans="1:1" x14ac:dyDescent="0.3">
      <c r="A4866" t="s">
        <v>2267</v>
      </c>
    </row>
    <row r="4867" spans="1:1" x14ac:dyDescent="0.3">
      <c r="A4867" t="s">
        <v>2268</v>
      </c>
    </row>
    <row r="4868" spans="1:1" x14ac:dyDescent="0.3">
      <c r="A4868" t="s">
        <v>2269</v>
      </c>
    </row>
    <row r="4869" spans="1:1" x14ac:dyDescent="0.3">
      <c r="A4869" t="s">
        <v>1153</v>
      </c>
    </row>
    <row r="4870" spans="1:1" x14ac:dyDescent="0.3">
      <c r="A4870" t="s">
        <v>110</v>
      </c>
    </row>
    <row r="4871" spans="1:1" x14ac:dyDescent="0.3">
      <c r="A4871" t="s">
        <v>1154</v>
      </c>
    </row>
    <row r="4872" spans="1:1" x14ac:dyDescent="0.3">
      <c r="A4872" t="s">
        <v>2270</v>
      </c>
    </row>
    <row r="4873" spans="1:1" x14ac:dyDescent="0.3">
      <c r="A4873" t="s">
        <v>51</v>
      </c>
    </row>
    <row r="4874" spans="1:1" x14ac:dyDescent="0.3">
      <c r="A4874" t="s">
        <v>52</v>
      </c>
    </row>
    <row r="4875" spans="1:1" x14ac:dyDescent="0.3">
      <c r="A4875" t="s">
        <v>79</v>
      </c>
    </row>
    <row r="4876" spans="1:1" x14ac:dyDescent="0.3">
      <c r="A4876" t="s">
        <v>98</v>
      </c>
    </row>
    <row r="4877" spans="1:1" x14ac:dyDescent="0.3">
      <c r="A4877" t="s">
        <v>13</v>
      </c>
    </row>
    <row r="4878" spans="1:1" x14ac:dyDescent="0.3">
      <c r="A4878" t="s">
        <v>106</v>
      </c>
    </row>
    <row r="4879" spans="1:1" x14ac:dyDescent="0.3">
      <c r="A4879" t="s">
        <v>2271</v>
      </c>
    </row>
    <row r="4880" spans="1:1" x14ac:dyDescent="0.3">
      <c r="A4880" t="s">
        <v>1157</v>
      </c>
    </row>
    <row r="4881" spans="1:1" x14ac:dyDescent="0.3">
      <c r="A4881" t="s">
        <v>2266</v>
      </c>
    </row>
    <row r="4882" spans="1:1" x14ac:dyDescent="0.3">
      <c r="A4882" t="s">
        <v>12</v>
      </c>
    </row>
    <row r="4883" spans="1:1" x14ac:dyDescent="0.3">
      <c r="A4883" t="s">
        <v>13</v>
      </c>
    </row>
    <row r="4884" spans="1:1" x14ac:dyDescent="0.3">
      <c r="A4884" t="s">
        <v>105</v>
      </c>
    </row>
    <row r="4885" spans="1:1" x14ac:dyDescent="0.3">
      <c r="A4885" t="s">
        <v>2272</v>
      </c>
    </row>
    <row r="4886" spans="1:1" x14ac:dyDescent="0.3">
      <c r="A4886" t="s">
        <v>1157</v>
      </c>
    </row>
    <row r="4887" spans="1:1" x14ac:dyDescent="0.3">
      <c r="A4887" t="s">
        <v>2273</v>
      </c>
    </row>
    <row r="4888" spans="1:1" x14ac:dyDescent="0.3">
      <c r="A4888" t="s">
        <v>12</v>
      </c>
    </row>
    <row r="4889" spans="1:1" x14ac:dyDescent="0.3">
      <c r="A4889" t="s">
        <v>40</v>
      </c>
    </row>
    <row r="4891" spans="1:1" x14ac:dyDescent="0.3">
      <c r="A4891" t="s">
        <v>12</v>
      </c>
    </row>
    <row r="4892" spans="1:1" x14ac:dyDescent="0.3">
      <c r="A4892" t="s">
        <v>13</v>
      </c>
    </row>
    <row r="4893" spans="1:1" x14ac:dyDescent="0.3">
      <c r="A4893" t="s">
        <v>2274</v>
      </c>
    </row>
    <row r="4894" spans="1:1" x14ac:dyDescent="0.3">
      <c r="A4894" t="s">
        <v>2268</v>
      </c>
    </row>
    <row r="4895" spans="1:1" x14ac:dyDescent="0.3">
      <c r="A4895" t="s">
        <v>2275</v>
      </c>
    </row>
    <row r="4896" spans="1:1" x14ac:dyDescent="0.3">
      <c r="A4896" t="s">
        <v>1153</v>
      </c>
    </row>
    <row r="4897" spans="1:1" x14ac:dyDescent="0.3">
      <c r="A4897" t="s">
        <v>110</v>
      </c>
    </row>
    <row r="4898" spans="1:1" x14ac:dyDescent="0.3">
      <c r="A4898" t="s">
        <v>1154</v>
      </c>
    </row>
    <row r="4899" spans="1:1" x14ac:dyDescent="0.3">
      <c r="A4899" t="s">
        <v>2276</v>
      </c>
    </row>
    <row r="4900" spans="1:1" x14ac:dyDescent="0.3">
      <c r="A4900" t="s">
        <v>51</v>
      </c>
    </row>
    <row r="4901" spans="1:1" x14ac:dyDescent="0.3">
      <c r="A4901" t="s">
        <v>52</v>
      </c>
    </row>
    <row r="4902" spans="1:1" x14ac:dyDescent="0.3">
      <c r="A4902" t="s">
        <v>79</v>
      </c>
    </row>
    <row r="4903" spans="1:1" x14ac:dyDescent="0.3">
      <c r="A4903" t="s">
        <v>98</v>
      </c>
    </row>
    <row r="4904" spans="1:1" x14ac:dyDescent="0.3">
      <c r="A4904" t="s">
        <v>13</v>
      </c>
    </row>
    <row r="4905" spans="1:1" x14ac:dyDescent="0.3">
      <c r="A4905" t="s">
        <v>106</v>
      </c>
    </row>
    <row r="4906" spans="1:1" x14ac:dyDescent="0.3">
      <c r="A4906" t="s">
        <v>2271</v>
      </c>
    </row>
    <row r="4907" spans="1:1" x14ac:dyDescent="0.3">
      <c r="A4907" t="s">
        <v>1157</v>
      </c>
    </row>
    <row r="4908" spans="1:1" x14ac:dyDescent="0.3">
      <c r="A4908" t="s">
        <v>2266</v>
      </c>
    </row>
    <row r="4909" spans="1:1" x14ac:dyDescent="0.3">
      <c r="A4909" t="s">
        <v>12</v>
      </c>
    </row>
    <row r="4910" spans="1:1" x14ac:dyDescent="0.3">
      <c r="A4910" t="s">
        <v>13</v>
      </c>
    </row>
    <row r="4911" spans="1:1" x14ac:dyDescent="0.3">
      <c r="A4911" t="s">
        <v>105</v>
      </c>
    </row>
    <row r="4912" spans="1:1" x14ac:dyDescent="0.3">
      <c r="A4912" t="s">
        <v>2272</v>
      </c>
    </row>
    <row r="4913" spans="1:1" x14ac:dyDescent="0.3">
      <c r="A4913" t="s">
        <v>1157</v>
      </c>
    </row>
    <row r="4914" spans="1:1" x14ac:dyDescent="0.3">
      <c r="A4914" t="s">
        <v>2273</v>
      </c>
    </row>
    <row r="4915" spans="1:1" x14ac:dyDescent="0.3">
      <c r="A4915" t="s">
        <v>12</v>
      </c>
    </row>
    <row r="4916" spans="1:1" x14ac:dyDescent="0.3">
      <c r="A4916" t="s">
        <v>40</v>
      </c>
    </row>
    <row r="4918" spans="1:1" x14ac:dyDescent="0.3">
      <c r="A4918" t="s">
        <v>12</v>
      </c>
    </row>
    <row r="4919" spans="1:1" x14ac:dyDescent="0.3">
      <c r="A4919" t="s">
        <v>13</v>
      </c>
    </row>
    <row r="4920" spans="1:1" x14ac:dyDescent="0.3">
      <c r="A4920" t="s">
        <v>2277</v>
      </c>
    </row>
    <row r="4921" spans="1:1" x14ac:dyDescent="0.3">
      <c r="A4921" t="s">
        <v>2278</v>
      </c>
    </row>
    <row r="4922" spans="1:1" x14ac:dyDescent="0.3">
      <c r="A4922" t="s">
        <v>2279</v>
      </c>
    </row>
    <row r="4923" spans="1:1" x14ac:dyDescent="0.3">
      <c r="A4923" t="s">
        <v>1153</v>
      </c>
    </row>
    <row r="4924" spans="1:1" x14ac:dyDescent="0.3">
      <c r="A4924" t="s">
        <v>110</v>
      </c>
    </row>
    <row r="4925" spans="1:1" x14ac:dyDescent="0.3">
      <c r="A4925" t="s">
        <v>1154</v>
      </c>
    </row>
    <row r="4926" spans="1:1" x14ac:dyDescent="0.3">
      <c r="A4926" t="s">
        <v>2280</v>
      </c>
    </row>
    <row r="4927" spans="1:1" x14ac:dyDescent="0.3">
      <c r="A4927" t="s">
        <v>51</v>
      </c>
    </row>
    <row r="4928" spans="1:1" x14ac:dyDescent="0.3">
      <c r="A4928" t="s">
        <v>52</v>
      </c>
    </row>
    <row r="4929" spans="1:1" x14ac:dyDescent="0.3">
      <c r="A4929" t="s">
        <v>79</v>
      </c>
    </row>
    <row r="4930" spans="1:1" x14ac:dyDescent="0.3">
      <c r="A4930" t="s">
        <v>98</v>
      </c>
    </row>
    <row r="4931" spans="1:1" x14ac:dyDescent="0.3">
      <c r="A4931" t="s">
        <v>13</v>
      </c>
    </row>
    <row r="4932" spans="1:1" x14ac:dyDescent="0.3">
      <c r="A4932" t="s">
        <v>106</v>
      </c>
    </row>
    <row r="4933" spans="1:1" x14ac:dyDescent="0.3">
      <c r="A4933" t="s">
        <v>2281</v>
      </c>
    </row>
    <row r="4934" spans="1:1" x14ac:dyDescent="0.3">
      <c r="A4934" t="s">
        <v>1157</v>
      </c>
    </row>
    <row r="4935" spans="1:1" x14ac:dyDescent="0.3">
      <c r="A4935" t="s">
        <v>2282</v>
      </c>
    </row>
    <row r="4936" spans="1:1" x14ac:dyDescent="0.3">
      <c r="A4936" t="s">
        <v>12</v>
      </c>
    </row>
    <row r="4937" spans="1:1" x14ac:dyDescent="0.3">
      <c r="A4937" t="s">
        <v>13</v>
      </c>
    </row>
    <row r="4938" spans="1:1" x14ac:dyDescent="0.3">
      <c r="A4938" t="s">
        <v>105</v>
      </c>
    </row>
    <row r="4939" spans="1:1" x14ac:dyDescent="0.3">
      <c r="A4939" t="s">
        <v>2283</v>
      </c>
    </row>
    <row r="4940" spans="1:1" x14ac:dyDescent="0.3">
      <c r="A4940" t="s">
        <v>1157</v>
      </c>
    </row>
    <row r="4941" spans="1:1" x14ac:dyDescent="0.3">
      <c r="A4941" t="s">
        <v>2284</v>
      </c>
    </row>
    <row r="4942" spans="1:1" x14ac:dyDescent="0.3">
      <c r="A4942" t="s">
        <v>12</v>
      </c>
    </row>
    <row r="4943" spans="1:1" x14ac:dyDescent="0.3">
      <c r="A4943" t="s">
        <v>40</v>
      </c>
    </row>
    <row r="4945" spans="1:1" x14ac:dyDescent="0.3">
      <c r="A4945" t="s">
        <v>12</v>
      </c>
    </row>
    <row r="4946" spans="1:1" x14ac:dyDescent="0.3">
      <c r="A4946" t="s">
        <v>13</v>
      </c>
    </row>
    <row r="4947" spans="1:1" x14ac:dyDescent="0.3">
      <c r="A4947" t="s">
        <v>2285</v>
      </c>
    </row>
    <row r="4948" spans="1:1" x14ac:dyDescent="0.3">
      <c r="A4948" t="s">
        <v>2286</v>
      </c>
    </row>
    <row r="4949" spans="1:1" x14ac:dyDescent="0.3">
      <c r="A4949" t="s">
        <v>2287</v>
      </c>
    </row>
    <row r="4950" spans="1:1" x14ac:dyDescent="0.3">
      <c r="A4950" t="s">
        <v>1153</v>
      </c>
    </row>
    <row r="4951" spans="1:1" x14ac:dyDescent="0.3">
      <c r="A4951" t="s">
        <v>110</v>
      </c>
    </row>
    <row r="4952" spans="1:1" x14ac:dyDescent="0.3">
      <c r="A4952" t="s">
        <v>1154</v>
      </c>
    </row>
    <row r="4953" spans="1:1" x14ac:dyDescent="0.3">
      <c r="A4953" t="s">
        <v>2288</v>
      </c>
    </row>
    <row r="4954" spans="1:1" x14ac:dyDescent="0.3">
      <c r="A4954" t="s">
        <v>51</v>
      </c>
    </row>
    <row r="4955" spans="1:1" x14ac:dyDescent="0.3">
      <c r="A4955" t="s">
        <v>52</v>
      </c>
    </row>
    <row r="4956" spans="1:1" x14ac:dyDescent="0.3">
      <c r="A4956" t="s">
        <v>79</v>
      </c>
    </row>
    <row r="4957" spans="1:1" x14ac:dyDescent="0.3">
      <c r="A4957" t="s">
        <v>98</v>
      </c>
    </row>
    <row r="4958" spans="1:1" x14ac:dyDescent="0.3">
      <c r="A4958" t="s">
        <v>13</v>
      </c>
    </row>
    <row r="4959" spans="1:1" x14ac:dyDescent="0.3">
      <c r="A4959" t="s">
        <v>106</v>
      </c>
    </row>
    <row r="4960" spans="1:1" x14ac:dyDescent="0.3">
      <c r="A4960" t="s">
        <v>2289</v>
      </c>
    </row>
    <row r="4961" spans="1:1" x14ac:dyDescent="0.3">
      <c r="A4961" t="s">
        <v>1157</v>
      </c>
    </row>
    <row r="4962" spans="1:1" x14ac:dyDescent="0.3">
      <c r="A4962" t="s">
        <v>2290</v>
      </c>
    </row>
    <row r="4963" spans="1:1" x14ac:dyDescent="0.3">
      <c r="A4963" t="s">
        <v>12</v>
      </c>
    </row>
    <row r="4964" spans="1:1" x14ac:dyDescent="0.3">
      <c r="A4964" t="s">
        <v>13</v>
      </c>
    </row>
    <row r="4965" spans="1:1" x14ac:dyDescent="0.3">
      <c r="A4965" t="s">
        <v>105</v>
      </c>
    </row>
    <row r="4966" spans="1:1" x14ac:dyDescent="0.3">
      <c r="A4966" t="s">
        <v>2291</v>
      </c>
    </row>
    <row r="4967" spans="1:1" x14ac:dyDescent="0.3">
      <c r="A4967" t="s">
        <v>1157</v>
      </c>
    </row>
    <row r="4968" spans="1:1" x14ac:dyDescent="0.3">
      <c r="A4968" t="s">
        <v>2292</v>
      </c>
    </row>
    <row r="4969" spans="1:1" x14ac:dyDescent="0.3">
      <c r="A4969" t="s">
        <v>12</v>
      </c>
    </row>
    <row r="4970" spans="1:1" x14ac:dyDescent="0.3">
      <c r="A4970" t="s">
        <v>40</v>
      </c>
    </row>
    <row r="4972" spans="1:1" x14ac:dyDescent="0.3">
      <c r="A4972" t="s">
        <v>12</v>
      </c>
    </row>
    <row r="4973" spans="1:1" x14ac:dyDescent="0.3">
      <c r="A4973" t="s">
        <v>13</v>
      </c>
    </row>
    <row r="4974" spans="1:1" x14ac:dyDescent="0.3">
      <c r="A4974" t="s">
        <v>2293</v>
      </c>
    </row>
    <row r="4975" spans="1:1" x14ac:dyDescent="0.3">
      <c r="A4975" t="s">
        <v>2294</v>
      </c>
    </row>
    <row r="4976" spans="1:1" x14ac:dyDescent="0.3">
      <c r="A4976" t="s">
        <v>2295</v>
      </c>
    </row>
    <row r="4977" spans="1:1" x14ac:dyDescent="0.3">
      <c r="A4977" t="s">
        <v>1153</v>
      </c>
    </row>
    <row r="4978" spans="1:1" x14ac:dyDescent="0.3">
      <c r="A4978" t="s">
        <v>110</v>
      </c>
    </row>
    <row r="4979" spans="1:1" x14ac:dyDescent="0.3">
      <c r="A4979" t="s">
        <v>1154</v>
      </c>
    </row>
    <row r="4980" spans="1:1" x14ac:dyDescent="0.3">
      <c r="A4980" t="s">
        <v>2296</v>
      </c>
    </row>
    <row r="4981" spans="1:1" x14ac:dyDescent="0.3">
      <c r="A4981" t="s">
        <v>51</v>
      </c>
    </row>
    <row r="4982" spans="1:1" x14ac:dyDescent="0.3">
      <c r="A4982" t="s">
        <v>52</v>
      </c>
    </row>
    <row r="4983" spans="1:1" x14ac:dyDescent="0.3">
      <c r="A4983" t="s">
        <v>79</v>
      </c>
    </row>
    <row r="4984" spans="1:1" x14ac:dyDescent="0.3">
      <c r="A4984" t="s">
        <v>98</v>
      </c>
    </row>
    <row r="4985" spans="1:1" x14ac:dyDescent="0.3">
      <c r="A4985" t="s">
        <v>13</v>
      </c>
    </row>
    <row r="4986" spans="1:1" x14ac:dyDescent="0.3">
      <c r="A4986" t="s">
        <v>106</v>
      </c>
    </row>
    <row r="4987" spans="1:1" x14ac:dyDescent="0.3">
      <c r="A4987" t="s">
        <v>2297</v>
      </c>
    </row>
    <row r="4988" spans="1:1" x14ac:dyDescent="0.3">
      <c r="A4988" t="s">
        <v>1157</v>
      </c>
    </row>
    <row r="4989" spans="1:1" x14ac:dyDescent="0.3">
      <c r="A4989" t="s">
        <v>2298</v>
      </c>
    </row>
    <row r="4990" spans="1:1" x14ac:dyDescent="0.3">
      <c r="A4990" t="s">
        <v>12</v>
      </c>
    </row>
    <row r="4991" spans="1:1" x14ac:dyDescent="0.3">
      <c r="A4991" t="s">
        <v>13</v>
      </c>
    </row>
    <row r="4992" spans="1:1" x14ac:dyDescent="0.3">
      <c r="A4992" t="s">
        <v>105</v>
      </c>
    </row>
    <row r="4993" spans="1:1" x14ac:dyDescent="0.3">
      <c r="A4993" t="s">
        <v>2299</v>
      </c>
    </row>
    <row r="4994" spans="1:1" x14ac:dyDescent="0.3">
      <c r="A4994" t="s">
        <v>1157</v>
      </c>
    </row>
    <row r="4995" spans="1:1" x14ac:dyDescent="0.3">
      <c r="A4995" t="s">
        <v>2300</v>
      </c>
    </row>
    <row r="4996" spans="1:1" x14ac:dyDescent="0.3">
      <c r="A4996" t="s">
        <v>12</v>
      </c>
    </row>
    <row r="4997" spans="1:1" x14ac:dyDescent="0.3">
      <c r="A4997" t="s">
        <v>40</v>
      </c>
    </row>
    <row r="4999" spans="1:1" x14ac:dyDescent="0.3">
      <c r="A4999" t="s">
        <v>12</v>
      </c>
    </row>
    <row r="5000" spans="1:1" x14ac:dyDescent="0.3">
      <c r="A5000" t="s">
        <v>13</v>
      </c>
    </row>
    <row r="5001" spans="1:1" x14ac:dyDescent="0.3">
      <c r="A5001" t="s">
        <v>2301</v>
      </c>
    </row>
    <row r="5002" spans="1:1" x14ac:dyDescent="0.3">
      <c r="A5002" t="s">
        <v>2302</v>
      </c>
    </row>
    <row r="5003" spans="1:1" x14ac:dyDescent="0.3">
      <c r="A5003" t="s">
        <v>2303</v>
      </c>
    </row>
    <row r="5004" spans="1:1" x14ac:dyDescent="0.3">
      <c r="A5004" t="s">
        <v>1153</v>
      </c>
    </row>
    <row r="5005" spans="1:1" x14ac:dyDescent="0.3">
      <c r="A5005" t="s">
        <v>110</v>
      </c>
    </row>
    <row r="5006" spans="1:1" x14ac:dyDescent="0.3">
      <c r="A5006" t="s">
        <v>1154</v>
      </c>
    </row>
    <row r="5007" spans="1:1" x14ac:dyDescent="0.3">
      <c r="A5007" t="s">
        <v>2304</v>
      </c>
    </row>
    <row r="5008" spans="1:1" x14ac:dyDescent="0.3">
      <c r="A5008" t="s">
        <v>51</v>
      </c>
    </row>
    <row r="5009" spans="1:1" x14ac:dyDescent="0.3">
      <c r="A5009" t="s">
        <v>52</v>
      </c>
    </row>
    <row r="5010" spans="1:1" x14ac:dyDescent="0.3">
      <c r="A5010" t="s">
        <v>79</v>
      </c>
    </row>
    <row r="5011" spans="1:1" x14ac:dyDescent="0.3">
      <c r="A5011" t="s">
        <v>98</v>
      </c>
    </row>
    <row r="5012" spans="1:1" x14ac:dyDescent="0.3">
      <c r="A5012" t="s">
        <v>13</v>
      </c>
    </row>
    <row r="5013" spans="1:1" x14ac:dyDescent="0.3">
      <c r="A5013" t="s">
        <v>106</v>
      </c>
    </row>
    <row r="5014" spans="1:1" x14ac:dyDescent="0.3">
      <c r="A5014" t="s">
        <v>2305</v>
      </c>
    </row>
    <row r="5015" spans="1:1" x14ac:dyDescent="0.3">
      <c r="A5015" t="s">
        <v>1157</v>
      </c>
    </row>
    <row r="5016" spans="1:1" x14ac:dyDescent="0.3">
      <c r="A5016" t="s">
        <v>2273</v>
      </c>
    </row>
    <row r="5017" spans="1:1" x14ac:dyDescent="0.3">
      <c r="A5017" t="s">
        <v>12</v>
      </c>
    </row>
    <row r="5018" spans="1:1" x14ac:dyDescent="0.3">
      <c r="A5018" t="s">
        <v>13</v>
      </c>
    </row>
    <row r="5019" spans="1:1" x14ac:dyDescent="0.3">
      <c r="A5019" t="s">
        <v>105</v>
      </c>
    </row>
    <row r="5020" spans="1:1" x14ac:dyDescent="0.3">
      <c r="A5020" t="s">
        <v>2306</v>
      </c>
    </row>
    <row r="5021" spans="1:1" x14ac:dyDescent="0.3">
      <c r="A5021" t="s">
        <v>1157</v>
      </c>
    </row>
    <row r="5022" spans="1:1" x14ac:dyDescent="0.3">
      <c r="A5022" t="s">
        <v>1790</v>
      </c>
    </row>
    <row r="5023" spans="1:1" x14ac:dyDescent="0.3">
      <c r="A5023" t="s">
        <v>12</v>
      </c>
    </row>
    <row r="5024" spans="1:1" x14ac:dyDescent="0.3">
      <c r="A5024" t="s">
        <v>40</v>
      </c>
    </row>
    <row r="5026" spans="1:1" x14ac:dyDescent="0.3">
      <c r="A5026" t="s">
        <v>12</v>
      </c>
    </row>
    <row r="5027" spans="1:1" x14ac:dyDescent="0.3">
      <c r="A5027" t="s">
        <v>13</v>
      </c>
    </row>
    <row r="5028" spans="1:1" x14ac:dyDescent="0.3">
      <c r="A5028" t="s">
        <v>2307</v>
      </c>
    </row>
    <row r="5029" spans="1:1" x14ac:dyDescent="0.3">
      <c r="A5029" t="s">
        <v>2308</v>
      </c>
    </row>
    <row r="5030" spans="1:1" x14ac:dyDescent="0.3">
      <c r="A5030" t="s">
        <v>2309</v>
      </c>
    </row>
    <row r="5031" spans="1:1" x14ac:dyDescent="0.3">
      <c r="A5031" t="s">
        <v>1153</v>
      </c>
    </row>
    <row r="5032" spans="1:1" x14ac:dyDescent="0.3">
      <c r="A5032" t="s">
        <v>110</v>
      </c>
    </row>
    <row r="5033" spans="1:1" x14ac:dyDescent="0.3">
      <c r="A5033" t="s">
        <v>1154</v>
      </c>
    </row>
    <row r="5034" spans="1:1" x14ac:dyDescent="0.3">
      <c r="A5034" t="s">
        <v>2310</v>
      </c>
    </row>
    <row r="5035" spans="1:1" x14ac:dyDescent="0.3">
      <c r="A5035" t="s">
        <v>51</v>
      </c>
    </row>
    <row r="5036" spans="1:1" x14ac:dyDescent="0.3">
      <c r="A5036" t="s">
        <v>52</v>
      </c>
    </row>
    <row r="5037" spans="1:1" x14ac:dyDescent="0.3">
      <c r="A5037" t="s">
        <v>79</v>
      </c>
    </row>
    <row r="5038" spans="1:1" x14ac:dyDescent="0.3">
      <c r="A5038" t="s">
        <v>98</v>
      </c>
    </row>
    <row r="5039" spans="1:1" x14ac:dyDescent="0.3">
      <c r="A5039" t="s">
        <v>13</v>
      </c>
    </row>
    <row r="5040" spans="1:1" x14ac:dyDescent="0.3">
      <c r="A5040" t="s">
        <v>106</v>
      </c>
    </row>
    <row r="5041" spans="1:1" x14ac:dyDescent="0.3">
      <c r="A5041" t="s">
        <v>2311</v>
      </c>
    </row>
    <row r="5042" spans="1:1" x14ac:dyDescent="0.3">
      <c r="A5042" t="s">
        <v>1157</v>
      </c>
    </row>
    <row r="5043" spans="1:1" x14ac:dyDescent="0.3">
      <c r="A5043" t="s">
        <v>1790</v>
      </c>
    </row>
    <row r="5044" spans="1:1" x14ac:dyDescent="0.3">
      <c r="A5044" t="s">
        <v>12</v>
      </c>
    </row>
    <row r="5045" spans="1:1" x14ac:dyDescent="0.3">
      <c r="A5045" t="s">
        <v>13</v>
      </c>
    </row>
    <row r="5046" spans="1:1" x14ac:dyDescent="0.3">
      <c r="A5046" t="s">
        <v>105</v>
      </c>
    </row>
    <row r="5047" spans="1:1" x14ac:dyDescent="0.3">
      <c r="A5047" t="s">
        <v>2312</v>
      </c>
    </row>
    <row r="5048" spans="1:1" x14ac:dyDescent="0.3">
      <c r="A5048" t="s">
        <v>1157</v>
      </c>
    </row>
    <row r="5049" spans="1:1" x14ac:dyDescent="0.3">
      <c r="A5049" t="s">
        <v>2298</v>
      </c>
    </row>
    <row r="5050" spans="1:1" x14ac:dyDescent="0.3">
      <c r="A5050" t="s">
        <v>12</v>
      </c>
    </row>
    <row r="5051" spans="1:1" x14ac:dyDescent="0.3">
      <c r="A5051" t="s">
        <v>40</v>
      </c>
    </row>
    <row r="5053" spans="1:1" x14ac:dyDescent="0.3">
      <c r="A5053" t="s">
        <v>12</v>
      </c>
    </row>
    <row r="5054" spans="1:1" x14ac:dyDescent="0.3">
      <c r="A5054" t="s">
        <v>13</v>
      </c>
    </row>
    <row r="5055" spans="1:1" x14ac:dyDescent="0.3">
      <c r="A5055" t="s">
        <v>2313</v>
      </c>
    </row>
    <row r="5056" spans="1:1" x14ac:dyDescent="0.3">
      <c r="A5056" t="s">
        <v>2314</v>
      </c>
    </row>
    <row r="5057" spans="1:1" x14ac:dyDescent="0.3">
      <c r="A5057" t="s">
        <v>2315</v>
      </c>
    </row>
    <row r="5058" spans="1:1" x14ac:dyDescent="0.3">
      <c r="A5058" t="s">
        <v>1153</v>
      </c>
    </row>
    <row r="5059" spans="1:1" x14ac:dyDescent="0.3">
      <c r="A5059" t="s">
        <v>110</v>
      </c>
    </row>
    <row r="5060" spans="1:1" x14ac:dyDescent="0.3">
      <c r="A5060" t="s">
        <v>1154</v>
      </c>
    </row>
    <row r="5061" spans="1:1" x14ac:dyDescent="0.3">
      <c r="A5061" t="s">
        <v>2316</v>
      </c>
    </row>
    <row r="5062" spans="1:1" x14ac:dyDescent="0.3">
      <c r="A5062" t="s">
        <v>51</v>
      </c>
    </row>
    <row r="5063" spans="1:1" x14ac:dyDescent="0.3">
      <c r="A5063" t="s">
        <v>52</v>
      </c>
    </row>
    <row r="5064" spans="1:1" x14ac:dyDescent="0.3">
      <c r="A5064" t="s">
        <v>79</v>
      </c>
    </row>
    <row r="5065" spans="1:1" x14ac:dyDescent="0.3">
      <c r="A5065" t="s">
        <v>98</v>
      </c>
    </row>
    <row r="5066" spans="1:1" x14ac:dyDescent="0.3">
      <c r="A5066" t="s">
        <v>13</v>
      </c>
    </row>
    <row r="5067" spans="1:1" x14ac:dyDescent="0.3">
      <c r="A5067" t="s">
        <v>106</v>
      </c>
    </row>
    <row r="5068" spans="1:1" x14ac:dyDescent="0.3">
      <c r="A5068" t="s">
        <v>2317</v>
      </c>
    </row>
    <row r="5069" spans="1:1" x14ac:dyDescent="0.3">
      <c r="A5069" t="s">
        <v>1157</v>
      </c>
    </row>
    <row r="5070" spans="1:1" x14ac:dyDescent="0.3">
      <c r="A5070" t="s">
        <v>111</v>
      </c>
    </row>
    <row r="5071" spans="1:1" x14ac:dyDescent="0.3">
      <c r="A5071" t="s">
        <v>12</v>
      </c>
    </row>
    <row r="5072" spans="1:1" x14ac:dyDescent="0.3">
      <c r="A5072" t="s">
        <v>13</v>
      </c>
    </row>
    <row r="5073" spans="1:1" x14ac:dyDescent="0.3">
      <c r="A5073" t="s">
        <v>105</v>
      </c>
    </row>
    <row r="5074" spans="1:1" x14ac:dyDescent="0.3">
      <c r="A5074" t="s">
        <v>2318</v>
      </c>
    </row>
    <row r="5075" spans="1:1" x14ac:dyDescent="0.3">
      <c r="A5075" t="s">
        <v>1157</v>
      </c>
    </row>
    <row r="5076" spans="1:1" x14ac:dyDescent="0.3">
      <c r="A5076" t="s">
        <v>2319</v>
      </c>
    </row>
    <row r="5077" spans="1:1" x14ac:dyDescent="0.3">
      <c r="A5077" t="s">
        <v>12</v>
      </c>
    </row>
    <row r="5078" spans="1:1" x14ac:dyDescent="0.3">
      <c r="A5078" t="s">
        <v>40</v>
      </c>
    </row>
    <row r="5080" spans="1:1" x14ac:dyDescent="0.3">
      <c r="A5080" t="s">
        <v>12</v>
      </c>
    </row>
    <row r="5081" spans="1:1" x14ac:dyDescent="0.3">
      <c r="A5081" t="s">
        <v>13</v>
      </c>
    </row>
    <row r="5082" spans="1:1" x14ac:dyDescent="0.3">
      <c r="A5082" t="s">
        <v>2320</v>
      </c>
    </row>
    <row r="5083" spans="1:1" x14ac:dyDescent="0.3">
      <c r="A5083" t="s">
        <v>2321</v>
      </c>
    </row>
    <row r="5084" spans="1:1" x14ac:dyDescent="0.3">
      <c r="A5084" t="s">
        <v>2322</v>
      </c>
    </row>
    <row r="5085" spans="1:1" x14ac:dyDescent="0.3">
      <c r="A5085" t="s">
        <v>1153</v>
      </c>
    </row>
    <row r="5086" spans="1:1" x14ac:dyDescent="0.3">
      <c r="A5086" t="s">
        <v>110</v>
      </c>
    </row>
    <row r="5087" spans="1:1" x14ac:dyDescent="0.3">
      <c r="A5087" t="s">
        <v>1154</v>
      </c>
    </row>
    <row r="5088" spans="1:1" x14ac:dyDescent="0.3">
      <c r="A5088" t="s">
        <v>2323</v>
      </c>
    </row>
    <row r="5089" spans="1:1" x14ac:dyDescent="0.3">
      <c r="A5089" t="s">
        <v>51</v>
      </c>
    </row>
    <row r="5090" spans="1:1" x14ac:dyDescent="0.3">
      <c r="A5090" t="s">
        <v>52</v>
      </c>
    </row>
    <row r="5091" spans="1:1" x14ac:dyDescent="0.3">
      <c r="A5091" t="s">
        <v>79</v>
      </c>
    </row>
    <row r="5092" spans="1:1" x14ac:dyDescent="0.3">
      <c r="A5092" t="s">
        <v>98</v>
      </c>
    </row>
    <row r="5093" spans="1:1" x14ac:dyDescent="0.3">
      <c r="A5093" t="s">
        <v>13</v>
      </c>
    </row>
    <row r="5094" spans="1:1" x14ac:dyDescent="0.3">
      <c r="A5094" t="s">
        <v>105</v>
      </c>
    </row>
    <row r="5095" spans="1:1" x14ac:dyDescent="0.3">
      <c r="A5095" t="s">
        <v>2324</v>
      </c>
    </row>
    <row r="5096" spans="1:1" x14ac:dyDescent="0.3">
      <c r="A5096" t="s">
        <v>1157</v>
      </c>
    </row>
    <row r="5097" spans="1:1" x14ac:dyDescent="0.3">
      <c r="A5097" t="s">
        <v>2325</v>
      </c>
    </row>
    <row r="5098" spans="1:1" x14ac:dyDescent="0.3">
      <c r="A5098" t="s">
        <v>12</v>
      </c>
    </row>
    <row r="5099" spans="1:1" x14ac:dyDescent="0.3">
      <c r="A5099" t="s">
        <v>13</v>
      </c>
    </row>
    <row r="5100" spans="1:1" x14ac:dyDescent="0.3">
      <c r="A5100" t="s">
        <v>106</v>
      </c>
    </row>
    <row r="5101" spans="1:1" x14ac:dyDescent="0.3">
      <c r="A5101" t="s">
        <v>2326</v>
      </c>
    </row>
    <row r="5102" spans="1:1" x14ac:dyDescent="0.3">
      <c r="A5102" t="s">
        <v>1157</v>
      </c>
    </row>
    <row r="5103" spans="1:1" x14ac:dyDescent="0.3">
      <c r="A5103" t="s">
        <v>2327</v>
      </c>
    </row>
    <row r="5104" spans="1:1" x14ac:dyDescent="0.3">
      <c r="A5104" t="s">
        <v>12</v>
      </c>
    </row>
    <row r="5105" spans="1:1" x14ac:dyDescent="0.3">
      <c r="A5105" t="s">
        <v>40</v>
      </c>
    </row>
    <row r="5107" spans="1:1" x14ac:dyDescent="0.3">
      <c r="A5107" t="s">
        <v>12</v>
      </c>
    </row>
    <row r="5108" spans="1:1" x14ac:dyDescent="0.3">
      <c r="A5108" t="s">
        <v>13</v>
      </c>
    </row>
    <row r="5109" spans="1:1" x14ac:dyDescent="0.3">
      <c r="A5109" t="s">
        <v>2328</v>
      </c>
    </row>
    <row r="5110" spans="1:1" x14ac:dyDescent="0.3">
      <c r="A5110" t="s">
        <v>2329</v>
      </c>
    </row>
    <row r="5111" spans="1:1" x14ac:dyDescent="0.3">
      <c r="A5111" t="s">
        <v>2330</v>
      </c>
    </row>
    <row r="5112" spans="1:1" x14ac:dyDescent="0.3">
      <c r="A5112" t="s">
        <v>1153</v>
      </c>
    </row>
    <row r="5113" spans="1:1" x14ac:dyDescent="0.3">
      <c r="A5113" t="s">
        <v>110</v>
      </c>
    </row>
    <row r="5114" spans="1:1" x14ac:dyDescent="0.3">
      <c r="A5114" t="s">
        <v>1154</v>
      </c>
    </row>
    <row r="5115" spans="1:1" x14ac:dyDescent="0.3">
      <c r="A5115" t="s">
        <v>2331</v>
      </c>
    </row>
    <row r="5116" spans="1:1" x14ac:dyDescent="0.3">
      <c r="A5116" t="s">
        <v>51</v>
      </c>
    </row>
    <row r="5117" spans="1:1" x14ac:dyDescent="0.3">
      <c r="A5117" t="s">
        <v>52</v>
      </c>
    </row>
    <row r="5118" spans="1:1" x14ac:dyDescent="0.3">
      <c r="A5118" t="s">
        <v>79</v>
      </c>
    </row>
    <row r="5120" spans="1:1" x14ac:dyDescent="0.3">
      <c r="A5120" t="s">
        <v>12</v>
      </c>
    </row>
    <row r="5121" spans="1:1" x14ac:dyDescent="0.3">
      <c r="A5121" t="s">
        <v>13</v>
      </c>
    </row>
    <row r="5122" spans="1:1" x14ac:dyDescent="0.3">
      <c r="A5122" t="s">
        <v>2332</v>
      </c>
    </row>
    <row r="5123" spans="1:1" x14ac:dyDescent="0.3">
      <c r="A5123" t="s">
        <v>2333</v>
      </c>
    </row>
    <row r="5124" spans="1:1" x14ac:dyDescent="0.3">
      <c r="A5124" t="s">
        <v>2334</v>
      </c>
    </row>
    <row r="5125" spans="1:1" x14ac:dyDescent="0.3">
      <c r="A5125" t="s">
        <v>1153</v>
      </c>
    </row>
    <row r="5126" spans="1:1" x14ac:dyDescent="0.3">
      <c r="A5126" t="s">
        <v>110</v>
      </c>
    </row>
    <row r="5127" spans="1:1" x14ac:dyDescent="0.3">
      <c r="A5127" t="s">
        <v>1154</v>
      </c>
    </row>
    <row r="5128" spans="1:1" x14ac:dyDescent="0.3">
      <c r="A5128" t="s">
        <v>2335</v>
      </c>
    </row>
    <row r="5129" spans="1:1" x14ac:dyDescent="0.3">
      <c r="A5129" t="s">
        <v>51</v>
      </c>
    </row>
    <row r="5130" spans="1:1" x14ac:dyDescent="0.3">
      <c r="A5130" t="s">
        <v>52</v>
      </c>
    </row>
    <row r="5131" spans="1:1" x14ac:dyDescent="0.3">
      <c r="A5131" t="s">
        <v>79</v>
      </c>
    </row>
    <row r="5133" spans="1:1" x14ac:dyDescent="0.3">
      <c r="A5133" t="s">
        <v>12</v>
      </c>
    </row>
    <row r="5134" spans="1:1" x14ac:dyDescent="0.3">
      <c r="A5134" t="s">
        <v>13</v>
      </c>
    </row>
    <row r="5135" spans="1:1" x14ac:dyDescent="0.3">
      <c r="A5135" t="s">
        <v>2336</v>
      </c>
    </row>
    <row r="5136" spans="1:1" x14ac:dyDescent="0.3">
      <c r="A5136" t="s">
        <v>2337</v>
      </c>
    </row>
    <row r="5137" spans="1:1" x14ac:dyDescent="0.3">
      <c r="A5137" t="s">
        <v>2338</v>
      </c>
    </row>
    <row r="5138" spans="1:1" x14ac:dyDescent="0.3">
      <c r="A5138" t="s">
        <v>1153</v>
      </c>
    </row>
    <row r="5139" spans="1:1" x14ac:dyDescent="0.3">
      <c r="A5139" t="s">
        <v>110</v>
      </c>
    </row>
    <row r="5140" spans="1:1" x14ac:dyDescent="0.3">
      <c r="A5140" t="s">
        <v>1154</v>
      </c>
    </row>
    <row r="5141" spans="1:1" x14ac:dyDescent="0.3">
      <c r="A5141" t="s">
        <v>2339</v>
      </c>
    </row>
    <row r="5142" spans="1:1" x14ac:dyDescent="0.3">
      <c r="A5142" t="s">
        <v>51</v>
      </c>
    </row>
    <row r="5143" spans="1:1" x14ac:dyDescent="0.3">
      <c r="A5143" t="s">
        <v>52</v>
      </c>
    </row>
    <row r="5144" spans="1:1" x14ac:dyDescent="0.3">
      <c r="A5144" t="s">
        <v>79</v>
      </c>
    </row>
    <row r="5146" spans="1:1" x14ac:dyDescent="0.3">
      <c r="A5146" t="s">
        <v>12</v>
      </c>
    </row>
    <row r="5147" spans="1:1" x14ac:dyDescent="0.3">
      <c r="A5147" t="s">
        <v>13</v>
      </c>
    </row>
    <row r="5148" spans="1:1" x14ac:dyDescent="0.3">
      <c r="A5148" t="s">
        <v>2340</v>
      </c>
    </row>
    <row r="5149" spans="1:1" x14ac:dyDescent="0.3">
      <c r="A5149" t="s">
        <v>2341</v>
      </c>
    </row>
    <row r="5150" spans="1:1" x14ac:dyDescent="0.3">
      <c r="A5150" t="s">
        <v>2342</v>
      </c>
    </row>
    <row r="5151" spans="1:1" x14ac:dyDescent="0.3">
      <c r="A5151" t="s">
        <v>1153</v>
      </c>
    </row>
    <row r="5152" spans="1:1" x14ac:dyDescent="0.3">
      <c r="A5152" t="s">
        <v>110</v>
      </c>
    </row>
    <row r="5153" spans="1:1" x14ac:dyDescent="0.3">
      <c r="A5153" t="s">
        <v>1154</v>
      </c>
    </row>
    <row r="5154" spans="1:1" x14ac:dyDescent="0.3">
      <c r="A5154" t="s">
        <v>2343</v>
      </c>
    </row>
    <row r="5155" spans="1:1" x14ac:dyDescent="0.3">
      <c r="A5155" t="s">
        <v>51</v>
      </c>
    </row>
    <row r="5156" spans="1:1" x14ac:dyDescent="0.3">
      <c r="A5156" t="s">
        <v>52</v>
      </c>
    </row>
    <row r="5157" spans="1:1" x14ac:dyDescent="0.3">
      <c r="A5157" t="s">
        <v>79</v>
      </c>
    </row>
    <row r="5159" spans="1:1" x14ac:dyDescent="0.3">
      <c r="A5159" t="s">
        <v>12</v>
      </c>
    </row>
    <row r="5160" spans="1:1" x14ac:dyDescent="0.3">
      <c r="A5160" t="s">
        <v>13</v>
      </c>
    </row>
    <row r="5161" spans="1:1" x14ac:dyDescent="0.3">
      <c r="A5161" t="s">
        <v>2344</v>
      </c>
    </row>
    <row r="5162" spans="1:1" x14ac:dyDescent="0.3">
      <c r="A5162" t="s">
        <v>2345</v>
      </c>
    </row>
    <row r="5163" spans="1:1" x14ac:dyDescent="0.3">
      <c r="A5163" t="s">
        <v>2346</v>
      </c>
    </row>
    <row r="5164" spans="1:1" x14ac:dyDescent="0.3">
      <c r="A5164" t="s">
        <v>1153</v>
      </c>
    </row>
    <row r="5165" spans="1:1" x14ac:dyDescent="0.3">
      <c r="A5165" t="s">
        <v>110</v>
      </c>
    </row>
    <row r="5166" spans="1:1" x14ac:dyDescent="0.3">
      <c r="A5166" t="s">
        <v>1154</v>
      </c>
    </row>
    <row r="5167" spans="1:1" x14ac:dyDescent="0.3">
      <c r="A5167" t="s">
        <v>2347</v>
      </c>
    </row>
    <row r="5168" spans="1:1" x14ac:dyDescent="0.3">
      <c r="A5168" t="s">
        <v>51</v>
      </c>
    </row>
    <row r="5169" spans="1:1" x14ac:dyDescent="0.3">
      <c r="A5169" t="s">
        <v>52</v>
      </c>
    </row>
    <row r="5170" spans="1:1" x14ac:dyDescent="0.3">
      <c r="A5170" t="s">
        <v>79</v>
      </c>
    </row>
    <row r="5172" spans="1:1" x14ac:dyDescent="0.3">
      <c r="A5172" t="s">
        <v>12</v>
      </c>
    </row>
    <row r="5173" spans="1:1" x14ac:dyDescent="0.3">
      <c r="A5173" t="s">
        <v>13</v>
      </c>
    </row>
    <row r="5174" spans="1:1" x14ac:dyDescent="0.3">
      <c r="A5174" t="s">
        <v>2348</v>
      </c>
    </row>
    <row r="5175" spans="1:1" x14ac:dyDescent="0.3">
      <c r="A5175" t="s">
        <v>1807</v>
      </c>
    </row>
    <row r="5176" spans="1:1" x14ac:dyDescent="0.3">
      <c r="A5176" t="s">
        <v>2349</v>
      </c>
    </row>
    <row r="5177" spans="1:1" x14ac:dyDescent="0.3">
      <c r="A5177" t="s">
        <v>1153</v>
      </c>
    </row>
    <row r="5178" spans="1:1" x14ac:dyDescent="0.3">
      <c r="A5178" t="s">
        <v>110</v>
      </c>
    </row>
    <row r="5179" spans="1:1" x14ac:dyDescent="0.3">
      <c r="A5179" t="s">
        <v>1154</v>
      </c>
    </row>
    <row r="5180" spans="1:1" x14ac:dyDescent="0.3">
      <c r="A5180" t="s">
        <v>2350</v>
      </c>
    </row>
    <row r="5181" spans="1:1" x14ac:dyDescent="0.3">
      <c r="A5181" t="s">
        <v>51</v>
      </c>
    </row>
    <row r="5182" spans="1:1" x14ac:dyDescent="0.3">
      <c r="A5182" t="s">
        <v>52</v>
      </c>
    </row>
    <row r="5183" spans="1:1" x14ac:dyDescent="0.3">
      <c r="A5183" t="s">
        <v>79</v>
      </c>
    </row>
    <row r="5185" spans="1:1" x14ac:dyDescent="0.3">
      <c r="A5185" t="s">
        <v>12</v>
      </c>
    </row>
    <row r="5186" spans="1:1" x14ac:dyDescent="0.3">
      <c r="A5186" t="s">
        <v>13</v>
      </c>
    </row>
    <row r="5187" spans="1:1" x14ac:dyDescent="0.3">
      <c r="A5187" t="s">
        <v>2351</v>
      </c>
    </row>
    <row r="5188" spans="1:1" x14ac:dyDescent="0.3">
      <c r="A5188" t="s">
        <v>2352</v>
      </c>
    </row>
    <row r="5189" spans="1:1" x14ac:dyDescent="0.3">
      <c r="A5189" t="s">
        <v>2353</v>
      </c>
    </row>
    <row r="5190" spans="1:1" x14ac:dyDescent="0.3">
      <c r="A5190" t="s">
        <v>1153</v>
      </c>
    </row>
    <row r="5191" spans="1:1" x14ac:dyDescent="0.3">
      <c r="A5191" t="s">
        <v>110</v>
      </c>
    </row>
    <row r="5192" spans="1:1" x14ac:dyDescent="0.3">
      <c r="A5192" t="s">
        <v>1154</v>
      </c>
    </row>
    <row r="5193" spans="1:1" x14ac:dyDescent="0.3">
      <c r="A5193" t="s">
        <v>2354</v>
      </c>
    </row>
    <row r="5194" spans="1:1" x14ac:dyDescent="0.3">
      <c r="A5194" t="s">
        <v>51</v>
      </c>
    </row>
    <row r="5195" spans="1:1" x14ac:dyDescent="0.3">
      <c r="A5195" t="s">
        <v>52</v>
      </c>
    </row>
    <row r="5196" spans="1:1" x14ac:dyDescent="0.3">
      <c r="A5196" t="s">
        <v>79</v>
      </c>
    </row>
    <row r="5198" spans="1:1" x14ac:dyDescent="0.3">
      <c r="A5198" t="s">
        <v>12</v>
      </c>
    </row>
    <row r="5199" spans="1:1" x14ac:dyDescent="0.3">
      <c r="A5199" t="s">
        <v>13</v>
      </c>
    </row>
    <row r="5200" spans="1:1" x14ac:dyDescent="0.3">
      <c r="A5200" t="s">
        <v>2355</v>
      </c>
    </row>
    <row r="5201" spans="1:1" x14ac:dyDescent="0.3">
      <c r="A5201" t="s">
        <v>2352</v>
      </c>
    </row>
    <row r="5202" spans="1:1" x14ac:dyDescent="0.3">
      <c r="A5202" t="s">
        <v>2356</v>
      </c>
    </row>
    <row r="5203" spans="1:1" x14ac:dyDescent="0.3">
      <c r="A5203" t="s">
        <v>1153</v>
      </c>
    </row>
    <row r="5204" spans="1:1" x14ac:dyDescent="0.3">
      <c r="A5204" t="s">
        <v>110</v>
      </c>
    </row>
    <row r="5205" spans="1:1" x14ac:dyDescent="0.3">
      <c r="A5205" t="s">
        <v>1154</v>
      </c>
    </row>
    <row r="5206" spans="1:1" x14ac:dyDescent="0.3">
      <c r="A5206" t="s">
        <v>2357</v>
      </c>
    </row>
    <row r="5207" spans="1:1" x14ac:dyDescent="0.3">
      <c r="A5207" t="s">
        <v>51</v>
      </c>
    </row>
    <row r="5208" spans="1:1" x14ac:dyDescent="0.3">
      <c r="A5208" t="s">
        <v>52</v>
      </c>
    </row>
    <row r="5209" spans="1:1" x14ac:dyDescent="0.3">
      <c r="A5209" t="s">
        <v>79</v>
      </c>
    </row>
    <row r="5211" spans="1:1" x14ac:dyDescent="0.3">
      <c r="A5211" t="s">
        <v>12</v>
      </c>
    </row>
    <row r="5212" spans="1:1" x14ac:dyDescent="0.3">
      <c r="A5212" t="s">
        <v>13</v>
      </c>
    </row>
    <row r="5213" spans="1:1" x14ac:dyDescent="0.3">
      <c r="A5213" t="s">
        <v>2358</v>
      </c>
    </row>
    <row r="5214" spans="1:1" x14ac:dyDescent="0.3">
      <c r="A5214" t="s">
        <v>2160</v>
      </c>
    </row>
    <row r="5215" spans="1:1" x14ac:dyDescent="0.3">
      <c r="A5215" t="s">
        <v>2359</v>
      </c>
    </row>
    <row r="5216" spans="1:1" x14ac:dyDescent="0.3">
      <c r="A5216" t="s">
        <v>1153</v>
      </c>
    </row>
    <row r="5217" spans="1:1" x14ac:dyDescent="0.3">
      <c r="A5217" t="s">
        <v>110</v>
      </c>
    </row>
    <row r="5218" spans="1:1" x14ac:dyDescent="0.3">
      <c r="A5218" t="s">
        <v>1154</v>
      </c>
    </row>
    <row r="5219" spans="1:1" x14ac:dyDescent="0.3">
      <c r="A5219" t="s">
        <v>2360</v>
      </c>
    </row>
    <row r="5220" spans="1:1" x14ac:dyDescent="0.3">
      <c r="A5220" t="s">
        <v>51</v>
      </c>
    </row>
    <row r="5221" spans="1:1" x14ac:dyDescent="0.3">
      <c r="A5221" t="s">
        <v>52</v>
      </c>
    </row>
    <row r="5222" spans="1:1" x14ac:dyDescent="0.3">
      <c r="A5222" t="s">
        <v>79</v>
      </c>
    </row>
    <row r="5224" spans="1:1" x14ac:dyDescent="0.3">
      <c r="A5224" t="s">
        <v>12</v>
      </c>
    </row>
    <row r="5225" spans="1:1" x14ac:dyDescent="0.3">
      <c r="A5225" t="s">
        <v>13</v>
      </c>
    </row>
    <row r="5226" spans="1:1" x14ac:dyDescent="0.3">
      <c r="A5226" t="s">
        <v>2361</v>
      </c>
    </row>
    <row r="5227" spans="1:1" x14ac:dyDescent="0.3">
      <c r="A5227" t="s">
        <v>1492</v>
      </c>
    </row>
    <row r="5228" spans="1:1" x14ac:dyDescent="0.3">
      <c r="A5228" t="s">
        <v>2362</v>
      </c>
    </row>
    <row r="5229" spans="1:1" x14ac:dyDescent="0.3">
      <c r="A5229" t="s">
        <v>1153</v>
      </c>
    </row>
    <row r="5230" spans="1:1" x14ac:dyDescent="0.3">
      <c r="A5230" t="s">
        <v>110</v>
      </c>
    </row>
    <row r="5231" spans="1:1" x14ac:dyDescent="0.3">
      <c r="A5231" t="s">
        <v>1154</v>
      </c>
    </row>
    <row r="5232" spans="1:1" x14ac:dyDescent="0.3">
      <c r="A5232" t="s">
        <v>2363</v>
      </c>
    </row>
    <row r="5233" spans="1:1" x14ac:dyDescent="0.3">
      <c r="A5233" t="s">
        <v>51</v>
      </c>
    </row>
    <row r="5234" spans="1:1" x14ac:dyDescent="0.3">
      <c r="A5234" t="s">
        <v>52</v>
      </c>
    </row>
    <row r="5235" spans="1:1" x14ac:dyDescent="0.3">
      <c r="A5235" t="s">
        <v>79</v>
      </c>
    </row>
    <row r="5237" spans="1:1" x14ac:dyDescent="0.3">
      <c r="A5237" t="s">
        <v>12</v>
      </c>
    </row>
    <row r="5238" spans="1:1" x14ac:dyDescent="0.3">
      <c r="A5238" t="s">
        <v>13</v>
      </c>
    </row>
    <row r="5239" spans="1:1" x14ac:dyDescent="0.3">
      <c r="A5239" t="s">
        <v>2364</v>
      </c>
    </row>
    <row r="5240" spans="1:1" x14ac:dyDescent="0.3">
      <c r="A5240" t="s">
        <v>2179</v>
      </c>
    </row>
    <row r="5241" spans="1:1" x14ac:dyDescent="0.3">
      <c r="A5241" t="s">
        <v>2365</v>
      </c>
    </row>
    <row r="5242" spans="1:1" x14ac:dyDescent="0.3">
      <c r="A5242" t="s">
        <v>1153</v>
      </c>
    </row>
    <row r="5243" spans="1:1" x14ac:dyDescent="0.3">
      <c r="A5243" t="s">
        <v>110</v>
      </c>
    </row>
    <row r="5244" spans="1:1" x14ac:dyDescent="0.3">
      <c r="A5244" t="s">
        <v>1154</v>
      </c>
    </row>
    <row r="5245" spans="1:1" x14ac:dyDescent="0.3">
      <c r="A5245" t="s">
        <v>2366</v>
      </c>
    </row>
    <row r="5246" spans="1:1" x14ac:dyDescent="0.3">
      <c r="A5246" t="s">
        <v>51</v>
      </c>
    </row>
    <row r="5247" spans="1:1" x14ac:dyDescent="0.3">
      <c r="A5247" t="s">
        <v>52</v>
      </c>
    </row>
    <row r="5248" spans="1:1" x14ac:dyDescent="0.3">
      <c r="A5248" t="s">
        <v>79</v>
      </c>
    </row>
    <row r="5250" spans="1:1" x14ac:dyDescent="0.3">
      <c r="A5250" t="s">
        <v>12</v>
      </c>
    </row>
    <row r="5251" spans="1:1" x14ac:dyDescent="0.3">
      <c r="A5251" t="s">
        <v>13</v>
      </c>
    </row>
    <row r="5252" spans="1:1" x14ac:dyDescent="0.3">
      <c r="A5252" t="s">
        <v>2367</v>
      </c>
    </row>
    <row r="5253" spans="1:1" x14ac:dyDescent="0.3">
      <c r="A5253" t="s">
        <v>2352</v>
      </c>
    </row>
    <row r="5254" spans="1:1" x14ac:dyDescent="0.3">
      <c r="A5254" t="s">
        <v>2368</v>
      </c>
    </row>
    <row r="5255" spans="1:1" x14ac:dyDescent="0.3">
      <c r="A5255" t="s">
        <v>1153</v>
      </c>
    </row>
    <row r="5256" spans="1:1" x14ac:dyDescent="0.3">
      <c r="A5256" t="s">
        <v>110</v>
      </c>
    </row>
    <row r="5257" spans="1:1" x14ac:dyDescent="0.3">
      <c r="A5257" t="s">
        <v>1154</v>
      </c>
    </row>
    <row r="5258" spans="1:1" x14ac:dyDescent="0.3">
      <c r="A5258" t="s">
        <v>2369</v>
      </c>
    </row>
    <row r="5259" spans="1:1" x14ac:dyDescent="0.3">
      <c r="A5259" t="s">
        <v>51</v>
      </c>
    </row>
    <row r="5260" spans="1:1" x14ac:dyDescent="0.3">
      <c r="A5260" t="s">
        <v>52</v>
      </c>
    </row>
    <row r="5261" spans="1:1" x14ac:dyDescent="0.3">
      <c r="A5261" t="s">
        <v>79</v>
      </c>
    </row>
    <row r="5263" spans="1:1" x14ac:dyDescent="0.3">
      <c r="A5263" t="s">
        <v>12</v>
      </c>
    </row>
    <row r="5264" spans="1:1" x14ac:dyDescent="0.3">
      <c r="A5264" t="s">
        <v>13</v>
      </c>
    </row>
    <row r="5265" spans="1:1" x14ac:dyDescent="0.3">
      <c r="A5265" t="s">
        <v>2370</v>
      </c>
    </row>
    <row r="5266" spans="1:1" x14ac:dyDescent="0.3">
      <c r="A5266" t="s">
        <v>2371</v>
      </c>
    </row>
    <row r="5267" spans="1:1" x14ac:dyDescent="0.3">
      <c r="A5267" t="s">
        <v>2372</v>
      </c>
    </row>
    <row r="5268" spans="1:1" x14ac:dyDescent="0.3">
      <c r="A5268" t="s">
        <v>1153</v>
      </c>
    </row>
    <row r="5269" spans="1:1" x14ac:dyDescent="0.3">
      <c r="A5269" t="s">
        <v>110</v>
      </c>
    </row>
    <row r="5270" spans="1:1" x14ac:dyDescent="0.3">
      <c r="A5270" t="s">
        <v>1154</v>
      </c>
    </row>
    <row r="5271" spans="1:1" x14ac:dyDescent="0.3">
      <c r="A5271" t="s">
        <v>2373</v>
      </c>
    </row>
    <row r="5272" spans="1:1" x14ac:dyDescent="0.3">
      <c r="A5272" t="s">
        <v>51</v>
      </c>
    </row>
    <row r="5273" spans="1:1" x14ac:dyDescent="0.3">
      <c r="A5273" t="s">
        <v>52</v>
      </c>
    </row>
    <row r="5274" spans="1:1" x14ac:dyDescent="0.3">
      <c r="A5274" t="s">
        <v>79</v>
      </c>
    </row>
    <row r="5276" spans="1:1" x14ac:dyDescent="0.3">
      <c r="A5276" t="s">
        <v>12</v>
      </c>
    </row>
    <row r="5277" spans="1:1" x14ac:dyDescent="0.3">
      <c r="A5277" t="s">
        <v>13</v>
      </c>
    </row>
    <row r="5278" spans="1:1" x14ac:dyDescent="0.3">
      <c r="A5278" t="s">
        <v>2374</v>
      </c>
    </row>
    <row r="5279" spans="1:1" x14ac:dyDescent="0.3">
      <c r="A5279" t="s">
        <v>2179</v>
      </c>
    </row>
    <row r="5280" spans="1:1" x14ac:dyDescent="0.3">
      <c r="A5280" t="s">
        <v>2375</v>
      </c>
    </row>
    <row r="5281" spans="1:1" x14ac:dyDescent="0.3">
      <c r="A5281" t="s">
        <v>1153</v>
      </c>
    </row>
    <row r="5282" spans="1:1" x14ac:dyDescent="0.3">
      <c r="A5282" t="s">
        <v>110</v>
      </c>
    </row>
    <row r="5283" spans="1:1" x14ac:dyDescent="0.3">
      <c r="A5283" t="s">
        <v>1154</v>
      </c>
    </row>
    <row r="5284" spans="1:1" x14ac:dyDescent="0.3">
      <c r="A5284" t="s">
        <v>2376</v>
      </c>
    </row>
    <row r="5285" spans="1:1" x14ac:dyDescent="0.3">
      <c r="A5285" t="s">
        <v>51</v>
      </c>
    </row>
    <row r="5286" spans="1:1" x14ac:dyDescent="0.3">
      <c r="A5286" t="s">
        <v>52</v>
      </c>
    </row>
    <row r="5287" spans="1:1" x14ac:dyDescent="0.3">
      <c r="A5287" t="s">
        <v>79</v>
      </c>
    </row>
    <row r="5289" spans="1:1" x14ac:dyDescent="0.3">
      <c r="A5289" t="s">
        <v>12</v>
      </c>
    </row>
    <row r="5290" spans="1:1" x14ac:dyDescent="0.3">
      <c r="A5290" t="s">
        <v>13</v>
      </c>
    </row>
    <row r="5291" spans="1:1" x14ac:dyDescent="0.3">
      <c r="A5291" t="s">
        <v>2377</v>
      </c>
    </row>
    <row r="5292" spans="1:1" x14ac:dyDescent="0.3">
      <c r="A5292" t="s">
        <v>2378</v>
      </c>
    </row>
    <row r="5293" spans="1:1" x14ac:dyDescent="0.3">
      <c r="A5293" t="s">
        <v>2379</v>
      </c>
    </row>
    <row r="5294" spans="1:1" x14ac:dyDescent="0.3">
      <c r="A5294" t="s">
        <v>1153</v>
      </c>
    </row>
    <row r="5295" spans="1:1" x14ac:dyDescent="0.3">
      <c r="A5295" t="s">
        <v>110</v>
      </c>
    </row>
    <row r="5296" spans="1:1" x14ac:dyDescent="0.3">
      <c r="A5296" t="s">
        <v>1154</v>
      </c>
    </row>
    <row r="5297" spans="1:1" x14ac:dyDescent="0.3">
      <c r="A5297" t="s">
        <v>2380</v>
      </c>
    </row>
    <row r="5298" spans="1:1" x14ac:dyDescent="0.3">
      <c r="A5298" t="s">
        <v>51</v>
      </c>
    </row>
    <row r="5299" spans="1:1" x14ac:dyDescent="0.3">
      <c r="A5299" t="s">
        <v>52</v>
      </c>
    </row>
    <row r="5300" spans="1:1" x14ac:dyDescent="0.3">
      <c r="A5300" t="s">
        <v>79</v>
      </c>
    </row>
    <row r="5301" spans="1:1" x14ac:dyDescent="0.3">
      <c r="A5301" t="s">
        <v>98</v>
      </c>
    </row>
    <row r="5302" spans="1:1" x14ac:dyDescent="0.3">
      <c r="A5302" t="s">
        <v>13</v>
      </c>
    </row>
    <row r="5303" spans="1:1" x14ac:dyDescent="0.3">
      <c r="A5303" t="s">
        <v>105</v>
      </c>
    </row>
    <row r="5304" spans="1:1" x14ac:dyDescent="0.3">
      <c r="A5304" t="s">
        <v>2381</v>
      </c>
    </row>
    <row r="5305" spans="1:1" x14ac:dyDescent="0.3">
      <c r="A5305" t="s">
        <v>1157</v>
      </c>
    </row>
    <row r="5306" spans="1:1" x14ac:dyDescent="0.3">
      <c r="A5306" t="s">
        <v>2382</v>
      </c>
    </row>
    <row r="5307" spans="1:1" x14ac:dyDescent="0.3">
      <c r="A5307" t="s">
        <v>12</v>
      </c>
    </row>
    <row r="5308" spans="1:1" x14ac:dyDescent="0.3">
      <c r="A5308" t="s">
        <v>13</v>
      </c>
    </row>
    <row r="5309" spans="1:1" x14ac:dyDescent="0.3">
      <c r="A5309" t="s">
        <v>106</v>
      </c>
    </row>
    <row r="5310" spans="1:1" x14ac:dyDescent="0.3">
      <c r="A5310" t="s">
        <v>2383</v>
      </c>
    </row>
    <row r="5311" spans="1:1" x14ac:dyDescent="0.3">
      <c r="A5311" t="s">
        <v>1157</v>
      </c>
    </row>
    <row r="5312" spans="1:1" x14ac:dyDescent="0.3">
      <c r="A5312" t="s">
        <v>2384</v>
      </c>
    </row>
    <row r="5313" spans="1:1" x14ac:dyDescent="0.3">
      <c r="A5313" t="s">
        <v>12</v>
      </c>
    </row>
    <row r="5314" spans="1:1" x14ac:dyDescent="0.3">
      <c r="A5314" t="s">
        <v>40</v>
      </c>
    </row>
    <row r="5316" spans="1:1" x14ac:dyDescent="0.3">
      <c r="A5316" t="s">
        <v>12</v>
      </c>
    </row>
    <row r="5317" spans="1:1" x14ac:dyDescent="0.3">
      <c r="A5317" t="s">
        <v>13</v>
      </c>
    </row>
    <row r="5318" spans="1:1" x14ac:dyDescent="0.3">
      <c r="A5318" t="s">
        <v>2385</v>
      </c>
    </row>
    <row r="5319" spans="1:1" x14ac:dyDescent="0.3">
      <c r="A5319" t="s">
        <v>2386</v>
      </c>
    </row>
    <row r="5320" spans="1:1" x14ac:dyDescent="0.3">
      <c r="A5320" t="s">
        <v>2387</v>
      </c>
    </row>
    <row r="5321" spans="1:1" x14ac:dyDescent="0.3">
      <c r="A5321" t="s">
        <v>1153</v>
      </c>
    </row>
    <row r="5322" spans="1:1" x14ac:dyDescent="0.3">
      <c r="A5322" t="s">
        <v>110</v>
      </c>
    </row>
    <row r="5323" spans="1:1" x14ac:dyDescent="0.3">
      <c r="A5323" t="s">
        <v>1154</v>
      </c>
    </row>
    <row r="5324" spans="1:1" x14ac:dyDescent="0.3">
      <c r="A5324" t="s">
        <v>2388</v>
      </c>
    </row>
    <row r="5325" spans="1:1" x14ac:dyDescent="0.3">
      <c r="A5325" t="s">
        <v>51</v>
      </c>
    </row>
    <row r="5326" spans="1:1" x14ac:dyDescent="0.3">
      <c r="A5326" t="s">
        <v>52</v>
      </c>
    </row>
    <row r="5327" spans="1:1" x14ac:dyDescent="0.3">
      <c r="A5327" t="s">
        <v>79</v>
      </c>
    </row>
    <row r="5329" spans="1:1" x14ac:dyDescent="0.3">
      <c r="A5329" t="s">
        <v>12</v>
      </c>
    </row>
    <row r="5330" spans="1:1" x14ac:dyDescent="0.3">
      <c r="A5330" t="s">
        <v>13</v>
      </c>
    </row>
    <row r="5331" spans="1:1" x14ac:dyDescent="0.3">
      <c r="A5331" t="s">
        <v>2389</v>
      </c>
    </row>
    <row r="5332" spans="1:1" x14ac:dyDescent="0.3">
      <c r="A5332" t="s">
        <v>2390</v>
      </c>
    </row>
    <row r="5333" spans="1:1" x14ac:dyDescent="0.3">
      <c r="A5333" t="s">
        <v>2391</v>
      </c>
    </row>
    <row r="5334" spans="1:1" x14ac:dyDescent="0.3">
      <c r="A5334" t="s">
        <v>1153</v>
      </c>
    </row>
    <row r="5335" spans="1:1" x14ac:dyDescent="0.3">
      <c r="A5335" t="s">
        <v>110</v>
      </c>
    </row>
    <row r="5336" spans="1:1" x14ac:dyDescent="0.3">
      <c r="A5336" t="s">
        <v>1154</v>
      </c>
    </row>
    <row r="5337" spans="1:1" x14ac:dyDescent="0.3">
      <c r="A5337" t="s">
        <v>2392</v>
      </c>
    </row>
    <row r="5338" spans="1:1" x14ac:dyDescent="0.3">
      <c r="A5338" t="s">
        <v>51</v>
      </c>
    </row>
    <row r="5339" spans="1:1" x14ac:dyDescent="0.3">
      <c r="A5339" t="s">
        <v>52</v>
      </c>
    </row>
    <row r="5340" spans="1:1" x14ac:dyDescent="0.3">
      <c r="A5340" t="s">
        <v>79</v>
      </c>
    </row>
    <row r="5342" spans="1:1" x14ac:dyDescent="0.3">
      <c r="A5342" t="s">
        <v>12</v>
      </c>
    </row>
    <row r="5343" spans="1:1" x14ac:dyDescent="0.3">
      <c r="A5343" t="s">
        <v>13</v>
      </c>
    </row>
    <row r="5344" spans="1:1" x14ac:dyDescent="0.3">
      <c r="A5344" t="s">
        <v>2393</v>
      </c>
    </row>
    <row r="5345" spans="1:1" x14ac:dyDescent="0.3">
      <c r="A5345" t="s">
        <v>2394</v>
      </c>
    </row>
    <row r="5346" spans="1:1" x14ac:dyDescent="0.3">
      <c r="A5346" t="s">
        <v>2395</v>
      </c>
    </row>
    <row r="5347" spans="1:1" x14ac:dyDescent="0.3">
      <c r="A5347" t="s">
        <v>1153</v>
      </c>
    </row>
    <row r="5348" spans="1:1" x14ac:dyDescent="0.3">
      <c r="A5348" t="s">
        <v>110</v>
      </c>
    </row>
    <row r="5349" spans="1:1" x14ac:dyDescent="0.3">
      <c r="A5349" t="s">
        <v>1154</v>
      </c>
    </row>
    <row r="5350" spans="1:1" x14ac:dyDescent="0.3">
      <c r="A5350" t="s">
        <v>2396</v>
      </c>
    </row>
    <row r="5351" spans="1:1" x14ac:dyDescent="0.3">
      <c r="A5351" t="s">
        <v>51</v>
      </c>
    </row>
    <row r="5352" spans="1:1" x14ac:dyDescent="0.3">
      <c r="A5352" t="s">
        <v>52</v>
      </c>
    </row>
    <row r="5353" spans="1:1" x14ac:dyDescent="0.3">
      <c r="A5353" t="s">
        <v>79</v>
      </c>
    </row>
    <row r="5354" spans="1:1" x14ac:dyDescent="0.3">
      <c r="A5354" t="s">
        <v>98</v>
      </c>
    </row>
    <row r="5355" spans="1:1" x14ac:dyDescent="0.3">
      <c r="A5355" t="s">
        <v>13</v>
      </c>
    </row>
    <row r="5356" spans="1:1" x14ac:dyDescent="0.3">
      <c r="A5356" t="s">
        <v>105</v>
      </c>
    </row>
    <row r="5357" spans="1:1" x14ac:dyDescent="0.3">
      <c r="A5357" t="s">
        <v>2397</v>
      </c>
    </row>
    <row r="5358" spans="1:1" x14ac:dyDescent="0.3">
      <c r="A5358" t="s">
        <v>1157</v>
      </c>
    </row>
    <row r="5359" spans="1:1" x14ac:dyDescent="0.3">
      <c r="A5359" t="s">
        <v>2398</v>
      </c>
    </row>
    <row r="5360" spans="1:1" x14ac:dyDescent="0.3">
      <c r="A5360" t="s">
        <v>12</v>
      </c>
    </row>
    <row r="5361" spans="1:1" x14ac:dyDescent="0.3">
      <c r="A5361" t="s">
        <v>13</v>
      </c>
    </row>
    <row r="5362" spans="1:1" x14ac:dyDescent="0.3">
      <c r="A5362" t="s">
        <v>106</v>
      </c>
    </row>
    <row r="5363" spans="1:1" x14ac:dyDescent="0.3">
      <c r="A5363" t="s">
        <v>2399</v>
      </c>
    </row>
    <row r="5364" spans="1:1" x14ac:dyDescent="0.3">
      <c r="A5364" t="s">
        <v>1157</v>
      </c>
    </row>
    <row r="5365" spans="1:1" x14ac:dyDescent="0.3">
      <c r="A5365" t="s">
        <v>2400</v>
      </c>
    </row>
    <row r="5366" spans="1:1" x14ac:dyDescent="0.3">
      <c r="A5366" t="s">
        <v>12</v>
      </c>
    </row>
    <row r="5367" spans="1:1" x14ac:dyDescent="0.3">
      <c r="A5367" t="s">
        <v>40</v>
      </c>
    </row>
    <row r="5369" spans="1:1" x14ac:dyDescent="0.3">
      <c r="A5369" t="s">
        <v>12</v>
      </c>
    </row>
    <row r="5370" spans="1:1" x14ac:dyDescent="0.3">
      <c r="A5370" t="s">
        <v>13</v>
      </c>
    </row>
    <row r="5371" spans="1:1" x14ac:dyDescent="0.3">
      <c r="A5371" t="s">
        <v>2401</v>
      </c>
    </row>
    <row r="5372" spans="1:1" x14ac:dyDescent="0.3">
      <c r="A5372" t="s">
        <v>2402</v>
      </c>
    </row>
    <row r="5373" spans="1:1" x14ac:dyDescent="0.3">
      <c r="A5373" t="s">
        <v>2403</v>
      </c>
    </row>
    <row r="5374" spans="1:1" x14ac:dyDescent="0.3">
      <c r="A5374" t="s">
        <v>1153</v>
      </c>
    </row>
    <row r="5375" spans="1:1" x14ac:dyDescent="0.3">
      <c r="A5375" t="s">
        <v>110</v>
      </c>
    </row>
    <row r="5376" spans="1:1" x14ac:dyDescent="0.3">
      <c r="A5376" t="s">
        <v>1154</v>
      </c>
    </row>
    <row r="5377" spans="1:1" x14ac:dyDescent="0.3">
      <c r="A5377" t="s">
        <v>2404</v>
      </c>
    </row>
    <row r="5378" spans="1:1" x14ac:dyDescent="0.3">
      <c r="A5378" t="s">
        <v>51</v>
      </c>
    </row>
    <row r="5379" spans="1:1" x14ac:dyDescent="0.3">
      <c r="A5379" t="s">
        <v>52</v>
      </c>
    </row>
    <row r="5380" spans="1:1" x14ac:dyDescent="0.3">
      <c r="A5380" t="s">
        <v>79</v>
      </c>
    </row>
    <row r="5382" spans="1:1" x14ac:dyDescent="0.3">
      <c r="A5382" t="s">
        <v>12</v>
      </c>
    </row>
    <row r="5383" spans="1:1" x14ac:dyDescent="0.3">
      <c r="A5383" t="s">
        <v>13</v>
      </c>
    </row>
    <row r="5384" spans="1:1" x14ac:dyDescent="0.3">
      <c r="A5384" t="s">
        <v>2405</v>
      </c>
    </row>
    <row r="5385" spans="1:1" x14ac:dyDescent="0.3">
      <c r="A5385" t="s">
        <v>2406</v>
      </c>
    </row>
    <row r="5386" spans="1:1" x14ac:dyDescent="0.3">
      <c r="A5386" t="s">
        <v>2407</v>
      </c>
    </row>
    <row r="5387" spans="1:1" x14ac:dyDescent="0.3">
      <c r="A5387" t="s">
        <v>1153</v>
      </c>
    </row>
    <row r="5388" spans="1:1" x14ac:dyDescent="0.3">
      <c r="A5388" t="s">
        <v>110</v>
      </c>
    </row>
    <row r="5389" spans="1:1" x14ac:dyDescent="0.3">
      <c r="A5389" t="s">
        <v>1154</v>
      </c>
    </row>
    <row r="5390" spans="1:1" x14ac:dyDescent="0.3">
      <c r="A5390" t="s">
        <v>2408</v>
      </c>
    </row>
    <row r="5391" spans="1:1" x14ac:dyDescent="0.3">
      <c r="A5391" t="s">
        <v>51</v>
      </c>
    </row>
    <row r="5392" spans="1:1" x14ac:dyDescent="0.3">
      <c r="A5392" t="s">
        <v>52</v>
      </c>
    </row>
    <row r="5393" spans="1:1" x14ac:dyDescent="0.3">
      <c r="A5393" t="s">
        <v>79</v>
      </c>
    </row>
    <row r="5394" spans="1:1" x14ac:dyDescent="0.3">
      <c r="A5394" t="s">
        <v>98</v>
      </c>
    </row>
    <row r="5395" spans="1:1" x14ac:dyDescent="0.3">
      <c r="A5395" t="s">
        <v>13</v>
      </c>
    </row>
    <row r="5396" spans="1:1" x14ac:dyDescent="0.3">
      <c r="A5396" t="s">
        <v>105</v>
      </c>
    </row>
    <row r="5397" spans="1:1" x14ac:dyDescent="0.3">
      <c r="A5397" t="s">
        <v>2409</v>
      </c>
    </row>
    <row r="5398" spans="1:1" x14ac:dyDescent="0.3">
      <c r="A5398" t="s">
        <v>1157</v>
      </c>
    </row>
    <row r="5399" spans="1:1" x14ac:dyDescent="0.3">
      <c r="A5399" t="s">
        <v>2410</v>
      </c>
    </row>
    <row r="5400" spans="1:1" x14ac:dyDescent="0.3">
      <c r="A5400" t="s">
        <v>12</v>
      </c>
    </row>
    <row r="5401" spans="1:1" x14ac:dyDescent="0.3">
      <c r="A5401" t="s">
        <v>40</v>
      </c>
    </row>
    <row r="5403" spans="1:1" x14ac:dyDescent="0.3">
      <c r="A5403" t="s">
        <v>12</v>
      </c>
    </row>
    <row r="5404" spans="1:1" x14ac:dyDescent="0.3">
      <c r="A5404" t="s">
        <v>13</v>
      </c>
    </row>
    <row r="5405" spans="1:1" x14ac:dyDescent="0.3">
      <c r="A5405" t="s">
        <v>2411</v>
      </c>
    </row>
    <row r="5406" spans="1:1" x14ac:dyDescent="0.3">
      <c r="A5406" t="s">
        <v>2412</v>
      </c>
    </row>
    <row r="5407" spans="1:1" x14ac:dyDescent="0.3">
      <c r="A5407" t="s">
        <v>2413</v>
      </c>
    </row>
    <row r="5408" spans="1:1" x14ac:dyDescent="0.3">
      <c r="A5408" t="s">
        <v>1153</v>
      </c>
    </row>
    <row r="5409" spans="1:1" x14ac:dyDescent="0.3">
      <c r="A5409" t="s">
        <v>110</v>
      </c>
    </row>
    <row r="5410" spans="1:1" x14ac:dyDescent="0.3">
      <c r="A5410" t="s">
        <v>1154</v>
      </c>
    </row>
    <row r="5411" spans="1:1" x14ac:dyDescent="0.3">
      <c r="A5411" t="s">
        <v>2414</v>
      </c>
    </row>
    <row r="5412" spans="1:1" x14ac:dyDescent="0.3">
      <c r="A5412" t="s">
        <v>51</v>
      </c>
    </row>
    <row r="5413" spans="1:1" x14ac:dyDescent="0.3">
      <c r="A5413" t="s">
        <v>52</v>
      </c>
    </row>
    <row r="5414" spans="1:1" x14ac:dyDescent="0.3">
      <c r="A5414" t="s">
        <v>79</v>
      </c>
    </row>
    <row r="5415" spans="1:1" x14ac:dyDescent="0.3">
      <c r="A5415" t="s">
        <v>98</v>
      </c>
    </row>
    <row r="5416" spans="1:1" x14ac:dyDescent="0.3">
      <c r="A5416" t="s">
        <v>13</v>
      </c>
    </row>
    <row r="5417" spans="1:1" x14ac:dyDescent="0.3">
      <c r="A5417" t="s">
        <v>106</v>
      </c>
    </row>
    <row r="5418" spans="1:1" x14ac:dyDescent="0.3">
      <c r="A5418" t="s">
        <v>2415</v>
      </c>
    </row>
    <row r="5419" spans="1:1" x14ac:dyDescent="0.3">
      <c r="A5419" t="s">
        <v>1157</v>
      </c>
    </row>
    <row r="5420" spans="1:1" x14ac:dyDescent="0.3">
      <c r="A5420" t="s">
        <v>2416</v>
      </c>
    </row>
    <row r="5421" spans="1:1" x14ac:dyDescent="0.3">
      <c r="A5421" t="s">
        <v>12</v>
      </c>
    </row>
    <row r="5422" spans="1:1" x14ac:dyDescent="0.3">
      <c r="A5422" t="s">
        <v>13</v>
      </c>
    </row>
    <row r="5423" spans="1:1" x14ac:dyDescent="0.3">
      <c r="A5423" t="s">
        <v>105</v>
      </c>
    </row>
    <row r="5424" spans="1:1" x14ac:dyDescent="0.3">
      <c r="A5424" t="s">
        <v>2417</v>
      </c>
    </row>
    <row r="5425" spans="1:1" x14ac:dyDescent="0.3">
      <c r="A5425" t="s">
        <v>1157</v>
      </c>
    </row>
    <row r="5426" spans="1:1" x14ac:dyDescent="0.3">
      <c r="A5426" t="s">
        <v>2418</v>
      </c>
    </row>
    <row r="5427" spans="1:1" x14ac:dyDescent="0.3">
      <c r="A5427" t="s">
        <v>12</v>
      </c>
    </row>
    <row r="5428" spans="1:1" x14ac:dyDescent="0.3">
      <c r="A5428" t="s">
        <v>40</v>
      </c>
    </row>
    <row r="5430" spans="1:1" x14ac:dyDescent="0.3">
      <c r="A5430" t="s">
        <v>12</v>
      </c>
    </row>
    <row r="5431" spans="1:1" x14ac:dyDescent="0.3">
      <c r="A5431" t="s">
        <v>13</v>
      </c>
    </row>
    <row r="5432" spans="1:1" x14ac:dyDescent="0.3">
      <c r="A5432" t="s">
        <v>2419</v>
      </c>
    </row>
    <row r="5433" spans="1:1" x14ac:dyDescent="0.3">
      <c r="A5433" t="s">
        <v>2420</v>
      </c>
    </row>
    <row r="5434" spans="1:1" x14ac:dyDescent="0.3">
      <c r="A5434" t="s">
        <v>2421</v>
      </c>
    </row>
    <row r="5435" spans="1:1" x14ac:dyDescent="0.3">
      <c r="A5435" t="s">
        <v>1153</v>
      </c>
    </row>
    <row r="5436" spans="1:1" x14ac:dyDescent="0.3">
      <c r="A5436" t="s">
        <v>110</v>
      </c>
    </row>
    <row r="5437" spans="1:1" x14ac:dyDescent="0.3">
      <c r="A5437" t="s">
        <v>1154</v>
      </c>
    </row>
    <row r="5438" spans="1:1" x14ac:dyDescent="0.3">
      <c r="A5438" t="s">
        <v>2422</v>
      </c>
    </row>
    <row r="5439" spans="1:1" x14ac:dyDescent="0.3">
      <c r="A5439" t="s">
        <v>51</v>
      </c>
    </row>
    <row r="5440" spans="1:1" x14ac:dyDescent="0.3">
      <c r="A5440" t="s">
        <v>52</v>
      </c>
    </row>
    <row r="5441" spans="1:1" x14ac:dyDescent="0.3">
      <c r="A5441" t="s">
        <v>79</v>
      </c>
    </row>
    <row r="5442" spans="1:1" x14ac:dyDescent="0.3">
      <c r="A5442" t="s">
        <v>98</v>
      </c>
    </row>
    <row r="5443" spans="1:1" x14ac:dyDescent="0.3">
      <c r="A5443" t="s">
        <v>13</v>
      </c>
    </row>
    <row r="5444" spans="1:1" x14ac:dyDescent="0.3">
      <c r="A5444" t="s">
        <v>106</v>
      </c>
    </row>
    <row r="5445" spans="1:1" x14ac:dyDescent="0.3">
      <c r="A5445" t="s">
        <v>2423</v>
      </c>
    </row>
    <row r="5446" spans="1:1" x14ac:dyDescent="0.3">
      <c r="A5446" t="s">
        <v>1157</v>
      </c>
    </row>
    <row r="5447" spans="1:1" x14ac:dyDescent="0.3">
      <c r="A5447" t="s">
        <v>2424</v>
      </c>
    </row>
    <row r="5448" spans="1:1" x14ac:dyDescent="0.3">
      <c r="A5448" t="s">
        <v>12</v>
      </c>
    </row>
    <row r="5449" spans="1:1" x14ac:dyDescent="0.3">
      <c r="A5449" t="s">
        <v>13</v>
      </c>
    </row>
    <row r="5450" spans="1:1" x14ac:dyDescent="0.3">
      <c r="A5450" t="s">
        <v>105</v>
      </c>
    </row>
    <row r="5451" spans="1:1" x14ac:dyDescent="0.3">
      <c r="A5451" t="s">
        <v>2425</v>
      </c>
    </row>
    <row r="5452" spans="1:1" x14ac:dyDescent="0.3">
      <c r="A5452" t="s">
        <v>1157</v>
      </c>
    </row>
    <row r="5453" spans="1:1" x14ac:dyDescent="0.3">
      <c r="A5453" t="s">
        <v>2426</v>
      </c>
    </row>
    <row r="5454" spans="1:1" x14ac:dyDescent="0.3">
      <c r="A5454" t="s">
        <v>12</v>
      </c>
    </row>
    <row r="5455" spans="1:1" x14ac:dyDescent="0.3">
      <c r="A5455" t="s">
        <v>40</v>
      </c>
    </row>
    <row r="5457" spans="1:1" x14ac:dyDescent="0.3">
      <c r="A5457" t="s">
        <v>12</v>
      </c>
    </row>
    <row r="5458" spans="1:1" x14ac:dyDescent="0.3">
      <c r="A5458" t="s">
        <v>13</v>
      </c>
    </row>
    <row r="5459" spans="1:1" x14ac:dyDescent="0.3">
      <c r="A5459" t="s">
        <v>2427</v>
      </c>
    </row>
    <row r="5460" spans="1:1" x14ac:dyDescent="0.3">
      <c r="A5460" t="s">
        <v>2428</v>
      </c>
    </row>
    <row r="5461" spans="1:1" x14ac:dyDescent="0.3">
      <c r="A5461" t="s">
        <v>2429</v>
      </c>
    </row>
    <row r="5462" spans="1:1" x14ac:dyDescent="0.3">
      <c r="A5462" t="s">
        <v>1153</v>
      </c>
    </row>
    <row r="5463" spans="1:1" x14ac:dyDescent="0.3">
      <c r="A5463" t="s">
        <v>110</v>
      </c>
    </row>
    <row r="5464" spans="1:1" x14ac:dyDescent="0.3">
      <c r="A5464" t="s">
        <v>1154</v>
      </c>
    </row>
    <row r="5465" spans="1:1" x14ac:dyDescent="0.3">
      <c r="A5465" t="s">
        <v>2430</v>
      </c>
    </row>
    <row r="5466" spans="1:1" x14ac:dyDescent="0.3">
      <c r="A5466" t="s">
        <v>51</v>
      </c>
    </row>
    <row r="5467" spans="1:1" x14ac:dyDescent="0.3">
      <c r="A5467" t="s">
        <v>52</v>
      </c>
    </row>
    <row r="5468" spans="1:1" x14ac:dyDescent="0.3">
      <c r="A5468" t="s">
        <v>79</v>
      </c>
    </row>
    <row r="5470" spans="1:1" x14ac:dyDescent="0.3">
      <c r="A5470" t="s">
        <v>12</v>
      </c>
    </row>
    <row r="5471" spans="1:1" x14ac:dyDescent="0.3">
      <c r="A5471" t="s">
        <v>13</v>
      </c>
    </row>
    <row r="5472" spans="1:1" x14ac:dyDescent="0.3">
      <c r="A5472" t="s">
        <v>2431</v>
      </c>
    </row>
    <row r="5473" spans="1:1" x14ac:dyDescent="0.3">
      <c r="A5473" t="s">
        <v>2432</v>
      </c>
    </row>
    <row r="5474" spans="1:1" x14ac:dyDescent="0.3">
      <c r="A5474" t="s">
        <v>2433</v>
      </c>
    </row>
    <row r="5475" spans="1:1" x14ac:dyDescent="0.3">
      <c r="A5475" t="s">
        <v>1153</v>
      </c>
    </row>
    <row r="5476" spans="1:1" x14ac:dyDescent="0.3">
      <c r="A5476" t="s">
        <v>110</v>
      </c>
    </row>
    <row r="5477" spans="1:1" x14ac:dyDescent="0.3">
      <c r="A5477" t="s">
        <v>1154</v>
      </c>
    </row>
    <row r="5478" spans="1:1" x14ac:dyDescent="0.3">
      <c r="A5478" t="s">
        <v>2434</v>
      </c>
    </row>
    <row r="5479" spans="1:1" x14ac:dyDescent="0.3">
      <c r="A5479" t="s">
        <v>51</v>
      </c>
    </row>
    <row r="5480" spans="1:1" x14ac:dyDescent="0.3">
      <c r="A5480" t="s">
        <v>52</v>
      </c>
    </row>
    <row r="5481" spans="1:1" x14ac:dyDescent="0.3">
      <c r="A5481" t="s">
        <v>79</v>
      </c>
    </row>
    <row r="5483" spans="1:1" x14ac:dyDescent="0.3">
      <c r="A5483" t="s">
        <v>12</v>
      </c>
    </row>
    <row r="5484" spans="1:1" x14ac:dyDescent="0.3">
      <c r="A5484" t="s">
        <v>13</v>
      </c>
    </row>
    <row r="5485" spans="1:1" x14ac:dyDescent="0.3">
      <c r="A5485" t="s">
        <v>2435</v>
      </c>
    </row>
    <row r="5486" spans="1:1" x14ac:dyDescent="0.3">
      <c r="A5486" t="s">
        <v>2436</v>
      </c>
    </row>
    <row r="5487" spans="1:1" x14ac:dyDescent="0.3">
      <c r="A5487" t="s">
        <v>2437</v>
      </c>
    </row>
    <row r="5488" spans="1:1" x14ac:dyDescent="0.3">
      <c r="A5488" t="s">
        <v>1153</v>
      </c>
    </row>
    <row r="5489" spans="1:1" x14ac:dyDescent="0.3">
      <c r="A5489" t="s">
        <v>110</v>
      </c>
    </row>
    <row r="5490" spans="1:1" x14ac:dyDescent="0.3">
      <c r="A5490" t="s">
        <v>1154</v>
      </c>
    </row>
    <row r="5491" spans="1:1" x14ac:dyDescent="0.3">
      <c r="A5491" t="s">
        <v>2438</v>
      </c>
    </row>
    <row r="5492" spans="1:1" x14ac:dyDescent="0.3">
      <c r="A5492" t="s">
        <v>51</v>
      </c>
    </row>
    <row r="5493" spans="1:1" x14ac:dyDescent="0.3">
      <c r="A5493" t="s">
        <v>52</v>
      </c>
    </row>
    <row r="5494" spans="1:1" x14ac:dyDescent="0.3">
      <c r="A5494" t="s">
        <v>79</v>
      </c>
    </row>
    <row r="5496" spans="1:1" x14ac:dyDescent="0.3">
      <c r="A5496" t="s">
        <v>12</v>
      </c>
    </row>
    <row r="5497" spans="1:1" x14ac:dyDescent="0.3">
      <c r="A5497" t="s">
        <v>13</v>
      </c>
    </row>
    <row r="5498" spans="1:1" x14ac:dyDescent="0.3">
      <c r="A5498" t="s">
        <v>2439</v>
      </c>
    </row>
    <row r="5499" spans="1:1" x14ac:dyDescent="0.3">
      <c r="A5499" t="s">
        <v>2440</v>
      </c>
    </row>
    <row r="5500" spans="1:1" x14ac:dyDescent="0.3">
      <c r="A5500" t="s">
        <v>2441</v>
      </c>
    </row>
    <row r="5501" spans="1:1" x14ac:dyDescent="0.3">
      <c r="A5501" t="s">
        <v>1153</v>
      </c>
    </row>
    <row r="5502" spans="1:1" x14ac:dyDescent="0.3">
      <c r="A5502" t="s">
        <v>110</v>
      </c>
    </row>
    <row r="5503" spans="1:1" x14ac:dyDescent="0.3">
      <c r="A5503" t="s">
        <v>2860</v>
      </c>
    </row>
    <row r="5504" spans="1:1" x14ac:dyDescent="0.3">
      <c r="A5504" t="s">
        <v>2442</v>
      </c>
    </row>
    <row r="5505" spans="1:1" x14ac:dyDescent="0.3">
      <c r="A5505" t="s">
        <v>51</v>
      </c>
    </row>
    <row r="5506" spans="1:1" x14ac:dyDescent="0.3">
      <c r="A5506" t="s">
        <v>52</v>
      </c>
    </row>
    <row r="5507" spans="1:1" x14ac:dyDescent="0.3">
      <c r="A5507" t="s">
        <v>79</v>
      </c>
    </row>
    <row r="5509" spans="1:1" x14ac:dyDescent="0.3">
      <c r="A5509" t="s">
        <v>12</v>
      </c>
    </row>
    <row r="5510" spans="1:1" x14ac:dyDescent="0.3">
      <c r="A5510" t="s">
        <v>13</v>
      </c>
    </row>
    <row r="5511" spans="1:1" x14ac:dyDescent="0.3">
      <c r="A5511" t="s">
        <v>2443</v>
      </c>
    </row>
    <row r="5512" spans="1:1" x14ac:dyDescent="0.3">
      <c r="A5512" t="s">
        <v>2444</v>
      </c>
    </row>
    <row r="5513" spans="1:1" x14ac:dyDescent="0.3">
      <c r="A5513" t="s">
        <v>2445</v>
      </c>
    </row>
    <row r="5514" spans="1:1" x14ac:dyDescent="0.3">
      <c r="A5514" t="s">
        <v>1153</v>
      </c>
    </row>
    <row r="5515" spans="1:1" x14ac:dyDescent="0.3">
      <c r="A5515" t="s">
        <v>110</v>
      </c>
    </row>
    <row r="5516" spans="1:1" x14ac:dyDescent="0.3">
      <c r="A5516" t="s">
        <v>1154</v>
      </c>
    </row>
    <row r="5517" spans="1:1" x14ac:dyDescent="0.3">
      <c r="A5517" t="s">
        <v>2446</v>
      </c>
    </row>
    <row r="5518" spans="1:1" x14ac:dyDescent="0.3">
      <c r="A5518" t="s">
        <v>51</v>
      </c>
    </row>
    <row r="5519" spans="1:1" x14ac:dyDescent="0.3">
      <c r="A5519" t="s">
        <v>52</v>
      </c>
    </row>
    <row r="5520" spans="1:1" x14ac:dyDescent="0.3">
      <c r="A5520" t="s">
        <v>79</v>
      </c>
    </row>
    <row r="5522" spans="1:1" x14ac:dyDescent="0.3">
      <c r="A5522" t="s">
        <v>12</v>
      </c>
    </row>
    <row r="5523" spans="1:1" x14ac:dyDescent="0.3">
      <c r="A5523" t="s">
        <v>13</v>
      </c>
    </row>
    <row r="5524" spans="1:1" x14ac:dyDescent="0.3">
      <c r="A5524" t="s">
        <v>2447</v>
      </c>
    </row>
    <row r="5525" spans="1:1" x14ac:dyDescent="0.3">
      <c r="A5525" t="s">
        <v>2448</v>
      </c>
    </row>
    <row r="5526" spans="1:1" x14ac:dyDescent="0.3">
      <c r="A5526" t="s">
        <v>2449</v>
      </c>
    </row>
    <row r="5527" spans="1:1" x14ac:dyDescent="0.3">
      <c r="A5527" t="s">
        <v>1153</v>
      </c>
    </row>
    <row r="5528" spans="1:1" x14ac:dyDescent="0.3">
      <c r="A5528" t="s">
        <v>110</v>
      </c>
    </row>
    <row r="5529" spans="1:1" x14ac:dyDescent="0.3">
      <c r="A5529" t="s">
        <v>2861</v>
      </c>
    </row>
    <row r="5530" spans="1:1" x14ac:dyDescent="0.3">
      <c r="A5530" t="s">
        <v>2450</v>
      </c>
    </row>
    <row r="5531" spans="1:1" x14ac:dyDescent="0.3">
      <c r="A5531" t="s">
        <v>51</v>
      </c>
    </row>
    <row r="5532" spans="1:1" x14ac:dyDescent="0.3">
      <c r="A5532" t="s">
        <v>52</v>
      </c>
    </row>
    <row r="5533" spans="1:1" x14ac:dyDescent="0.3">
      <c r="A5533" t="s">
        <v>79</v>
      </c>
    </row>
    <row r="5535" spans="1:1" x14ac:dyDescent="0.3">
      <c r="A5535" t="s">
        <v>12</v>
      </c>
    </row>
    <row r="5536" spans="1:1" x14ac:dyDescent="0.3">
      <c r="A5536" t="s">
        <v>13</v>
      </c>
    </row>
    <row r="5537" spans="1:1" x14ac:dyDescent="0.3">
      <c r="A5537" t="s">
        <v>2451</v>
      </c>
    </row>
    <row r="5538" spans="1:1" x14ac:dyDescent="0.3">
      <c r="A5538" t="s">
        <v>2452</v>
      </c>
    </row>
    <row r="5539" spans="1:1" x14ac:dyDescent="0.3">
      <c r="A5539" t="s">
        <v>2453</v>
      </c>
    </row>
    <row r="5540" spans="1:1" x14ac:dyDescent="0.3">
      <c r="A5540" t="s">
        <v>1153</v>
      </c>
    </row>
    <row r="5541" spans="1:1" x14ac:dyDescent="0.3">
      <c r="A5541" t="s">
        <v>110</v>
      </c>
    </row>
    <row r="5542" spans="1:1" x14ac:dyDescent="0.3">
      <c r="A5542" t="s">
        <v>2862</v>
      </c>
    </row>
    <row r="5543" spans="1:1" x14ac:dyDescent="0.3">
      <c r="A5543" t="s">
        <v>2454</v>
      </c>
    </row>
    <row r="5544" spans="1:1" x14ac:dyDescent="0.3">
      <c r="A5544" t="s">
        <v>51</v>
      </c>
    </row>
    <row r="5545" spans="1:1" x14ac:dyDescent="0.3">
      <c r="A5545" t="s">
        <v>52</v>
      </c>
    </row>
    <row r="5546" spans="1:1" x14ac:dyDescent="0.3">
      <c r="A5546" t="s">
        <v>79</v>
      </c>
    </row>
    <row r="5548" spans="1:1" x14ac:dyDescent="0.3">
      <c r="A5548" t="s">
        <v>12</v>
      </c>
    </row>
    <row r="5549" spans="1:1" x14ac:dyDescent="0.3">
      <c r="A5549" t="s">
        <v>13</v>
      </c>
    </row>
    <row r="5550" spans="1:1" x14ac:dyDescent="0.3">
      <c r="A5550" t="s">
        <v>2455</v>
      </c>
    </row>
    <row r="5551" spans="1:1" x14ac:dyDescent="0.3">
      <c r="A5551" t="s">
        <v>2456</v>
      </c>
    </row>
    <row r="5552" spans="1:1" x14ac:dyDescent="0.3">
      <c r="A5552" t="s">
        <v>2457</v>
      </c>
    </row>
    <row r="5553" spans="1:1" x14ac:dyDescent="0.3">
      <c r="A5553" t="s">
        <v>1153</v>
      </c>
    </row>
    <row r="5554" spans="1:1" x14ac:dyDescent="0.3">
      <c r="A5554" t="s">
        <v>110</v>
      </c>
    </row>
    <row r="5555" spans="1:1" x14ac:dyDescent="0.3">
      <c r="A5555" t="s">
        <v>1154</v>
      </c>
    </row>
    <row r="5556" spans="1:1" x14ac:dyDescent="0.3">
      <c r="A5556" t="s">
        <v>2458</v>
      </c>
    </row>
    <row r="5557" spans="1:1" x14ac:dyDescent="0.3">
      <c r="A5557" t="s">
        <v>51</v>
      </c>
    </row>
    <row r="5558" spans="1:1" x14ac:dyDescent="0.3">
      <c r="A5558" t="s">
        <v>52</v>
      </c>
    </row>
    <row r="5559" spans="1:1" x14ac:dyDescent="0.3">
      <c r="A5559" t="s">
        <v>79</v>
      </c>
    </row>
    <row r="5561" spans="1:1" x14ac:dyDescent="0.3">
      <c r="A5561" t="s">
        <v>12</v>
      </c>
    </row>
    <row r="5562" spans="1:1" x14ac:dyDescent="0.3">
      <c r="A5562" t="s">
        <v>13</v>
      </c>
    </row>
    <row r="5563" spans="1:1" x14ac:dyDescent="0.3">
      <c r="A5563" t="s">
        <v>2459</v>
      </c>
    </row>
    <row r="5564" spans="1:1" x14ac:dyDescent="0.3">
      <c r="A5564" t="s">
        <v>2460</v>
      </c>
    </row>
    <row r="5565" spans="1:1" x14ac:dyDescent="0.3">
      <c r="A5565" t="s">
        <v>2461</v>
      </c>
    </row>
    <row r="5566" spans="1:1" x14ac:dyDescent="0.3">
      <c r="A5566" t="s">
        <v>1153</v>
      </c>
    </row>
    <row r="5567" spans="1:1" x14ac:dyDescent="0.3">
      <c r="A5567" t="s">
        <v>110</v>
      </c>
    </row>
    <row r="5568" spans="1:1" x14ac:dyDescent="0.3">
      <c r="A5568" t="s">
        <v>1154</v>
      </c>
    </row>
    <row r="5569" spans="1:1" x14ac:dyDescent="0.3">
      <c r="A5569" t="s">
        <v>2462</v>
      </c>
    </row>
    <row r="5570" spans="1:1" x14ac:dyDescent="0.3">
      <c r="A5570" t="s">
        <v>51</v>
      </c>
    </row>
    <row r="5571" spans="1:1" x14ac:dyDescent="0.3">
      <c r="A5571" t="s">
        <v>52</v>
      </c>
    </row>
    <row r="5572" spans="1:1" x14ac:dyDescent="0.3">
      <c r="A5572" t="s">
        <v>79</v>
      </c>
    </row>
    <row r="5574" spans="1:1" x14ac:dyDescent="0.3">
      <c r="A5574" t="s">
        <v>12</v>
      </c>
    </row>
    <row r="5575" spans="1:1" x14ac:dyDescent="0.3">
      <c r="A5575" t="s">
        <v>13</v>
      </c>
    </row>
    <row r="5576" spans="1:1" x14ac:dyDescent="0.3">
      <c r="A5576" t="s">
        <v>2463</v>
      </c>
    </row>
    <row r="5577" spans="1:1" x14ac:dyDescent="0.3">
      <c r="A5577" t="s">
        <v>2448</v>
      </c>
    </row>
    <row r="5578" spans="1:1" x14ac:dyDescent="0.3">
      <c r="A5578" t="s">
        <v>2464</v>
      </c>
    </row>
    <row r="5579" spans="1:1" x14ac:dyDescent="0.3">
      <c r="A5579" t="s">
        <v>1153</v>
      </c>
    </row>
    <row r="5580" spans="1:1" x14ac:dyDescent="0.3">
      <c r="A5580" t="s">
        <v>110</v>
      </c>
    </row>
    <row r="5581" spans="1:1" x14ac:dyDescent="0.3">
      <c r="A5581" t="s">
        <v>2861</v>
      </c>
    </row>
    <row r="5582" spans="1:1" x14ac:dyDescent="0.3">
      <c r="A5582" t="s">
        <v>2465</v>
      </c>
    </row>
    <row r="5583" spans="1:1" x14ac:dyDescent="0.3">
      <c r="A5583" t="s">
        <v>51</v>
      </c>
    </row>
    <row r="5584" spans="1:1" x14ac:dyDescent="0.3">
      <c r="A5584" t="s">
        <v>52</v>
      </c>
    </row>
    <row r="5585" spans="1:1" x14ac:dyDescent="0.3">
      <c r="A5585" t="s">
        <v>79</v>
      </c>
    </row>
    <row r="5587" spans="1:1" x14ac:dyDescent="0.3">
      <c r="A5587" t="s">
        <v>12</v>
      </c>
    </row>
    <row r="5588" spans="1:1" x14ac:dyDescent="0.3">
      <c r="A5588" t="s">
        <v>13</v>
      </c>
    </row>
    <row r="5589" spans="1:1" x14ac:dyDescent="0.3">
      <c r="A5589" t="s">
        <v>2466</v>
      </c>
    </row>
    <row r="5590" spans="1:1" x14ac:dyDescent="0.3">
      <c r="A5590" t="s">
        <v>2467</v>
      </c>
    </row>
    <row r="5591" spans="1:1" x14ac:dyDescent="0.3">
      <c r="A5591" t="s">
        <v>2468</v>
      </c>
    </row>
    <row r="5592" spans="1:1" x14ac:dyDescent="0.3">
      <c r="A5592" t="s">
        <v>1153</v>
      </c>
    </row>
    <row r="5593" spans="1:1" x14ac:dyDescent="0.3">
      <c r="A5593" t="s">
        <v>110</v>
      </c>
    </row>
    <row r="5594" spans="1:1" x14ac:dyDescent="0.3">
      <c r="A5594" t="s">
        <v>1154</v>
      </c>
    </row>
    <row r="5595" spans="1:1" x14ac:dyDescent="0.3">
      <c r="A5595" t="s">
        <v>2469</v>
      </c>
    </row>
    <row r="5596" spans="1:1" x14ac:dyDescent="0.3">
      <c r="A5596" t="s">
        <v>51</v>
      </c>
    </row>
    <row r="5597" spans="1:1" x14ac:dyDescent="0.3">
      <c r="A5597" t="s">
        <v>52</v>
      </c>
    </row>
    <row r="5598" spans="1:1" x14ac:dyDescent="0.3">
      <c r="A5598" t="s">
        <v>79</v>
      </c>
    </row>
    <row r="5600" spans="1:1" x14ac:dyDescent="0.3">
      <c r="A5600" t="s">
        <v>12</v>
      </c>
    </row>
    <row r="5601" spans="1:1" x14ac:dyDescent="0.3">
      <c r="A5601" t="s">
        <v>13</v>
      </c>
    </row>
    <row r="5602" spans="1:1" x14ac:dyDescent="0.3">
      <c r="A5602" t="s">
        <v>2470</v>
      </c>
    </row>
    <row r="5603" spans="1:1" x14ac:dyDescent="0.3">
      <c r="A5603" t="s">
        <v>2471</v>
      </c>
    </row>
    <row r="5604" spans="1:1" x14ac:dyDescent="0.3">
      <c r="A5604" t="s">
        <v>2472</v>
      </c>
    </row>
    <row r="5605" spans="1:1" x14ac:dyDescent="0.3">
      <c r="A5605" t="s">
        <v>1153</v>
      </c>
    </row>
    <row r="5606" spans="1:1" x14ac:dyDescent="0.3">
      <c r="A5606" t="s">
        <v>110</v>
      </c>
    </row>
    <row r="5607" spans="1:1" x14ac:dyDescent="0.3">
      <c r="A5607" t="s">
        <v>1154</v>
      </c>
    </row>
    <row r="5608" spans="1:1" x14ac:dyDescent="0.3">
      <c r="A5608" t="s">
        <v>2473</v>
      </c>
    </row>
    <row r="5609" spans="1:1" x14ac:dyDescent="0.3">
      <c r="A5609" t="s">
        <v>51</v>
      </c>
    </row>
    <row r="5610" spans="1:1" x14ac:dyDescent="0.3">
      <c r="A5610" t="s">
        <v>52</v>
      </c>
    </row>
    <row r="5611" spans="1:1" x14ac:dyDescent="0.3">
      <c r="A5611" t="s">
        <v>79</v>
      </c>
    </row>
    <row r="5613" spans="1:1" x14ac:dyDescent="0.3">
      <c r="A5613" t="s">
        <v>12</v>
      </c>
    </row>
    <row r="5614" spans="1:1" x14ac:dyDescent="0.3">
      <c r="A5614" t="s">
        <v>13</v>
      </c>
    </row>
    <row r="5615" spans="1:1" x14ac:dyDescent="0.3">
      <c r="A5615" t="s">
        <v>2474</v>
      </c>
    </row>
    <row r="5616" spans="1:1" x14ac:dyDescent="0.3">
      <c r="A5616" t="s">
        <v>2475</v>
      </c>
    </row>
    <row r="5617" spans="1:1" x14ac:dyDescent="0.3">
      <c r="A5617" t="s">
        <v>2476</v>
      </c>
    </row>
    <row r="5618" spans="1:1" x14ac:dyDescent="0.3">
      <c r="A5618" t="s">
        <v>1153</v>
      </c>
    </row>
    <row r="5619" spans="1:1" x14ac:dyDescent="0.3">
      <c r="A5619" t="s">
        <v>110</v>
      </c>
    </row>
    <row r="5620" spans="1:1" x14ac:dyDescent="0.3">
      <c r="A5620" t="s">
        <v>1154</v>
      </c>
    </row>
    <row r="5621" spans="1:1" x14ac:dyDescent="0.3">
      <c r="A5621" t="s">
        <v>2477</v>
      </c>
    </row>
    <row r="5622" spans="1:1" x14ac:dyDescent="0.3">
      <c r="A5622" t="s">
        <v>51</v>
      </c>
    </row>
    <row r="5623" spans="1:1" x14ac:dyDescent="0.3">
      <c r="A5623" t="s">
        <v>52</v>
      </c>
    </row>
    <row r="5624" spans="1:1" x14ac:dyDescent="0.3">
      <c r="A5624" t="s">
        <v>79</v>
      </c>
    </row>
    <row r="5626" spans="1:1" x14ac:dyDescent="0.3">
      <c r="A5626" t="s">
        <v>12</v>
      </c>
    </row>
    <row r="5627" spans="1:1" x14ac:dyDescent="0.3">
      <c r="A5627" t="s">
        <v>13</v>
      </c>
    </row>
    <row r="5628" spans="1:1" x14ac:dyDescent="0.3">
      <c r="A5628" t="s">
        <v>2478</v>
      </c>
    </row>
    <row r="5629" spans="1:1" x14ac:dyDescent="0.3">
      <c r="A5629" t="s">
        <v>2479</v>
      </c>
    </row>
    <row r="5630" spans="1:1" x14ac:dyDescent="0.3">
      <c r="A5630" t="s">
        <v>2480</v>
      </c>
    </row>
    <row r="5631" spans="1:1" x14ac:dyDescent="0.3">
      <c r="A5631" t="s">
        <v>1153</v>
      </c>
    </row>
    <row r="5632" spans="1:1" x14ac:dyDescent="0.3">
      <c r="A5632" t="s">
        <v>110</v>
      </c>
    </row>
    <row r="5633" spans="1:1" x14ac:dyDescent="0.3">
      <c r="A5633" t="s">
        <v>1154</v>
      </c>
    </row>
    <row r="5634" spans="1:1" x14ac:dyDescent="0.3">
      <c r="A5634" t="s">
        <v>2481</v>
      </c>
    </row>
    <row r="5635" spans="1:1" x14ac:dyDescent="0.3">
      <c r="A5635" t="s">
        <v>51</v>
      </c>
    </row>
    <row r="5636" spans="1:1" x14ac:dyDescent="0.3">
      <c r="A5636" t="s">
        <v>52</v>
      </c>
    </row>
    <row r="5637" spans="1:1" x14ac:dyDescent="0.3">
      <c r="A5637" t="s">
        <v>79</v>
      </c>
    </row>
    <row r="5639" spans="1:1" x14ac:dyDescent="0.3">
      <c r="A5639" t="s">
        <v>12</v>
      </c>
    </row>
    <row r="5640" spans="1:1" x14ac:dyDescent="0.3">
      <c r="A5640" t="s">
        <v>13</v>
      </c>
    </row>
    <row r="5641" spans="1:1" x14ac:dyDescent="0.3">
      <c r="A5641" t="s">
        <v>2482</v>
      </c>
    </row>
    <row r="5642" spans="1:1" x14ac:dyDescent="0.3">
      <c r="A5642" t="s">
        <v>2483</v>
      </c>
    </row>
    <row r="5643" spans="1:1" x14ac:dyDescent="0.3">
      <c r="A5643" t="s">
        <v>2484</v>
      </c>
    </row>
    <row r="5644" spans="1:1" x14ac:dyDescent="0.3">
      <c r="A5644" t="s">
        <v>1153</v>
      </c>
    </row>
    <row r="5645" spans="1:1" x14ac:dyDescent="0.3">
      <c r="A5645" t="s">
        <v>110</v>
      </c>
    </row>
    <row r="5646" spans="1:1" x14ac:dyDescent="0.3">
      <c r="A5646" t="s">
        <v>1154</v>
      </c>
    </row>
    <row r="5647" spans="1:1" x14ac:dyDescent="0.3">
      <c r="A5647" t="s">
        <v>2485</v>
      </c>
    </row>
    <row r="5648" spans="1:1" x14ac:dyDescent="0.3">
      <c r="A5648" t="s">
        <v>51</v>
      </c>
    </row>
    <row r="5649" spans="1:1" x14ac:dyDescent="0.3">
      <c r="A5649" t="s">
        <v>52</v>
      </c>
    </row>
    <row r="5650" spans="1:1" x14ac:dyDescent="0.3">
      <c r="A5650" t="s">
        <v>79</v>
      </c>
    </row>
    <row r="5652" spans="1:1" x14ac:dyDescent="0.3">
      <c r="A5652" t="s">
        <v>12</v>
      </c>
    </row>
    <row r="5653" spans="1:1" x14ac:dyDescent="0.3">
      <c r="A5653" t="s">
        <v>13</v>
      </c>
    </row>
    <row r="5654" spans="1:1" x14ac:dyDescent="0.3">
      <c r="A5654" t="s">
        <v>2486</v>
      </c>
    </row>
    <row r="5655" spans="1:1" x14ac:dyDescent="0.3">
      <c r="A5655" t="s">
        <v>2448</v>
      </c>
    </row>
    <row r="5656" spans="1:1" x14ac:dyDescent="0.3">
      <c r="A5656" t="s">
        <v>2487</v>
      </c>
    </row>
    <row r="5657" spans="1:1" x14ac:dyDescent="0.3">
      <c r="A5657" t="s">
        <v>1153</v>
      </c>
    </row>
    <row r="5658" spans="1:1" x14ac:dyDescent="0.3">
      <c r="A5658" t="s">
        <v>110</v>
      </c>
    </row>
    <row r="5659" spans="1:1" x14ac:dyDescent="0.3">
      <c r="A5659" t="s">
        <v>2861</v>
      </c>
    </row>
    <row r="5660" spans="1:1" x14ac:dyDescent="0.3">
      <c r="A5660" t="s">
        <v>2488</v>
      </c>
    </row>
    <row r="5661" spans="1:1" x14ac:dyDescent="0.3">
      <c r="A5661" t="s">
        <v>51</v>
      </c>
    </row>
    <row r="5662" spans="1:1" x14ac:dyDescent="0.3">
      <c r="A5662" t="s">
        <v>52</v>
      </c>
    </row>
    <row r="5663" spans="1:1" x14ac:dyDescent="0.3">
      <c r="A5663" t="s">
        <v>79</v>
      </c>
    </row>
    <row r="5665" spans="1:1" x14ac:dyDescent="0.3">
      <c r="A5665" t="s">
        <v>12</v>
      </c>
    </row>
    <row r="5666" spans="1:1" x14ac:dyDescent="0.3">
      <c r="A5666" t="s">
        <v>13</v>
      </c>
    </row>
    <row r="5667" spans="1:1" x14ac:dyDescent="0.3">
      <c r="A5667" t="s">
        <v>2489</v>
      </c>
    </row>
    <row r="5668" spans="1:1" x14ac:dyDescent="0.3">
      <c r="A5668" t="s">
        <v>2444</v>
      </c>
    </row>
    <row r="5669" spans="1:1" x14ac:dyDescent="0.3">
      <c r="A5669" t="s">
        <v>2490</v>
      </c>
    </row>
    <row r="5670" spans="1:1" x14ac:dyDescent="0.3">
      <c r="A5670" t="s">
        <v>1153</v>
      </c>
    </row>
    <row r="5671" spans="1:1" x14ac:dyDescent="0.3">
      <c r="A5671" t="s">
        <v>110</v>
      </c>
    </row>
    <row r="5672" spans="1:1" x14ac:dyDescent="0.3">
      <c r="A5672" t="s">
        <v>1154</v>
      </c>
    </row>
    <row r="5673" spans="1:1" x14ac:dyDescent="0.3">
      <c r="A5673" t="s">
        <v>2491</v>
      </c>
    </row>
    <row r="5674" spans="1:1" x14ac:dyDescent="0.3">
      <c r="A5674" t="s">
        <v>51</v>
      </c>
    </row>
    <row r="5675" spans="1:1" x14ac:dyDescent="0.3">
      <c r="A5675" t="s">
        <v>52</v>
      </c>
    </row>
    <row r="5676" spans="1:1" x14ac:dyDescent="0.3">
      <c r="A5676" t="s">
        <v>79</v>
      </c>
    </row>
    <row r="5678" spans="1:1" x14ac:dyDescent="0.3">
      <c r="A5678" t="s">
        <v>12</v>
      </c>
    </row>
    <row r="5679" spans="1:1" x14ac:dyDescent="0.3">
      <c r="A5679" t="s">
        <v>13</v>
      </c>
    </row>
    <row r="5680" spans="1:1" x14ac:dyDescent="0.3">
      <c r="A5680" t="s">
        <v>2492</v>
      </c>
    </row>
    <row r="5681" spans="1:1" x14ac:dyDescent="0.3">
      <c r="A5681" t="s">
        <v>2493</v>
      </c>
    </row>
    <row r="5682" spans="1:1" x14ac:dyDescent="0.3">
      <c r="A5682" t="s">
        <v>2494</v>
      </c>
    </row>
    <row r="5683" spans="1:1" x14ac:dyDescent="0.3">
      <c r="A5683" t="s">
        <v>1153</v>
      </c>
    </row>
    <row r="5684" spans="1:1" x14ac:dyDescent="0.3">
      <c r="A5684" t="s">
        <v>110</v>
      </c>
    </row>
    <row r="5685" spans="1:1" x14ac:dyDescent="0.3">
      <c r="A5685" t="s">
        <v>1154</v>
      </c>
    </row>
    <row r="5686" spans="1:1" x14ac:dyDescent="0.3">
      <c r="A5686" t="s">
        <v>2495</v>
      </c>
    </row>
    <row r="5687" spans="1:1" x14ac:dyDescent="0.3">
      <c r="A5687" t="s">
        <v>51</v>
      </c>
    </row>
    <row r="5688" spans="1:1" x14ac:dyDescent="0.3">
      <c r="A5688" t="s">
        <v>52</v>
      </c>
    </row>
    <row r="5689" spans="1:1" x14ac:dyDescent="0.3">
      <c r="A5689" t="s">
        <v>79</v>
      </c>
    </row>
    <row r="5691" spans="1:1" x14ac:dyDescent="0.3">
      <c r="A5691" t="s">
        <v>12</v>
      </c>
    </row>
    <row r="5692" spans="1:1" x14ac:dyDescent="0.3">
      <c r="A5692" t="s">
        <v>13</v>
      </c>
    </row>
    <row r="5693" spans="1:1" x14ac:dyDescent="0.3">
      <c r="A5693" t="s">
        <v>2496</v>
      </c>
    </row>
    <row r="5694" spans="1:1" x14ac:dyDescent="0.3">
      <c r="A5694" t="s">
        <v>2479</v>
      </c>
    </row>
    <row r="5695" spans="1:1" x14ac:dyDescent="0.3">
      <c r="A5695" t="s">
        <v>2497</v>
      </c>
    </row>
    <row r="5696" spans="1:1" x14ac:dyDescent="0.3">
      <c r="A5696" t="s">
        <v>1153</v>
      </c>
    </row>
    <row r="5697" spans="1:1" x14ac:dyDescent="0.3">
      <c r="A5697" t="s">
        <v>110</v>
      </c>
    </row>
    <row r="5698" spans="1:1" x14ac:dyDescent="0.3">
      <c r="A5698" t="s">
        <v>1154</v>
      </c>
    </row>
    <row r="5699" spans="1:1" x14ac:dyDescent="0.3">
      <c r="A5699" t="s">
        <v>2498</v>
      </c>
    </row>
    <row r="5700" spans="1:1" x14ac:dyDescent="0.3">
      <c r="A5700" t="s">
        <v>51</v>
      </c>
    </row>
    <row r="5701" spans="1:1" x14ac:dyDescent="0.3">
      <c r="A5701" t="s">
        <v>52</v>
      </c>
    </row>
    <row r="5702" spans="1:1" x14ac:dyDescent="0.3">
      <c r="A5702" t="s">
        <v>79</v>
      </c>
    </row>
    <row r="5703" spans="1:1" x14ac:dyDescent="0.3">
      <c r="A5703" t="s">
        <v>98</v>
      </c>
    </row>
    <row r="5704" spans="1:1" x14ac:dyDescent="0.3">
      <c r="A5704" t="s">
        <v>13</v>
      </c>
    </row>
    <row r="5705" spans="1:1" x14ac:dyDescent="0.3">
      <c r="A5705" t="s">
        <v>105</v>
      </c>
    </row>
    <row r="5706" spans="1:1" x14ac:dyDescent="0.3">
      <c r="A5706" t="s">
        <v>2499</v>
      </c>
    </row>
    <row r="5707" spans="1:1" x14ac:dyDescent="0.3">
      <c r="A5707" t="s">
        <v>1157</v>
      </c>
    </row>
    <row r="5708" spans="1:1" x14ac:dyDescent="0.3">
      <c r="A5708" t="s">
        <v>2500</v>
      </c>
    </row>
    <row r="5709" spans="1:1" x14ac:dyDescent="0.3">
      <c r="A5709" t="s">
        <v>12</v>
      </c>
    </row>
    <row r="5710" spans="1:1" x14ac:dyDescent="0.3">
      <c r="A5710" t="s">
        <v>13</v>
      </c>
    </row>
    <row r="5711" spans="1:1" x14ac:dyDescent="0.3">
      <c r="A5711" t="s">
        <v>106</v>
      </c>
    </row>
    <row r="5712" spans="1:1" x14ac:dyDescent="0.3">
      <c r="A5712" t="s">
        <v>2501</v>
      </c>
    </row>
    <row r="5713" spans="1:1" x14ac:dyDescent="0.3">
      <c r="A5713" t="s">
        <v>1157</v>
      </c>
    </row>
    <row r="5714" spans="1:1" x14ac:dyDescent="0.3">
      <c r="A5714" t="s">
        <v>2502</v>
      </c>
    </row>
    <row r="5715" spans="1:1" x14ac:dyDescent="0.3">
      <c r="A5715" t="s">
        <v>12</v>
      </c>
    </row>
    <row r="5716" spans="1:1" x14ac:dyDescent="0.3">
      <c r="A5716" t="s">
        <v>40</v>
      </c>
    </row>
    <row r="5718" spans="1:1" x14ac:dyDescent="0.3">
      <c r="A5718" t="s">
        <v>12</v>
      </c>
    </row>
    <row r="5719" spans="1:1" x14ac:dyDescent="0.3">
      <c r="A5719" t="s">
        <v>13</v>
      </c>
    </row>
    <row r="5720" spans="1:1" x14ac:dyDescent="0.3">
      <c r="A5720" t="s">
        <v>2503</v>
      </c>
    </row>
    <row r="5721" spans="1:1" x14ac:dyDescent="0.3">
      <c r="A5721" t="s">
        <v>2504</v>
      </c>
    </row>
    <row r="5722" spans="1:1" x14ac:dyDescent="0.3">
      <c r="A5722" t="s">
        <v>2505</v>
      </c>
    </row>
    <row r="5723" spans="1:1" x14ac:dyDescent="0.3">
      <c r="A5723" t="s">
        <v>1153</v>
      </c>
    </row>
    <row r="5724" spans="1:1" x14ac:dyDescent="0.3">
      <c r="A5724" t="s">
        <v>110</v>
      </c>
    </row>
    <row r="5725" spans="1:1" x14ac:dyDescent="0.3">
      <c r="A5725" t="s">
        <v>1154</v>
      </c>
    </row>
    <row r="5726" spans="1:1" x14ac:dyDescent="0.3">
      <c r="A5726" t="s">
        <v>2506</v>
      </c>
    </row>
    <row r="5727" spans="1:1" x14ac:dyDescent="0.3">
      <c r="A5727" t="s">
        <v>51</v>
      </c>
    </row>
    <row r="5728" spans="1:1" x14ac:dyDescent="0.3">
      <c r="A5728" t="s">
        <v>52</v>
      </c>
    </row>
    <row r="5729" spans="1:1" x14ac:dyDescent="0.3">
      <c r="A5729" t="s">
        <v>79</v>
      </c>
    </row>
    <row r="5730" spans="1:1" x14ac:dyDescent="0.3">
      <c r="A5730" t="s">
        <v>98</v>
      </c>
    </row>
    <row r="5731" spans="1:1" x14ac:dyDescent="0.3">
      <c r="A5731" t="s">
        <v>13</v>
      </c>
    </row>
    <row r="5732" spans="1:1" x14ac:dyDescent="0.3">
      <c r="A5732" t="s">
        <v>105</v>
      </c>
    </row>
    <row r="5733" spans="1:1" x14ac:dyDescent="0.3">
      <c r="A5733" t="s">
        <v>2507</v>
      </c>
    </row>
    <row r="5734" spans="1:1" x14ac:dyDescent="0.3">
      <c r="A5734" t="s">
        <v>1157</v>
      </c>
    </row>
    <row r="5735" spans="1:1" x14ac:dyDescent="0.3">
      <c r="A5735" t="s">
        <v>2508</v>
      </c>
    </row>
    <row r="5736" spans="1:1" x14ac:dyDescent="0.3">
      <c r="A5736" t="s">
        <v>12</v>
      </c>
    </row>
    <row r="5737" spans="1:1" x14ac:dyDescent="0.3">
      <c r="A5737" t="s">
        <v>13</v>
      </c>
    </row>
    <row r="5738" spans="1:1" x14ac:dyDescent="0.3">
      <c r="A5738" t="s">
        <v>106</v>
      </c>
    </row>
    <row r="5739" spans="1:1" x14ac:dyDescent="0.3">
      <c r="A5739" t="s">
        <v>2509</v>
      </c>
    </row>
    <row r="5740" spans="1:1" x14ac:dyDescent="0.3">
      <c r="A5740" t="s">
        <v>1157</v>
      </c>
    </row>
    <row r="5741" spans="1:1" x14ac:dyDescent="0.3">
      <c r="A5741" t="s">
        <v>2510</v>
      </c>
    </row>
    <row r="5742" spans="1:1" x14ac:dyDescent="0.3">
      <c r="A5742" t="s">
        <v>12</v>
      </c>
    </row>
    <row r="5743" spans="1:1" x14ac:dyDescent="0.3">
      <c r="A5743" t="s">
        <v>40</v>
      </c>
    </row>
    <row r="5745" spans="1:1" x14ac:dyDescent="0.3">
      <c r="A5745" t="s">
        <v>12</v>
      </c>
    </row>
    <row r="5746" spans="1:1" x14ac:dyDescent="0.3">
      <c r="A5746" t="s">
        <v>13</v>
      </c>
    </row>
    <row r="5747" spans="1:1" x14ac:dyDescent="0.3">
      <c r="A5747" t="s">
        <v>2511</v>
      </c>
    </row>
    <row r="5748" spans="1:1" x14ac:dyDescent="0.3">
      <c r="A5748" t="s">
        <v>2390</v>
      </c>
    </row>
    <row r="5749" spans="1:1" x14ac:dyDescent="0.3">
      <c r="A5749" t="s">
        <v>2512</v>
      </c>
    </row>
    <row r="5750" spans="1:1" x14ac:dyDescent="0.3">
      <c r="A5750" t="s">
        <v>1153</v>
      </c>
    </row>
    <row r="5751" spans="1:1" x14ac:dyDescent="0.3">
      <c r="A5751" t="s">
        <v>110</v>
      </c>
    </row>
    <row r="5752" spans="1:1" x14ac:dyDescent="0.3">
      <c r="A5752" t="s">
        <v>1154</v>
      </c>
    </row>
    <row r="5753" spans="1:1" x14ac:dyDescent="0.3">
      <c r="A5753" t="s">
        <v>2513</v>
      </c>
    </row>
    <row r="5754" spans="1:1" x14ac:dyDescent="0.3">
      <c r="A5754" t="s">
        <v>51</v>
      </c>
    </row>
    <row r="5755" spans="1:1" x14ac:dyDescent="0.3">
      <c r="A5755" t="s">
        <v>52</v>
      </c>
    </row>
    <row r="5756" spans="1:1" x14ac:dyDescent="0.3">
      <c r="A5756" t="s">
        <v>79</v>
      </c>
    </row>
    <row r="5758" spans="1:1" x14ac:dyDescent="0.3">
      <c r="A5758" t="s">
        <v>12</v>
      </c>
    </row>
    <row r="5759" spans="1:1" x14ac:dyDescent="0.3">
      <c r="A5759" t="s">
        <v>13</v>
      </c>
    </row>
    <row r="5760" spans="1:1" x14ac:dyDescent="0.3">
      <c r="A5760" t="s">
        <v>2514</v>
      </c>
    </row>
    <row r="5761" spans="1:1" x14ac:dyDescent="0.3">
      <c r="A5761" t="s">
        <v>2171</v>
      </c>
    </row>
    <row r="5762" spans="1:1" x14ac:dyDescent="0.3">
      <c r="A5762" t="s">
        <v>2515</v>
      </c>
    </row>
    <row r="5763" spans="1:1" x14ac:dyDescent="0.3">
      <c r="A5763" t="s">
        <v>1153</v>
      </c>
    </row>
    <row r="5764" spans="1:1" x14ac:dyDescent="0.3">
      <c r="A5764" t="s">
        <v>110</v>
      </c>
    </row>
    <row r="5765" spans="1:1" x14ac:dyDescent="0.3">
      <c r="A5765" t="s">
        <v>1154</v>
      </c>
    </row>
    <row r="5766" spans="1:1" x14ac:dyDescent="0.3">
      <c r="A5766" t="s">
        <v>2516</v>
      </c>
    </row>
    <row r="5767" spans="1:1" x14ac:dyDescent="0.3">
      <c r="A5767" t="s">
        <v>51</v>
      </c>
    </row>
    <row r="5768" spans="1:1" x14ac:dyDescent="0.3">
      <c r="A5768" t="s">
        <v>52</v>
      </c>
    </row>
    <row r="5769" spans="1:1" x14ac:dyDescent="0.3">
      <c r="A5769" t="s">
        <v>79</v>
      </c>
    </row>
    <row r="5771" spans="1:1" x14ac:dyDescent="0.3">
      <c r="A5771" t="s">
        <v>12</v>
      </c>
    </row>
    <row r="5772" spans="1:1" x14ac:dyDescent="0.3">
      <c r="A5772" t="s">
        <v>13</v>
      </c>
    </row>
    <row r="5773" spans="1:1" x14ac:dyDescent="0.3">
      <c r="A5773" t="s">
        <v>2517</v>
      </c>
    </row>
    <row r="5774" spans="1:1" x14ac:dyDescent="0.3">
      <c r="A5774" t="s">
        <v>2223</v>
      </c>
    </row>
    <row r="5775" spans="1:1" x14ac:dyDescent="0.3">
      <c r="A5775" t="s">
        <v>2518</v>
      </c>
    </row>
    <row r="5776" spans="1:1" x14ac:dyDescent="0.3">
      <c r="A5776" t="s">
        <v>1153</v>
      </c>
    </row>
    <row r="5777" spans="1:1" x14ac:dyDescent="0.3">
      <c r="A5777" t="s">
        <v>110</v>
      </c>
    </row>
    <row r="5778" spans="1:1" x14ac:dyDescent="0.3">
      <c r="A5778" t="s">
        <v>1154</v>
      </c>
    </row>
    <row r="5779" spans="1:1" x14ac:dyDescent="0.3">
      <c r="A5779" t="s">
        <v>2519</v>
      </c>
    </row>
    <row r="5780" spans="1:1" x14ac:dyDescent="0.3">
      <c r="A5780" t="s">
        <v>51</v>
      </c>
    </row>
    <row r="5781" spans="1:1" x14ac:dyDescent="0.3">
      <c r="A5781" t="s">
        <v>52</v>
      </c>
    </row>
    <row r="5782" spans="1:1" x14ac:dyDescent="0.3">
      <c r="A5782" t="s">
        <v>79</v>
      </c>
    </row>
    <row r="5783" spans="1:1" x14ac:dyDescent="0.3">
      <c r="A5783" t="s">
        <v>98</v>
      </c>
    </row>
    <row r="5784" spans="1:1" x14ac:dyDescent="0.3">
      <c r="A5784" t="s">
        <v>13</v>
      </c>
    </row>
    <row r="5785" spans="1:1" x14ac:dyDescent="0.3">
      <c r="A5785" t="s">
        <v>105</v>
      </c>
    </row>
    <row r="5786" spans="1:1" x14ac:dyDescent="0.3">
      <c r="A5786" t="s">
        <v>2520</v>
      </c>
    </row>
    <row r="5787" spans="1:1" x14ac:dyDescent="0.3">
      <c r="A5787" t="s">
        <v>1157</v>
      </c>
    </row>
    <row r="5788" spans="1:1" x14ac:dyDescent="0.3">
      <c r="A5788" t="s">
        <v>2521</v>
      </c>
    </row>
    <row r="5789" spans="1:1" x14ac:dyDescent="0.3">
      <c r="A5789" t="s">
        <v>12</v>
      </c>
    </row>
    <row r="5790" spans="1:1" x14ac:dyDescent="0.3">
      <c r="A5790" t="s">
        <v>13</v>
      </c>
    </row>
    <row r="5791" spans="1:1" x14ac:dyDescent="0.3">
      <c r="A5791" t="s">
        <v>106</v>
      </c>
    </row>
    <row r="5792" spans="1:1" x14ac:dyDescent="0.3">
      <c r="A5792" t="s">
        <v>2522</v>
      </c>
    </row>
    <row r="5793" spans="1:1" x14ac:dyDescent="0.3">
      <c r="A5793" t="s">
        <v>1157</v>
      </c>
    </row>
    <row r="5794" spans="1:1" x14ac:dyDescent="0.3">
      <c r="A5794" t="s">
        <v>2523</v>
      </c>
    </row>
    <row r="5795" spans="1:1" x14ac:dyDescent="0.3">
      <c r="A5795" t="s">
        <v>12</v>
      </c>
    </row>
    <row r="5796" spans="1:1" x14ac:dyDescent="0.3">
      <c r="A5796" t="s">
        <v>40</v>
      </c>
    </row>
    <row r="5798" spans="1:1" x14ac:dyDescent="0.3">
      <c r="A5798" t="s">
        <v>12</v>
      </c>
    </row>
    <row r="5799" spans="1:1" x14ac:dyDescent="0.3">
      <c r="A5799" t="s">
        <v>13</v>
      </c>
    </row>
    <row r="5800" spans="1:1" x14ac:dyDescent="0.3">
      <c r="A5800" t="s">
        <v>2524</v>
      </c>
    </row>
    <row r="5801" spans="1:1" x14ac:dyDescent="0.3">
      <c r="A5801" t="s">
        <v>2352</v>
      </c>
    </row>
    <row r="5802" spans="1:1" x14ac:dyDescent="0.3">
      <c r="A5802" t="s">
        <v>2525</v>
      </c>
    </row>
    <row r="5803" spans="1:1" x14ac:dyDescent="0.3">
      <c r="A5803" t="s">
        <v>1153</v>
      </c>
    </row>
    <row r="5804" spans="1:1" x14ac:dyDescent="0.3">
      <c r="A5804" t="s">
        <v>110</v>
      </c>
    </row>
    <row r="5805" spans="1:1" x14ac:dyDescent="0.3">
      <c r="A5805" t="s">
        <v>1154</v>
      </c>
    </row>
    <row r="5806" spans="1:1" x14ac:dyDescent="0.3">
      <c r="A5806" t="s">
        <v>2526</v>
      </c>
    </row>
    <row r="5807" spans="1:1" x14ac:dyDescent="0.3">
      <c r="A5807" t="s">
        <v>51</v>
      </c>
    </row>
    <row r="5808" spans="1:1" x14ac:dyDescent="0.3">
      <c r="A5808" t="s">
        <v>52</v>
      </c>
    </row>
    <row r="5809" spans="1:1" x14ac:dyDescent="0.3">
      <c r="A5809" t="s">
        <v>79</v>
      </c>
    </row>
    <row r="5811" spans="1:1" x14ac:dyDescent="0.3">
      <c r="A5811" t="s">
        <v>12</v>
      </c>
    </row>
    <row r="5812" spans="1:1" x14ac:dyDescent="0.3">
      <c r="A5812" t="s">
        <v>13</v>
      </c>
    </row>
    <row r="5813" spans="1:1" x14ac:dyDescent="0.3">
      <c r="A5813" t="s">
        <v>2527</v>
      </c>
    </row>
    <row r="5814" spans="1:1" x14ac:dyDescent="0.3">
      <c r="A5814" t="s">
        <v>2152</v>
      </c>
    </row>
    <row r="5815" spans="1:1" x14ac:dyDescent="0.3">
      <c r="A5815" t="s">
        <v>2528</v>
      </c>
    </row>
    <row r="5816" spans="1:1" x14ac:dyDescent="0.3">
      <c r="A5816" t="s">
        <v>1153</v>
      </c>
    </row>
    <row r="5817" spans="1:1" x14ac:dyDescent="0.3">
      <c r="A5817" t="s">
        <v>110</v>
      </c>
    </row>
    <row r="5818" spans="1:1" x14ac:dyDescent="0.3">
      <c r="A5818" t="s">
        <v>1154</v>
      </c>
    </row>
    <row r="5819" spans="1:1" x14ac:dyDescent="0.3">
      <c r="A5819" t="s">
        <v>2529</v>
      </c>
    </row>
    <row r="5820" spans="1:1" x14ac:dyDescent="0.3">
      <c r="A5820" t="s">
        <v>51</v>
      </c>
    </row>
    <row r="5821" spans="1:1" x14ac:dyDescent="0.3">
      <c r="A5821" t="s">
        <v>52</v>
      </c>
    </row>
    <row r="5822" spans="1:1" x14ac:dyDescent="0.3">
      <c r="A5822" t="s">
        <v>79</v>
      </c>
    </row>
    <row r="5824" spans="1:1" x14ac:dyDescent="0.3">
      <c r="A5824" t="s">
        <v>12</v>
      </c>
    </row>
    <row r="5825" spans="1:1" x14ac:dyDescent="0.3">
      <c r="A5825" t="s">
        <v>13</v>
      </c>
    </row>
    <row r="5826" spans="1:1" x14ac:dyDescent="0.3">
      <c r="A5826" t="s">
        <v>2530</v>
      </c>
    </row>
    <row r="5827" spans="1:1" x14ac:dyDescent="0.3">
      <c r="A5827" t="s">
        <v>2531</v>
      </c>
    </row>
    <row r="5828" spans="1:1" x14ac:dyDescent="0.3">
      <c r="A5828" t="s">
        <v>2532</v>
      </c>
    </row>
    <row r="5829" spans="1:1" x14ac:dyDescent="0.3">
      <c r="A5829" t="s">
        <v>1153</v>
      </c>
    </row>
    <row r="5830" spans="1:1" x14ac:dyDescent="0.3">
      <c r="A5830" t="s">
        <v>110</v>
      </c>
    </row>
    <row r="5831" spans="1:1" x14ac:dyDescent="0.3">
      <c r="A5831" t="s">
        <v>1154</v>
      </c>
    </row>
    <row r="5832" spans="1:1" x14ac:dyDescent="0.3">
      <c r="A5832" t="s">
        <v>2533</v>
      </c>
    </row>
    <row r="5833" spans="1:1" x14ac:dyDescent="0.3">
      <c r="A5833" t="s">
        <v>51</v>
      </c>
    </row>
    <row r="5834" spans="1:1" x14ac:dyDescent="0.3">
      <c r="A5834" t="s">
        <v>52</v>
      </c>
    </row>
    <row r="5835" spans="1:1" x14ac:dyDescent="0.3">
      <c r="A5835" t="s">
        <v>79</v>
      </c>
    </row>
    <row r="5837" spans="1:1" x14ac:dyDescent="0.3">
      <c r="A5837" t="s">
        <v>12</v>
      </c>
    </row>
    <row r="5838" spans="1:1" x14ac:dyDescent="0.3">
      <c r="A5838" t="s">
        <v>13</v>
      </c>
    </row>
    <row r="5839" spans="1:1" x14ac:dyDescent="0.3">
      <c r="A5839" t="s">
        <v>2534</v>
      </c>
    </row>
    <row r="5840" spans="1:1" x14ac:dyDescent="0.3">
      <c r="A5840" t="s">
        <v>2352</v>
      </c>
    </row>
    <row r="5841" spans="1:1" x14ac:dyDescent="0.3">
      <c r="A5841" t="s">
        <v>2535</v>
      </c>
    </row>
    <row r="5842" spans="1:1" x14ac:dyDescent="0.3">
      <c r="A5842" t="s">
        <v>1153</v>
      </c>
    </row>
    <row r="5843" spans="1:1" x14ac:dyDescent="0.3">
      <c r="A5843" t="s">
        <v>110</v>
      </c>
    </row>
    <row r="5844" spans="1:1" x14ac:dyDescent="0.3">
      <c r="A5844" t="s">
        <v>1154</v>
      </c>
    </row>
    <row r="5845" spans="1:1" x14ac:dyDescent="0.3">
      <c r="A5845" t="s">
        <v>2536</v>
      </c>
    </row>
    <row r="5846" spans="1:1" x14ac:dyDescent="0.3">
      <c r="A5846" t="s">
        <v>51</v>
      </c>
    </row>
    <row r="5847" spans="1:1" x14ac:dyDescent="0.3">
      <c r="A5847" t="s">
        <v>52</v>
      </c>
    </row>
    <row r="5848" spans="1:1" x14ac:dyDescent="0.3">
      <c r="A5848" t="s">
        <v>79</v>
      </c>
    </row>
    <row r="5850" spans="1:1" x14ac:dyDescent="0.3">
      <c r="A5850" t="s">
        <v>12</v>
      </c>
    </row>
    <row r="5851" spans="1:1" x14ac:dyDescent="0.3">
      <c r="A5851" t="s">
        <v>13</v>
      </c>
    </row>
    <row r="5852" spans="1:1" x14ac:dyDescent="0.3">
      <c r="A5852" t="s">
        <v>2537</v>
      </c>
    </row>
    <row r="5853" spans="1:1" x14ac:dyDescent="0.3">
      <c r="A5853" t="s">
        <v>2479</v>
      </c>
    </row>
    <row r="5854" spans="1:1" x14ac:dyDescent="0.3">
      <c r="A5854" t="s">
        <v>2538</v>
      </c>
    </row>
    <row r="5855" spans="1:1" x14ac:dyDescent="0.3">
      <c r="A5855" t="s">
        <v>1153</v>
      </c>
    </row>
    <row r="5856" spans="1:1" x14ac:dyDescent="0.3">
      <c r="A5856" t="s">
        <v>110</v>
      </c>
    </row>
    <row r="5857" spans="1:1" x14ac:dyDescent="0.3">
      <c r="A5857" t="s">
        <v>1154</v>
      </c>
    </row>
    <row r="5858" spans="1:1" x14ac:dyDescent="0.3">
      <c r="A5858" t="s">
        <v>2539</v>
      </c>
    </row>
    <row r="5859" spans="1:1" x14ac:dyDescent="0.3">
      <c r="A5859" t="s">
        <v>51</v>
      </c>
    </row>
    <row r="5860" spans="1:1" x14ac:dyDescent="0.3">
      <c r="A5860" t="s">
        <v>52</v>
      </c>
    </row>
    <row r="5861" spans="1:1" x14ac:dyDescent="0.3">
      <c r="A5861" t="s">
        <v>79</v>
      </c>
    </row>
    <row r="5862" spans="1:1" x14ac:dyDescent="0.3">
      <c r="A5862" t="s">
        <v>98</v>
      </c>
    </row>
    <row r="5863" spans="1:1" x14ac:dyDescent="0.3">
      <c r="A5863" t="s">
        <v>13</v>
      </c>
    </row>
    <row r="5864" spans="1:1" x14ac:dyDescent="0.3">
      <c r="A5864" t="s">
        <v>105</v>
      </c>
    </row>
    <row r="5865" spans="1:1" x14ac:dyDescent="0.3">
      <c r="A5865" t="s">
        <v>2540</v>
      </c>
    </row>
    <row r="5866" spans="1:1" x14ac:dyDescent="0.3">
      <c r="A5866" t="s">
        <v>1157</v>
      </c>
    </row>
    <row r="5867" spans="1:1" x14ac:dyDescent="0.3">
      <c r="A5867" t="s">
        <v>2500</v>
      </c>
    </row>
    <row r="5868" spans="1:1" x14ac:dyDescent="0.3">
      <c r="A5868" t="s">
        <v>12</v>
      </c>
    </row>
    <row r="5869" spans="1:1" x14ac:dyDescent="0.3">
      <c r="A5869" t="s">
        <v>13</v>
      </c>
    </row>
    <row r="5870" spans="1:1" x14ac:dyDescent="0.3">
      <c r="A5870" t="s">
        <v>106</v>
      </c>
    </row>
    <row r="5871" spans="1:1" x14ac:dyDescent="0.3">
      <c r="A5871" t="s">
        <v>2541</v>
      </c>
    </row>
    <row r="5872" spans="1:1" x14ac:dyDescent="0.3">
      <c r="A5872" t="s">
        <v>1157</v>
      </c>
    </row>
    <row r="5873" spans="1:1" x14ac:dyDescent="0.3">
      <c r="A5873" t="s">
        <v>2502</v>
      </c>
    </row>
    <row r="5874" spans="1:1" x14ac:dyDescent="0.3">
      <c r="A5874" t="s">
        <v>12</v>
      </c>
    </row>
    <row r="5875" spans="1:1" x14ac:dyDescent="0.3">
      <c r="A5875" t="s">
        <v>40</v>
      </c>
    </row>
    <row r="5877" spans="1:1" x14ac:dyDescent="0.3">
      <c r="A5877" t="s">
        <v>12</v>
      </c>
    </row>
    <row r="5878" spans="1:1" x14ac:dyDescent="0.3">
      <c r="A5878" t="s">
        <v>13</v>
      </c>
    </row>
    <row r="5879" spans="1:1" x14ac:dyDescent="0.3">
      <c r="A5879" t="s">
        <v>2542</v>
      </c>
    </row>
    <row r="5880" spans="1:1" x14ac:dyDescent="0.3">
      <c r="A5880" t="s">
        <v>2543</v>
      </c>
    </row>
    <row r="5881" spans="1:1" x14ac:dyDescent="0.3">
      <c r="A5881" t="s">
        <v>2544</v>
      </c>
    </row>
    <row r="5882" spans="1:1" x14ac:dyDescent="0.3">
      <c r="A5882" t="s">
        <v>1153</v>
      </c>
    </row>
    <row r="5883" spans="1:1" x14ac:dyDescent="0.3">
      <c r="A5883" t="s">
        <v>110</v>
      </c>
    </row>
    <row r="5884" spans="1:1" x14ac:dyDescent="0.3">
      <c r="A5884" t="s">
        <v>1154</v>
      </c>
    </row>
    <row r="5885" spans="1:1" x14ac:dyDescent="0.3">
      <c r="A5885" t="s">
        <v>2545</v>
      </c>
    </row>
    <row r="5886" spans="1:1" x14ac:dyDescent="0.3">
      <c r="A5886" t="s">
        <v>51</v>
      </c>
    </row>
    <row r="5887" spans="1:1" x14ac:dyDescent="0.3">
      <c r="A5887" t="s">
        <v>52</v>
      </c>
    </row>
    <row r="5888" spans="1:1" x14ac:dyDescent="0.3">
      <c r="A5888" t="s">
        <v>79</v>
      </c>
    </row>
    <row r="5889" spans="1:1" x14ac:dyDescent="0.3">
      <c r="A5889" t="s">
        <v>98</v>
      </c>
    </row>
    <row r="5890" spans="1:1" x14ac:dyDescent="0.3">
      <c r="A5890" t="s">
        <v>13</v>
      </c>
    </row>
    <row r="5891" spans="1:1" x14ac:dyDescent="0.3">
      <c r="A5891" t="s">
        <v>105</v>
      </c>
    </row>
    <row r="5892" spans="1:1" x14ac:dyDescent="0.3">
      <c r="A5892" t="s">
        <v>2546</v>
      </c>
    </row>
    <row r="5893" spans="1:1" x14ac:dyDescent="0.3">
      <c r="A5893" t="s">
        <v>1157</v>
      </c>
    </row>
    <row r="5894" spans="1:1" x14ac:dyDescent="0.3">
      <c r="A5894" t="s">
        <v>2547</v>
      </c>
    </row>
    <row r="5895" spans="1:1" x14ac:dyDescent="0.3">
      <c r="A5895" t="s">
        <v>12</v>
      </c>
    </row>
    <row r="5896" spans="1:1" x14ac:dyDescent="0.3">
      <c r="A5896" t="s">
        <v>13</v>
      </c>
    </row>
    <row r="5897" spans="1:1" x14ac:dyDescent="0.3">
      <c r="A5897" t="s">
        <v>106</v>
      </c>
    </row>
    <row r="5898" spans="1:1" x14ac:dyDescent="0.3">
      <c r="A5898" t="s">
        <v>2548</v>
      </c>
    </row>
    <row r="5899" spans="1:1" x14ac:dyDescent="0.3">
      <c r="A5899" t="s">
        <v>1157</v>
      </c>
    </row>
    <row r="5900" spans="1:1" x14ac:dyDescent="0.3">
      <c r="A5900" t="s">
        <v>2549</v>
      </c>
    </row>
    <row r="5901" spans="1:1" x14ac:dyDescent="0.3">
      <c r="A5901" t="s">
        <v>12</v>
      </c>
    </row>
    <row r="5902" spans="1:1" x14ac:dyDescent="0.3">
      <c r="A5902" t="s">
        <v>40</v>
      </c>
    </row>
    <row r="5904" spans="1:1" x14ac:dyDescent="0.3">
      <c r="A5904" t="s">
        <v>12</v>
      </c>
    </row>
    <row r="5905" spans="1:1" x14ac:dyDescent="0.3">
      <c r="A5905" t="s">
        <v>13</v>
      </c>
    </row>
    <row r="5906" spans="1:1" x14ac:dyDescent="0.3">
      <c r="A5906" t="s">
        <v>2550</v>
      </c>
    </row>
    <row r="5907" spans="1:1" x14ac:dyDescent="0.3">
      <c r="A5907" t="s">
        <v>2551</v>
      </c>
    </row>
    <row r="5908" spans="1:1" x14ac:dyDescent="0.3">
      <c r="A5908" t="s">
        <v>2552</v>
      </c>
    </row>
    <row r="5909" spans="1:1" x14ac:dyDescent="0.3">
      <c r="A5909" t="s">
        <v>1153</v>
      </c>
    </row>
    <row r="5910" spans="1:1" x14ac:dyDescent="0.3">
      <c r="A5910" t="s">
        <v>110</v>
      </c>
    </row>
    <row r="5911" spans="1:1" x14ac:dyDescent="0.3">
      <c r="A5911" t="s">
        <v>1154</v>
      </c>
    </row>
    <row r="5912" spans="1:1" x14ac:dyDescent="0.3">
      <c r="A5912" t="s">
        <v>2553</v>
      </c>
    </row>
    <row r="5913" spans="1:1" x14ac:dyDescent="0.3">
      <c r="A5913" t="s">
        <v>51</v>
      </c>
    </row>
    <row r="5914" spans="1:1" x14ac:dyDescent="0.3">
      <c r="A5914" t="s">
        <v>52</v>
      </c>
    </row>
    <row r="5915" spans="1:1" x14ac:dyDescent="0.3">
      <c r="A5915" t="s">
        <v>79</v>
      </c>
    </row>
    <row r="5916" spans="1:1" x14ac:dyDescent="0.3">
      <c r="A5916" t="s">
        <v>98</v>
      </c>
    </row>
    <row r="5917" spans="1:1" x14ac:dyDescent="0.3">
      <c r="A5917" t="s">
        <v>13</v>
      </c>
    </row>
    <row r="5918" spans="1:1" x14ac:dyDescent="0.3">
      <c r="A5918" t="s">
        <v>105</v>
      </c>
    </row>
    <row r="5919" spans="1:1" x14ac:dyDescent="0.3">
      <c r="A5919" t="s">
        <v>2554</v>
      </c>
    </row>
    <row r="5920" spans="1:1" x14ac:dyDescent="0.3">
      <c r="A5920" t="s">
        <v>1157</v>
      </c>
    </row>
    <row r="5921" spans="1:1" x14ac:dyDescent="0.3">
      <c r="A5921" t="s">
        <v>2555</v>
      </c>
    </row>
    <row r="5922" spans="1:1" x14ac:dyDescent="0.3">
      <c r="A5922" t="s">
        <v>12</v>
      </c>
    </row>
    <row r="5923" spans="1:1" x14ac:dyDescent="0.3">
      <c r="A5923" t="s">
        <v>13</v>
      </c>
    </row>
    <row r="5924" spans="1:1" x14ac:dyDescent="0.3">
      <c r="A5924" t="s">
        <v>106</v>
      </c>
    </row>
    <row r="5925" spans="1:1" x14ac:dyDescent="0.3">
      <c r="A5925" t="s">
        <v>2556</v>
      </c>
    </row>
    <row r="5926" spans="1:1" x14ac:dyDescent="0.3">
      <c r="A5926" t="s">
        <v>1157</v>
      </c>
    </row>
    <row r="5927" spans="1:1" x14ac:dyDescent="0.3">
      <c r="A5927" t="s">
        <v>2557</v>
      </c>
    </row>
    <row r="5928" spans="1:1" x14ac:dyDescent="0.3">
      <c r="A5928" t="s">
        <v>12</v>
      </c>
    </row>
    <row r="5929" spans="1:1" x14ac:dyDescent="0.3">
      <c r="A5929" t="s">
        <v>40</v>
      </c>
    </row>
    <row r="5931" spans="1:1" x14ac:dyDescent="0.3">
      <c r="A5931" t="s">
        <v>12</v>
      </c>
    </row>
    <row r="5932" spans="1:1" x14ac:dyDescent="0.3">
      <c r="A5932" t="s">
        <v>13</v>
      </c>
    </row>
    <row r="5933" spans="1:1" x14ac:dyDescent="0.3">
      <c r="A5933" t="s">
        <v>2558</v>
      </c>
    </row>
    <row r="5934" spans="1:1" x14ac:dyDescent="0.3">
      <c r="A5934" t="s">
        <v>2479</v>
      </c>
    </row>
    <row r="5935" spans="1:1" x14ac:dyDescent="0.3">
      <c r="A5935" t="s">
        <v>2559</v>
      </c>
    </row>
    <row r="5936" spans="1:1" x14ac:dyDescent="0.3">
      <c r="A5936" t="s">
        <v>1153</v>
      </c>
    </row>
    <row r="5937" spans="1:1" x14ac:dyDescent="0.3">
      <c r="A5937" t="s">
        <v>110</v>
      </c>
    </row>
    <row r="5938" spans="1:1" x14ac:dyDescent="0.3">
      <c r="A5938" t="s">
        <v>1154</v>
      </c>
    </row>
    <row r="5939" spans="1:1" x14ac:dyDescent="0.3">
      <c r="A5939" t="s">
        <v>2560</v>
      </c>
    </row>
    <row r="5940" spans="1:1" x14ac:dyDescent="0.3">
      <c r="A5940" t="s">
        <v>51</v>
      </c>
    </row>
    <row r="5941" spans="1:1" x14ac:dyDescent="0.3">
      <c r="A5941" t="s">
        <v>52</v>
      </c>
    </row>
    <row r="5942" spans="1:1" x14ac:dyDescent="0.3">
      <c r="A5942" t="s">
        <v>79</v>
      </c>
    </row>
    <row r="5943" spans="1:1" x14ac:dyDescent="0.3">
      <c r="A5943" t="s">
        <v>98</v>
      </c>
    </row>
    <row r="5944" spans="1:1" x14ac:dyDescent="0.3">
      <c r="A5944" t="s">
        <v>13</v>
      </c>
    </row>
    <row r="5945" spans="1:1" x14ac:dyDescent="0.3">
      <c r="A5945" t="s">
        <v>105</v>
      </c>
    </row>
    <row r="5946" spans="1:1" x14ac:dyDescent="0.3">
      <c r="A5946" t="s">
        <v>2540</v>
      </c>
    </row>
    <row r="5947" spans="1:1" x14ac:dyDescent="0.3">
      <c r="A5947" t="s">
        <v>1157</v>
      </c>
    </row>
    <row r="5948" spans="1:1" x14ac:dyDescent="0.3">
      <c r="A5948" t="s">
        <v>2500</v>
      </c>
    </row>
    <row r="5949" spans="1:1" x14ac:dyDescent="0.3">
      <c r="A5949" t="s">
        <v>12</v>
      </c>
    </row>
    <row r="5950" spans="1:1" x14ac:dyDescent="0.3">
      <c r="A5950" t="s">
        <v>13</v>
      </c>
    </row>
    <row r="5951" spans="1:1" x14ac:dyDescent="0.3">
      <c r="A5951" t="s">
        <v>106</v>
      </c>
    </row>
    <row r="5952" spans="1:1" x14ac:dyDescent="0.3">
      <c r="A5952" t="s">
        <v>2561</v>
      </c>
    </row>
    <row r="5953" spans="1:1" x14ac:dyDescent="0.3">
      <c r="A5953" t="s">
        <v>1157</v>
      </c>
    </row>
    <row r="5954" spans="1:1" x14ac:dyDescent="0.3">
      <c r="A5954" t="s">
        <v>2502</v>
      </c>
    </row>
    <row r="5955" spans="1:1" x14ac:dyDescent="0.3">
      <c r="A5955" t="s">
        <v>12</v>
      </c>
    </row>
    <row r="5956" spans="1:1" x14ac:dyDescent="0.3">
      <c r="A5956" t="s">
        <v>40</v>
      </c>
    </row>
    <row r="5958" spans="1:1" x14ac:dyDescent="0.3">
      <c r="A5958" t="s">
        <v>12</v>
      </c>
    </row>
    <row r="5959" spans="1:1" x14ac:dyDescent="0.3">
      <c r="A5959" t="s">
        <v>13</v>
      </c>
    </row>
    <row r="5960" spans="1:1" x14ac:dyDescent="0.3">
      <c r="A5960" t="s">
        <v>2562</v>
      </c>
    </row>
    <row r="5961" spans="1:1" x14ac:dyDescent="0.3">
      <c r="A5961" t="s">
        <v>2563</v>
      </c>
    </row>
    <row r="5962" spans="1:1" x14ac:dyDescent="0.3">
      <c r="A5962" t="s">
        <v>2564</v>
      </c>
    </row>
    <row r="5963" spans="1:1" x14ac:dyDescent="0.3">
      <c r="A5963" t="s">
        <v>1153</v>
      </c>
    </row>
    <row r="5964" spans="1:1" x14ac:dyDescent="0.3">
      <c r="A5964" t="s">
        <v>110</v>
      </c>
    </row>
    <row r="5965" spans="1:1" x14ac:dyDescent="0.3">
      <c r="A5965" t="s">
        <v>1154</v>
      </c>
    </row>
    <row r="5966" spans="1:1" x14ac:dyDescent="0.3">
      <c r="A5966" t="s">
        <v>2565</v>
      </c>
    </row>
    <row r="5967" spans="1:1" x14ac:dyDescent="0.3">
      <c r="A5967" t="s">
        <v>51</v>
      </c>
    </row>
    <row r="5968" spans="1:1" x14ac:dyDescent="0.3">
      <c r="A5968" t="s">
        <v>52</v>
      </c>
    </row>
    <row r="5969" spans="1:1" x14ac:dyDescent="0.3">
      <c r="A5969" t="s">
        <v>79</v>
      </c>
    </row>
    <row r="5971" spans="1:1" x14ac:dyDescent="0.3">
      <c r="A5971" t="s">
        <v>12</v>
      </c>
    </row>
    <row r="5972" spans="1:1" x14ac:dyDescent="0.3">
      <c r="A5972" t="s">
        <v>13</v>
      </c>
    </row>
    <row r="5973" spans="1:1" x14ac:dyDescent="0.3">
      <c r="A5973" t="s">
        <v>2566</v>
      </c>
    </row>
    <row r="5974" spans="1:1" x14ac:dyDescent="0.3">
      <c r="A5974" t="s">
        <v>2479</v>
      </c>
    </row>
    <row r="5975" spans="1:1" x14ac:dyDescent="0.3">
      <c r="A5975" t="s">
        <v>2567</v>
      </c>
    </row>
    <row r="5976" spans="1:1" x14ac:dyDescent="0.3">
      <c r="A5976" t="s">
        <v>1153</v>
      </c>
    </row>
    <row r="5977" spans="1:1" x14ac:dyDescent="0.3">
      <c r="A5977" t="s">
        <v>110</v>
      </c>
    </row>
    <row r="5978" spans="1:1" x14ac:dyDescent="0.3">
      <c r="A5978" t="s">
        <v>1154</v>
      </c>
    </row>
    <row r="5979" spans="1:1" x14ac:dyDescent="0.3">
      <c r="A5979" t="s">
        <v>2568</v>
      </c>
    </row>
    <row r="5980" spans="1:1" x14ac:dyDescent="0.3">
      <c r="A5980" t="s">
        <v>51</v>
      </c>
    </row>
    <row r="5981" spans="1:1" x14ac:dyDescent="0.3">
      <c r="A5981" t="s">
        <v>52</v>
      </c>
    </row>
    <row r="5982" spans="1:1" x14ac:dyDescent="0.3">
      <c r="A5982" t="s">
        <v>79</v>
      </c>
    </row>
    <row r="5983" spans="1:1" x14ac:dyDescent="0.3">
      <c r="A5983" t="s">
        <v>98</v>
      </c>
    </row>
    <row r="5984" spans="1:1" x14ac:dyDescent="0.3">
      <c r="A5984" t="s">
        <v>13</v>
      </c>
    </row>
    <row r="5985" spans="1:1" x14ac:dyDescent="0.3">
      <c r="A5985" t="s">
        <v>105</v>
      </c>
    </row>
    <row r="5986" spans="1:1" x14ac:dyDescent="0.3">
      <c r="A5986" t="s">
        <v>2540</v>
      </c>
    </row>
    <row r="5987" spans="1:1" x14ac:dyDescent="0.3">
      <c r="A5987" t="s">
        <v>1157</v>
      </c>
    </row>
    <row r="5988" spans="1:1" x14ac:dyDescent="0.3">
      <c r="A5988" t="s">
        <v>2500</v>
      </c>
    </row>
    <row r="5989" spans="1:1" x14ac:dyDescent="0.3">
      <c r="A5989" t="s">
        <v>12</v>
      </c>
    </row>
    <row r="5990" spans="1:1" x14ac:dyDescent="0.3">
      <c r="A5990" t="s">
        <v>13</v>
      </c>
    </row>
    <row r="5991" spans="1:1" x14ac:dyDescent="0.3">
      <c r="A5991" t="s">
        <v>106</v>
      </c>
    </row>
    <row r="5992" spans="1:1" x14ac:dyDescent="0.3">
      <c r="A5992" t="s">
        <v>2541</v>
      </c>
    </row>
    <row r="5993" spans="1:1" x14ac:dyDescent="0.3">
      <c r="A5993" t="s">
        <v>1157</v>
      </c>
    </row>
    <row r="5994" spans="1:1" x14ac:dyDescent="0.3">
      <c r="A5994" t="s">
        <v>2502</v>
      </c>
    </row>
    <row r="5995" spans="1:1" x14ac:dyDescent="0.3">
      <c r="A5995" t="s">
        <v>12</v>
      </c>
    </row>
    <row r="5996" spans="1:1" x14ac:dyDescent="0.3">
      <c r="A5996" t="s">
        <v>40</v>
      </c>
    </row>
    <row r="5998" spans="1:1" x14ac:dyDescent="0.3">
      <c r="A5998" t="s">
        <v>12</v>
      </c>
    </row>
    <row r="5999" spans="1:1" x14ac:dyDescent="0.3">
      <c r="A5999" t="s">
        <v>13</v>
      </c>
    </row>
    <row r="6000" spans="1:1" x14ac:dyDescent="0.3">
      <c r="A6000" t="s">
        <v>2569</v>
      </c>
    </row>
    <row r="6001" spans="1:1" x14ac:dyDescent="0.3">
      <c r="A6001" t="s">
        <v>2479</v>
      </c>
    </row>
    <row r="6002" spans="1:1" x14ac:dyDescent="0.3">
      <c r="A6002" t="s">
        <v>2570</v>
      </c>
    </row>
    <row r="6003" spans="1:1" x14ac:dyDescent="0.3">
      <c r="A6003" t="s">
        <v>1153</v>
      </c>
    </row>
    <row r="6004" spans="1:1" x14ac:dyDescent="0.3">
      <c r="A6004" t="s">
        <v>110</v>
      </c>
    </row>
    <row r="6005" spans="1:1" x14ac:dyDescent="0.3">
      <c r="A6005" t="s">
        <v>1154</v>
      </c>
    </row>
    <row r="6006" spans="1:1" x14ac:dyDescent="0.3">
      <c r="A6006" t="s">
        <v>2571</v>
      </c>
    </row>
    <row r="6007" spans="1:1" x14ac:dyDescent="0.3">
      <c r="A6007" t="s">
        <v>51</v>
      </c>
    </row>
    <row r="6008" spans="1:1" x14ac:dyDescent="0.3">
      <c r="A6008" t="s">
        <v>52</v>
      </c>
    </row>
    <row r="6009" spans="1:1" x14ac:dyDescent="0.3">
      <c r="A6009" t="s">
        <v>79</v>
      </c>
    </row>
    <row r="6010" spans="1:1" x14ac:dyDescent="0.3">
      <c r="A6010" t="s">
        <v>98</v>
      </c>
    </row>
    <row r="6011" spans="1:1" x14ac:dyDescent="0.3">
      <c r="A6011" t="s">
        <v>13</v>
      </c>
    </row>
    <row r="6012" spans="1:1" x14ac:dyDescent="0.3">
      <c r="A6012" t="s">
        <v>105</v>
      </c>
    </row>
    <row r="6013" spans="1:1" x14ac:dyDescent="0.3">
      <c r="A6013" t="s">
        <v>2572</v>
      </c>
    </row>
    <row r="6014" spans="1:1" x14ac:dyDescent="0.3">
      <c r="A6014" t="s">
        <v>1157</v>
      </c>
    </row>
    <row r="6015" spans="1:1" x14ac:dyDescent="0.3">
      <c r="A6015" t="s">
        <v>2573</v>
      </c>
    </row>
    <row r="6016" spans="1:1" x14ac:dyDescent="0.3">
      <c r="A6016" t="s">
        <v>12</v>
      </c>
    </row>
    <row r="6017" spans="1:1" x14ac:dyDescent="0.3">
      <c r="A6017" t="s">
        <v>13</v>
      </c>
    </row>
    <row r="6018" spans="1:1" x14ac:dyDescent="0.3">
      <c r="A6018" t="s">
        <v>106</v>
      </c>
    </row>
    <row r="6019" spans="1:1" x14ac:dyDescent="0.3">
      <c r="A6019" t="s">
        <v>2574</v>
      </c>
    </row>
    <row r="6020" spans="1:1" x14ac:dyDescent="0.3">
      <c r="A6020" t="s">
        <v>1157</v>
      </c>
    </row>
    <row r="6021" spans="1:1" x14ac:dyDescent="0.3">
      <c r="A6021" t="s">
        <v>2500</v>
      </c>
    </row>
    <row r="6022" spans="1:1" x14ac:dyDescent="0.3">
      <c r="A6022" t="s">
        <v>12</v>
      </c>
    </row>
    <row r="6023" spans="1:1" x14ac:dyDescent="0.3">
      <c r="A6023" t="s">
        <v>40</v>
      </c>
    </row>
    <row r="6025" spans="1:1" x14ac:dyDescent="0.3">
      <c r="A6025" t="s">
        <v>12</v>
      </c>
    </row>
    <row r="6026" spans="1:1" x14ac:dyDescent="0.3">
      <c r="A6026" t="s">
        <v>13</v>
      </c>
    </row>
    <row r="6027" spans="1:1" x14ac:dyDescent="0.3">
      <c r="A6027" t="s">
        <v>2575</v>
      </c>
    </row>
    <row r="6028" spans="1:1" x14ac:dyDescent="0.3">
      <c r="A6028" t="s">
        <v>2471</v>
      </c>
    </row>
    <row r="6029" spans="1:1" x14ac:dyDescent="0.3">
      <c r="A6029" t="s">
        <v>2576</v>
      </c>
    </row>
    <row r="6030" spans="1:1" x14ac:dyDescent="0.3">
      <c r="A6030" t="s">
        <v>1153</v>
      </c>
    </row>
    <row r="6031" spans="1:1" x14ac:dyDescent="0.3">
      <c r="A6031" t="s">
        <v>110</v>
      </c>
    </row>
    <row r="6032" spans="1:1" x14ac:dyDescent="0.3">
      <c r="A6032" t="s">
        <v>1154</v>
      </c>
    </row>
    <row r="6033" spans="1:1" x14ac:dyDescent="0.3">
      <c r="A6033" t="s">
        <v>2577</v>
      </c>
    </row>
    <row r="6034" spans="1:1" x14ac:dyDescent="0.3">
      <c r="A6034" t="s">
        <v>51</v>
      </c>
    </row>
    <row r="6035" spans="1:1" x14ac:dyDescent="0.3">
      <c r="A6035" t="s">
        <v>52</v>
      </c>
    </row>
    <row r="6036" spans="1:1" x14ac:dyDescent="0.3">
      <c r="A6036" t="s">
        <v>79</v>
      </c>
    </row>
    <row r="6037" spans="1:1" x14ac:dyDescent="0.3">
      <c r="A6037" t="s">
        <v>98</v>
      </c>
    </row>
    <row r="6038" spans="1:1" x14ac:dyDescent="0.3">
      <c r="A6038" t="s">
        <v>13</v>
      </c>
    </row>
    <row r="6039" spans="1:1" x14ac:dyDescent="0.3">
      <c r="A6039" t="s">
        <v>105</v>
      </c>
    </row>
    <row r="6040" spans="1:1" x14ac:dyDescent="0.3">
      <c r="A6040" t="s">
        <v>2578</v>
      </c>
    </row>
    <row r="6041" spans="1:1" x14ac:dyDescent="0.3">
      <c r="A6041" t="s">
        <v>1157</v>
      </c>
    </row>
    <row r="6042" spans="1:1" x14ac:dyDescent="0.3">
      <c r="A6042" t="s">
        <v>2579</v>
      </c>
    </row>
    <row r="6043" spans="1:1" x14ac:dyDescent="0.3">
      <c r="A6043" t="s">
        <v>12</v>
      </c>
    </row>
    <row r="6044" spans="1:1" x14ac:dyDescent="0.3">
      <c r="A6044" t="s">
        <v>13</v>
      </c>
    </row>
    <row r="6045" spans="1:1" x14ac:dyDescent="0.3">
      <c r="A6045" t="s">
        <v>106</v>
      </c>
    </row>
    <row r="6046" spans="1:1" x14ac:dyDescent="0.3">
      <c r="A6046" t="s">
        <v>2580</v>
      </c>
    </row>
    <row r="6047" spans="1:1" x14ac:dyDescent="0.3">
      <c r="A6047" t="s">
        <v>1157</v>
      </c>
    </row>
    <row r="6048" spans="1:1" x14ac:dyDescent="0.3">
      <c r="A6048" t="s">
        <v>2581</v>
      </c>
    </row>
    <row r="6049" spans="1:1" x14ac:dyDescent="0.3">
      <c r="A6049" t="s">
        <v>12</v>
      </c>
    </row>
    <row r="6050" spans="1:1" x14ac:dyDescent="0.3">
      <c r="A6050" t="s">
        <v>40</v>
      </c>
    </row>
    <row r="6052" spans="1:1" x14ac:dyDescent="0.3">
      <c r="A6052" t="s">
        <v>12</v>
      </c>
    </row>
    <row r="6053" spans="1:1" x14ac:dyDescent="0.3">
      <c r="A6053" t="s">
        <v>13</v>
      </c>
    </row>
    <row r="6054" spans="1:1" x14ac:dyDescent="0.3">
      <c r="A6054" t="s">
        <v>2582</v>
      </c>
    </row>
    <row r="6055" spans="1:1" x14ac:dyDescent="0.3">
      <c r="A6055" t="s">
        <v>2183</v>
      </c>
    </row>
    <row r="6056" spans="1:1" x14ac:dyDescent="0.3">
      <c r="A6056" t="s">
        <v>2583</v>
      </c>
    </row>
    <row r="6057" spans="1:1" x14ac:dyDescent="0.3">
      <c r="A6057" t="s">
        <v>1153</v>
      </c>
    </row>
    <row r="6058" spans="1:1" x14ac:dyDescent="0.3">
      <c r="A6058" t="s">
        <v>110</v>
      </c>
    </row>
    <row r="6059" spans="1:1" x14ac:dyDescent="0.3">
      <c r="A6059" t="s">
        <v>1154</v>
      </c>
    </row>
    <row r="6060" spans="1:1" x14ac:dyDescent="0.3">
      <c r="A6060" t="s">
        <v>2584</v>
      </c>
    </row>
    <row r="6061" spans="1:1" x14ac:dyDescent="0.3">
      <c r="A6061" t="s">
        <v>51</v>
      </c>
    </row>
    <row r="6062" spans="1:1" x14ac:dyDescent="0.3">
      <c r="A6062" t="s">
        <v>52</v>
      </c>
    </row>
    <row r="6063" spans="1:1" x14ac:dyDescent="0.3">
      <c r="A6063" t="s">
        <v>79</v>
      </c>
    </row>
    <row r="6065" spans="1:1" x14ac:dyDescent="0.3">
      <c r="A6065" t="s">
        <v>12</v>
      </c>
    </row>
    <row r="6066" spans="1:1" x14ac:dyDescent="0.3">
      <c r="A6066" t="s">
        <v>40</v>
      </c>
    </row>
    <row r="6067" spans="1:1" x14ac:dyDescent="0.3">
      <c r="A6067" t="s">
        <v>12</v>
      </c>
    </row>
    <row r="6068" spans="1:1" x14ac:dyDescent="0.3">
      <c r="A6068" t="s">
        <v>13</v>
      </c>
    </row>
    <row r="6069" spans="1:1" x14ac:dyDescent="0.3">
      <c r="A6069" t="s">
        <v>2585</v>
      </c>
    </row>
    <row r="6070" spans="1:1" x14ac:dyDescent="0.3">
      <c r="A6070" t="s">
        <v>2586</v>
      </c>
    </row>
    <row r="6071" spans="1:1" x14ac:dyDescent="0.3">
      <c r="A6071" t="s">
        <v>39</v>
      </c>
    </row>
    <row r="6072" spans="1:1" x14ac:dyDescent="0.3">
      <c r="A6072" t="s">
        <v>13</v>
      </c>
    </row>
    <row r="6073" spans="1:1" x14ac:dyDescent="0.3">
      <c r="A6073" t="s">
        <v>50</v>
      </c>
    </row>
    <row r="6074" spans="1:1" x14ac:dyDescent="0.3">
      <c r="A6074" t="s">
        <v>2587</v>
      </c>
    </row>
    <row r="6075" spans="1:1" x14ac:dyDescent="0.3">
      <c r="A6075" t="s">
        <v>2588</v>
      </c>
    </row>
    <row r="6076" spans="1:1" x14ac:dyDescent="0.3">
      <c r="A6076" t="s">
        <v>1153</v>
      </c>
    </row>
    <row r="6077" spans="1:1" x14ac:dyDescent="0.3">
      <c r="A6077" t="s">
        <v>110</v>
      </c>
    </row>
    <row r="6078" spans="1:1" x14ac:dyDescent="0.3">
      <c r="A6078" t="s">
        <v>1154</v>
      </c>
    </row>
    <row r="6079" spans="1:1" x14ac:dyDescent="0.3">
      <c r="A6079" t="s">
        <v>2589</v>
      </c>
    </row>
    <row r="6080" spans="1:1" x14ac:dyDescent="0.3">
      <c r="A6080" t="s">
        <v>51</v>
      </c>
    </row>
    <row r="6081" spans="1:1" x14ac:dyDescent="0.3">
      <c r="A6081" t="s">
        <v>52</v>
      </c>
    </row>
    <row r="6082" spans="1:1" x14ac:dyDescent="0.3">
      <c r="A6082" t="s">
        <v>79</v>
      </c>
    </row>
    <row r="6083" spans="1:1" x14ac:dyDescent="0.3">
      <c r="A6083" t="s">
        <v>98</v>
      </c>
    </row>
    <row r="6084" spans="1:1" x14ac:dyDescent="0.3">
      <c r="A6084" t="s">
        <v>13</v>
      </c>
    </row>
    <row r="6085" spans="1:1" x14ac:dyDescent="0.3">
      <c r="A6085" t="s">
        <v>105</v>
      </c>
    </row>
    <row r="6086" spans="1:1" x14ac:dyDescent="0.3">
      <c r="A6086" t="s">
        <v>2590</v>
      </c>
    </row>
    <row r="6087" spans="1:1" x14ac:dyDescent="0.3">
      <c r="A6087" t="s">
        <v>1157</v>
      </c>
    </row>
    <row r="6088" spans="1:1" x14ac:dyDescent="0.3">
      <c r="A6088" t="s">
        <v>2591</v>
      </c>
    </row>
    <row r="6089" spans="1:1" x14ac:dyDescent="0.3">
      <c r="A6089" t="s">
        <v>12</v>
      </c>
    </row>
    <row r="6090" spans="1:1" x14ac:dyDescent="0.3">
      <c r="A6090" t="s">
        <v>13</v>
      </c>
    </row>
    <row r="6091" spans="1:1" x14ac:dyDescent="0.3">
      <c r="A6091" t="s">
        <v>106</v>
      </c>
    </row>
    <row r="6092" spans="1:1" x14ac:dyDescent="0.3">
      <c r="A6092" t="s">
        <v>2592</v>
      </c>
    </row>
    <row r="6093" spans="1:1" x14ac:dyDescent="0.3">
      <c r="A6093" t="s">
        <v>1157</v>
      </c>
    </row>
    <row r="6094" spans="1:1" x14ac:dyDescent="0.3">
      <c r="A6094" t="s">
        <v>2593</v>
      </c>
    </row>
    <row r="6095" spans="1:1" x14ac:dyDescent="0.3">
      <c r="A6095" t="s">
        <v>12</v>
      </c>
    </row>
    <row r="6096" spans="1:1" x14ac:dyDescent="0.3">
      <c r="A6096" t="s">
        <v>40</v>
      </c>
    </row>
    <row r="6098" spans="1:1" x14ac:dyDescent="0.3">
      <c r="A6098" t="s">
        <v>12</v>
      </c>
    </row>
    <row r="6099" spans="1:1" x14ac:dyDescent="0.3">
      <c r="A6099" t="s">
        <v>13</v>
      </c>
    </row>
    <row r="6100" spans="1:1" x14ac:dyDescent="0.3">
      <c r="A6100" t="s">
        <v>53</v>
      </c>
    </row>
    <row r="6101" spans="1:1" x14ac:dyDescent="0.3">
      <c r="A6101" t="s">
        <v>2594</v>
      </c>
    </row>
    <row r="6102" spans="1:1" x14ac:dyDescent="0.3">
      <c r="A6102" t="s">
        <v>2595</v>
      </c>
    </row>
    <row r="6103" spans="1:1" x14ac:dyDescent="0.3">
      <c r="A6103" t="s">
        <v>1153</v>
      </c>
    </row>
    <row r="6104" spans="1:1" x14ac:dyDescent="0.3">
      <c r="A6104" t="s">
        <v>110</v>
      </c>
    </row>
    <row r="6105" spans="1:1" x14ac:dyDescent="0.3">
      <c r="A6105" t="s">
        <v>1154</v>
      </c>
    </row>
    <row r="6106" spans="1:1" x14ac:dyDescent="0.3">
      <c r="A6106" t="s">
        <v>2596</v>
      </c>
    </row>
    <row r="6107" spans="1:1" x14ac:dyDescent="0.3">
      <c r="A6107" t="s">
        <v>51</v>
      </c>
    </row>
    <row r="6108" spans="1:1" x14ac:dyDescent="0.3">
      <c r="A6108" t="s">
        <v>52</v>
      </c>
    </row>
    <row r="6109" spans="1:1" x14ac:dyDescent="0.3">
      <c r="A6109" t="s">
        <v>79</v>
      </c>
    </row>
    <row r="6110" spans="1:1" x14ac:dyDescent="0.3">
      <c r="A6110" t="s">
        <v>98</v>
      </c>
    </row>
    <row r="6111" spans="1:1" x14ac:dyDescent="0.3">
      <c r="A6111" t="s">
        <v>13</v>
      </c>
    </row>
    <row r="6112" spans="1:1" x14ac:dyDescent="0.3">
      <c r="A6112" t="s">
        <v>105</v>
      </c>
    </row>
    <row r="6113" spans="1:1" x14ac:dyDescent="0.3">
      <c r="A6113" t="s">
        <v>2597</v>
      </c>
    </row>
    <row r="6114" spans="1:1" x14ac:dyDescent="0.3">
      <c r="A6114" t="s">
        <v>1157</v>
      </c>
    </row>
    <row r="6115" spans="1:1" x14ac:dyDescent="0.3">
      <c r="A6115" t="s">
        <v>2598</v>
      </c>
    </row>
    <row r="6116" spans="1:1" x14ac:dyDescent="0.3">
      <c r="A6116" t="s">
        <v>12</v>
      </c>
    </row>
    <row r="6117" spans="1:1" x14ac:dyDescent="0.3">
      <c r="A6117" t="s">
        <v>13</v>
      </c>
    </row>
    <row r="6118" spans="1:1" x14ac:dyDescent="0.3">
      <c r="A6118" t="s">
        <v>106</v>
      </c>
    </row>
    <row r="6119" spans="1:1" x14ac:dyDescent="0.3">
      <c r="A6119" t="s">
        <v>2599</v>
      </c>
    </row>
    <row r="6120" spans="1:1" x14ac:dyDescent="0.3">
      <c r="A6120" t="s">
        <v>1157</v>
      </c>
    </row>
    <row r="6121" spans="1:1" x14ac:dyDescent="0.3">
      <c r="A6121" t="s">
        <v>2600</v>
      </c>
    </row>
    <row r="6122" spans="1:1" x14ac:dyDescent="0.3">
      <c r="A6122" t="s">
        <v>12</v>
      </c>
    </row>
    <row r="6123" spans="1:1" x14ac:dyDescent="0.3">
      <c r="A6123" t="s">
        <v>40</v>
      </c>
    </row>
    <row r="6125" spans="1:1" x14ac:dyDescent="0.3">
      <c r="A6125" t="s">
        <v>12</v>
      </c>
    </row>
    <row r="6126" spans="1:1" x14ac:dyDescent="0.3">
      <c r="A6126" t="s">
        <v>13</v>
      </c>
    </row>
    <row r="6127" spans="1:1" x14ac:dyDescent="0.3">
      <c r="A6127" t="s">
        <v>54</v>
      </c>
    </row>
    <row r="6128" spans="1:1" x14ac:dyDescent="0.3">
      <c r="A6128" t="s">
        <v>2195</v>
      </c>
    </row>
    <row r="6129" spans="1:1" x14ac:dyDescent="0.3">
      <c r="A6129" t="s">
        <v>2601</v>
      </c>
    </row>
    <row r="6130" spans="1:1" x14ac:dyDescent="0.3">
      <c r="A6130" t="s">
        <v>1153</v>
      </c>
    </row>
    <row r="6131" spans="1:1" x14ac:dyDescent="0.3">
      <c r="A6131" t="s">
        <v>110</v>
      </c>
    </row>
    <row r="6132" spans="1:1" x14ac:dyDescent="0.3">
      <c r="A6132" t="s">
        <v>1154</v>
      </c>
    </row>
    <row r="6133" spans="1:1" x14ac:dyDescent="0.3">
      <c r="A6133" t="s">
        <v>2602</v>
      </c>
    </row>
    <row r="6134" spans="1:1" x14ac:dyDescent="0.3">
      <c r="A6134" t="s">
        <v>51</v>
      </c>
    </row>
    <row r="6135" spans="1:1" x14ac:dyDescent="0.3">
      <c r="A6135" t="s">
        <v>52</v>
      </c>
    </row>
    <row r="6136" spans="1:1" x14ac:dyDescent="0.3">
      <c r="A6136" t="s">
        <v>79</v>
      </c>
    </row>
    <row r="6137" spans="1:1" x14ac:dyDescent="0.3">
      <c r="A6137" t="s">
        <v>98</v>
      </c>
    </row>
    <row r="6138" spans="1:1" x14ac:dyDescent="0.3">
      <c r="A6138" t="s">
        <v>13</v>
      </c>
    </row>
    <row r="6139" spans="1:1" x14ac:dyDescent="0.3">
      <c r="A6139" t="s">
        <v>105</v>
      </c>
    </row>
    <row r="6140" spans="1:1" x14ac:dyDescent="0.3">
      <c r="A6140" t="s">
        <v>2603</v>
      </c>
    </row>
    <row r="6141" spans="1:1" x14ac:dyDescent="0.3">
      <c r="A6141" t="s">
        <v>1157</v>
      </c>
    </row>
    <row r="6142" spans="1:1" x14ac:dyDescent="0.3">
      <c r="A6142" t="s">
        <v>1858</v>
      </c>
    </row>
    <row r="6143" spans="1:1" x14ac:dyDescent="0.3">
      <c r="A6143" t="s">
        <v>12</v>
      </c>
    </row>
    <row r="6144" spans="1:1" x14ac:dyDescent="0.3">
      <c r="A6144" t="s">
        <v>13</v>
      </c>
    </row>
    <row r="6145" spans="1:1" x14ac:dyDescent="0.3">
      <c r="A6145" t="s">
        <v>106</v>
      </c>
    </row>
    <row r="6146" spans="1:1" x14ac:dyDescent="0.3">
      <c r="A6146" t="s">
        <v>2604</v>
      </c>
    </row>
    <row r="6147" spans="1:1" x14ac:dyDescent="0.3">
      <c r="A6147" t="s">
        <v>1157</v>
      </c>
    </row>
    <row r="6148" spans="1:1" x14ac:dyDescent="0.3">
      <c r="A6148" t="s">
        <v>1964</v>
      </c>
    </row>
    <row r="6149" spans="1:1" x14ac:dyDescent="0.3">
      <c r="A6149" t="s">
        <v>12</v>
      </c>
    </row>
    <row r="6150" spans="1:1" x14ac:dyDescent="0.3">
      <c r="A6150" t="s">
        <v>40</v>
      </c>
    </row>
    <row r="6152" spans="1:1" x14ac:dyDescent="0.3">
      <c r="A6152" t="s">
        <v>12</v>
      </c>
    </row>
    <row r="6153" spans="1:1" x14ac:dyDescent="0.3">
      <c r="A6153" t="s">
        <v>13</v>
      </c>
    </row>
    <row r="6154" spans="1:1" x14ac:dyDescent="0.3">
      <c r="A6154" t="s">
        <v>107</v>
      </c>
    </row>
    <row r="6155" spans="1:1" x14ac:dyDescent="0.3">
      <c r="A6155" t="s">
        <v>2046</v>
      </c>
    </row>
    <row r="6156" spans="1:1" x14ac:dyDescent="0.3">
      <c r="A6156" t="s">
        <v>2605</v>
      </c>
    </row>
    <row r="6157" spans="1:1" x14ac:dyDescent="0.3">
      <c r="A6157" t="s">
        <v>1153</v>
      </c>
    </row>
    <row r="6158" spans="1:1" x14ac:dyDescent="0.3">
      <c r="A6158" t="s">
        <v>110</v>
      </c>
    </row>
    <row r="6159" spans="1:1" x14ac:dyDescent="0.3">
      <c r="A6159" t="s">
        <v>1154</v>
      </c>
    </row>
    <row r="6160" spans="1:1" x14ac:dyDescent="0.3">
      <c r="A6160" t="s">
        <v>2606</v>
      </c>
    </row>
    <row r="6161" spans="1:1" x14ac:dyDescent="0.3">
      <c r="A6161" t="s">
        <v>51</v>
      </c>
    </row>
    <row r="6162" spans="1:1" x14ac:dyDescent="0.3">
      <c r="A6162" t="s">
        <v>52</v>
      </c>
    </row>
    <row r="6163" spans="1:1" x14ac:dyDescent="0.3">
      <c r="A6163" t="s">
        <v>79</v>
      </c>
    </row>
    <row r="6164" spans="1:1" x14ac:dyDescent="0.3">
      <c r="A6164" t="s">
        <v>98</v>
      </c>
    </row>
    <row r="6165" spans="1:1" x14ac:dyDescent="0.3">
      <c r="A6165" t="s">
        <v>13</v>
      </c>
    </row>
    <row r="6166" spans="1:1" x14ac:dyDescent="0.3">
      <c r="A6166" t="s">
        <v>105</v>
      </c>
    </row>
    <row r="6167" spans="1:1" x14ac:dyDescent="0.3">
      <c r="A6167" t="s">
        <v>2607</v>
      </c>
    </row>
    <row r="6168" spans="1:1" x14ac:dyDescent="0.3">
      <c r="A6168" t="s">
        <v>1157</v>
      </c>
    </row>
    <row r="6169" spans="1:1" x14ac:dyDescent="0.3">
      <c r="A6169" t="s">
        <v>2608</v>
      </c>
    </row>
    <row r="6170" spans="1:1" x14ac:dyDescent="0.3">
      <c r="A6170" t="s">
        <v>12</v>
      </c>
    </row>
    <row r="6171" spans="1:1" x14ac:dyDescent="0.3">
      <c r="A6171" t="s">
        <v>13</v>
      </c>
    </row>
    <row r="6172" spans="1:1" x14ac:dyDescent="0.3">
      <c r="A6172" t="s">
        <v>106</v>
      </c>
    </row>
    <row r="6173" spans="1:1" x14ac:dyDescent="0.3">
      <c r="A6173" t="s">
        <v>2609</v>
      </c>
    </row>
    <row r="6174" spans="1:1" x14ac:dyDescent="0.3">
      <c r="A6174" t="s">
        <v>1157</v>
      </c>
    </row>
    <row r="6175" spans="1:1" x14ac:dyDescent="0.3">
      <c r="A6175" t="s">
        <v>2610</v>
      </c>
    </row>
    <row r="6176" spans="1:1" x14ac:dyDescent="0.3">
      <c r="A6176" t="s">
        <v>12</v>
      </c>
    </row>
    <row r="6177" spans="1:1" x14ac:dyDescent="0.3">
      <c r="A6177" t="s">
        <v>40</v>
      </c>
    </row>
    <row r="6179" spans="1:1" x14ac:dyDescent="0.3">
      <c r="A6179" t="s">
        <v>12</v>
      </c>
    </row>
    <row r="6180" spans="1:1" x14ac:dyDescent="0.3">
      <c r="A6180" t="s">
        <v>13</v>
      </c>
    </row>
    <row r="6181" spans="1:1" x14ac:dyDescent="0.3">
      <c r="A6181" t="s">
        <v>108</v>
      </c>
    </row>
    <row r="6182" spans="1:1" x14ac:dyDescent="0.3">
      <c r="A6182" t="s">
        <v>2611</v>
      </c>
    </row>
    <row r="6183" spans="1:1" x14ac:dyDescent="0.3">
      <c r="A6183" t="s">
        <v>2612</v>
      </c>
    </row>
    <row r="6184" spans="1:1" x14ac:dyDescent="0.3">
      <c r="A6184" t="s">
        <v>1153</v>
      </c>
    </row>
    <row r="6185" spans="1:1" x14ac:dyDescent="0.3">
      <c r="A6185" t="s">
        <v>110</v>
      </c>
    </row>
    <row r="6186" spans="1:1" x14ac:dyDescent="0.3">
      <c r="A6186" t="s">
        <v>1154</v>
      </c>
    </row>
    <row r="6187" spans="1:1" x14ac:dyDescent="0.3">
      <c r="A6187" t="s">
        <v>2613</v>
      </c>
    </row>
    <row r="6188" spans="1:1" x14ac:dyDescent="0.3">
      <c r="A6188" t="s">
        <v>51</v>
      </c>
    </row>
    <row r="6189" spans="1:1" x14ac:dyDescent="0.3">
      <c r="A6189" t="s">
        <v>52</v>
      </c>
    </row>
    <row r="6190" spans="1:1" x14ac:dyDescent="0.3">
      <c r="A6190" t="s">
        <v>79</v>
      </c>
    </row>
    <row r="6191" spans="1:1" x14ac:dyDescent="0.3">
      <c r="A6191" t="s">
        <v>98</v>
      </c>
    </row>
    <row r="6192" spans="1:1" x14ac:dyDescent="0.3">
      <c r="A6192" t="s">
        <v>13</v>
      </c>
    </row>
    <row r="6193" spans="1:1" x14ac:dyDescent="0.3">
      <c r="A6193" t="s">
        <v>105</v>
      </c>
    </row>
    <row r="6194" spans="1:1" x14ac:dyDescent="0.3">
      <c r="A6194" t="s">
        <v>2614</v>
      </c>
    </row>
    <row r="6195" spans="1:1" x14ac:dyDescent="0.3">
      <c r="A6195" t="s">
        <v>1157</v>
      </c>
    </row>
    <row r="6196" spans="1:1" x14ac:dyDescent="0.3">
      <c r="A6196" t="s">
        <v>2615</v>
      </c>
    </row>
    <row r="6197" spans="1:1" x14ac:dyDescent="0.3">
      <c r="A6197" t="s">
        <v>12</v>
      </c>
    </row>
    <row r="6198" spans="1:1" x14ac:dyDescent="0.3">
      <c r="A6198" t="s">
        <v>13</v>
      </c>
    </row>
    <row r="6199" spans="1:1" x14ac:dyDescent="0.3">
      <c r="A6199" t="s">
        <v>106</v>
      </c>
    </row>
    <row r="6200" spans="1:1" x14ac:dyDescent="0.3">
      <c r="A6200" t="s">
        <v>2616</v>
      </c>
    </row>
    <row r="6201" spans="1:1" x14ac:dyDescent="0.3">
      <c r="A6201" t="s">
        <v>1157</v>
      </c>
    </row>
    <row r="6202" spans="1:1" x14ac:dyDescent="0.3">
      <c r="A6202" t="s">
        <v>2617</v>
      </c>
    </row>
    <row r="6203" spans="1:1" x14ac:dyDescent="0.3">
      <c r="A6203" t="s">
        <v>12</v>
      </c>
    </row>
    <row r="6204" spans="1:1" x14ac:dyDescent="0.3">
      <c r="A6204" t="s">
        <v>40</v>
      </c>
    </row>
    <row r="6206" spans="1:1" x14ac:dyDescent="0.3">
      <c r="A6206" t="s">
        <v>12</v>
      </c>
    </row>
    <row r="6207" spans="1:1" x14ac:dyDescent="0.3">
      <c r="A6207" t="s">
        <v>13</v>
      </c>
    </row>
    <row r="6208" spans="1:1" x14ac:dyDescent="0.3">
      <c r="A6208" t="s">
        <v>1184</v>
      </c>
    </row>
    <row r="6209" spans="1:1" x14ac:dyDescent="0.3">
      <c r="A6209" t="s">
        <v>2618</v>
      </c>
    </row>
    <row r="6210" spans="1:1" x14ac:dyDescent="0.3">
      <c r="A6210" t="s">
        <v>2619</v>
      </c>
    </row>
    <row r="6211" spans="1:1" x14ac:dyDescent="0.3">
      <c r="A6211" t="s">
        <v>1153</v>
      </c>
    </row>
    <row r="6212" spans="1:1" x14ac:dyDescent="0.3">
      <c r="A6212" t="s">
        <v>110</v>
      </c>
    </row>
    <row r="6213" spans="1:1" x14ac:dyDescent="0.3">
      <c r="A6213" t="s">
        <v>1154</v>
      </c>
    </row>
    <row r="6214" spans="1:1" x14ac:dyDescent="0.3">
      <c r="A6214" t="s">
        <v>2620</v>
      </c>
    </row>
    <row r="6215" spans="1:1" x14ac:dyDescent="0.3">
      <c r="A6215" t="s">
        <v>51</v>
      </c>
    </row>
    <row r="6216" spans="1:1" x14ac:dyDescent="0.3">
      <c r="A6216" t="s">
        <v>52</v>
      </c>
    </row>
    <row r="6217" spans="1:1" x14ac:dyDescent="0.3">
      <c r="A6217" t="s">
        <v>79</v>
      </c>
    </row>
    <row r="6218" spans="1:1" x14ac:dyDescent="0.3">
      <c r="A6218" t="s">
        <v>98</v>
      </c>
    </row>
    <row r="6219" spans="1:1" x14ac:dyDescent="0.3">
      <c r="A6219" t="s">
        <v>13</v>
      </c>
    </row>
    <row r="6220" spans="1:1" x14ac:dyDescent="0.3">
      <c r="A6220" t="s">
        <v>105</v>
      </c>
    </row>
    <row r="6221" spans="1:1" x14ac:dyDescent="0.3">
      <c r="A6221" t="s">
        <v>2621</v>
      </c>
    </row>
    <row r="6222" spans="1:1" x14ac:dyDescent="0.3">
      <c r="A6222" t="s">
        <v>1157</v>
      </c>
    </row>
    <row r="6223" spans="1:1" x14ac:dyDescent="0.3">
      <c r="A6223" t="s">
        <v>2622</v>
      </c>
    </row>
    <row r="6224" spans="1:1" x14ac:dyDescent="0.3">
      <c r="A6224" t="s">
        <v>12</v>
      </c>
    </row>
    <row r="6225" spans="1:1" x14ac:dyDescent="0.3">
      <c r="A6225" t="s">
        <v>13</v>
      </c>
    </row>
    <row r="6226" spans="1:1" x14ac:dyDescent="0.3">
      <c r="A6226" t="s">
        <v>106</v>
      </c>
    </row>
    <row r="6227" spans="1:1" x14ac:dyDescent="0.3">
      <c r="A6227" t="s">
        <v>2623</v>
      </c>
    </row>
    <row r="6228" spans="1:1" x14ac:dyDescent="0.3">
      <c r="A6228" t="s">
        <v>1157</v>
      </c>
    </row>
    <row r="6229" spans="1:1" x14ac:dyDescent="0.3">
      <c r="A6229" t="s">
        <v>2624</v>
      </c>
    </row>
    <row r="6230" spans="1:1" x14ac:dyDescent="0.3">
      <c r="A6230" t="s">
        <v>12</v>
      </c>
    </row>
    <row r="6231" spans="1:1" x14ac:dyDescent="0.3">
      <c r="A6231" t="s">
        <v>40</v>
      </c>
    </row>
    <row r="6233" spans="1:1" x14ac:dyDescent="0.3">
      <c r="A6233" t="s">
        <v>12</v>
      </c>
    </row>
    <row r="6234" spans="1:1" x14ac:dyDescent="0.3">
      <c r="A6234" t="s">
        <v>13</v>
      </c>
    </row>
    <row r="6235" spans="1:1" x14ac:dyDescent="0.3">
      <c r="A6235" t="s">
        <v>1187</v>
      </c>
    </row>
    <row r="6236" spans="1:1" x14ac:dyDescent="0.3">
      <c r="A6236" t="s">
        <v>2625</v>
      </c>
    </row>
    <row r="6237" spans="1:1" x14ac:dyDescent="0.3">
      <c r="A6237" t="s">
        <v>2626</v>
      </c>
    </row>
    <row r="6238" spans="1:1" x14ac:dyDescent="0.3">
      <c r="A6238" t="s">
        <v>1153</v>
      </c>
    </row>
    <row r="6239" spans="1:1" x14ac:dyDescent="0.3">
      <c r="A6239" t="s">
        <v>110</v>
      </c>
    </row>
    <row r="6240" spans="1:1" x14ac:dyDescent="0.3">
      <c r="A6240" t="s">
        <v>1154</v>
      </c>
    </row>
    <row r="6241" spans="1:1" x14ac:dyDescent="0.3">
      <c r="A6241" t="s">
        <v>2627</v>
      </c>
    </row>
    <row r="6242" spans="1:1" x14ac:dyDescent="0.3">
      <c r="A6242" t="s">
        <v>51</v>
      </c>
    </row>
    <row r="6243" spans="1:1" x14ac:dyDescent="0.3">
      <c r="A6243" t="s">
        <v>52</v>
      </c>
    </row>
    <row r="6244" spans="1:1" x14ac:dyDescent="0.3">
      <c r="A6244" t="s">
        <v>79</v>
      </c>
    </row>
    <row r="6246" spans="1:1" x14ac:dyDescent="0.3">
      <c r="A6246" t="s">
        <v>12</v>
      </c>
    </row>
    <row r="6247" spans="1:1" x14ac:dyDescent="0.3">
      <c r="A6247" t="s">
        <v>13</v>
      </c>
    </row>
    <row r="6248" spans="1:1" x14ac:dyDescent="0.3">
      <c r="A6248" t="s">
        <v>1190</v>
      </c>
    </row>
    <row r="6249" spans="1:1" x14ac:dyDescent="0.3">
      <c r="A6249" t="s">
        <v>2628</v>
      </c>
    </row>
    <row r="6250" spans="1:1" x14ac:dyDescent="0.3">
      <c r="A6250" t="s">
        <v>2629</v>
      </c>
    </row>
    <row r="6251" spans="1:1" x14ac:dyDescent="0.3">
      <c r="A6251" t="s">
        <v>1153</v>
      </c>
    </row>
    <row r="6252" spans="1:1" x14ac:dyDescent="0.3">
      <c r="A6252" t="s">
        <v>110</v>
      </c>
    </row>
    <row r="6253" spans="1:1" x14ac:dyDescent="0.3">
      <c r="A6253" t="s">
        <v>1154</v>
      </c>
    </row>
    <row r="6254" spans="1:1" x14ac:dyDescent="0.3">
      <c r="A6254" t="s">
        <v>2630</v>
      </c>
    </row>
    <row r="6255" spans="1:1" x14ac:dyDescent="0.3">
      <c r="A6255" t="s">
        <v>51</v>
      </c>
    </row>
    <row r="6256" spans="1:1" x14ac:dyDescent="0.3">
      <c r="A6256" t="s">
        <v>52</v>
      </c>
    </row>
    <row r="6257" spans="1:1" x14ac:dyDescent="0.3">
      <c r="A6257" t="s">
        <v>79</v>
      </c>
    </row>
    <row r="6258" spans="1:1" x14ac:dyDescent="0.3">
      <c r="A6258" t="s">
        <v>98</v>
      </c>
    </row>
    <row r="6259" spans="1:1" x14ac:dyDescent="0.3">
      <c r="A6259" t="s">
        <v>13</v>
      </c>
    </row>
    <row r="6260" spans="1:1" x14ac:dyDescent="0.3">
      <c r="A6260" t="s">
        <v>105</v>
      </c>
    </row>
    <row r="6261" spans="1:1" x14ac:dyDescent="0.3">
      <c r="A6261" t="s">
        <v>2631</v>
      </c>
    </row>
    <row r="6262" spans="1:1" x14ac:dyDescent="0.3">
      <c r="A6262" t="s">
        <v>1157</v>
      </c>
    </row>
    <row r="6263" spans="1:1" x14ac:dyDescent="0.3">
      <c r="A6263" t="s">
        <v>2632</v>
      </c>
    </row>
    <row r="6264" spans="1:1" x14ac:dyDescent="0.3">
      <c r="A6264" t="s">
        <v>12</v>
      </c>
    </row>
    <row r="6265" spans="1:1" x14ac:dyDescent="0.3">
      <c r="A6265" t="s">
        <v>13</v>
      </c>
    </row>
    <row r="6266" spans="1:1" x14ac:dyDescent="0.3">
      <c r="A6266" t="s">
        <v>106</v>
      </c>
    </row>
    <row r="6267" spans="1:1" x14ac:dyDescent="0.3">
      <c r="A6267" t="s">
        <v>2633</v>
      </c>
    </row>
    <row r="6268" spans="1:1" x14ac:dyDescent="0.3">
      <c r="A6268" t="s">
        <v>1157</v>
      </c>
    </row>
    <row r="6269" spans="1:1" x14ac:dyDescent="0.3">
      <c r="A6269" t="s">
        <v>2634</v>
      </c>
    </row>
    <row r="6270" spans="1:1" x14ac:dyDescent="0.3">
      <c r="A6270" t="s">
        <v>12</v>
      </c>
    </row>
    <row r="6271" spans="1:1" x14ac:dyDescent="0.3">
      <c r="A6271" t="s">
        <v>40</v>
      </c>
    </row>
    <row r="6273" spans="1:1" x14ac:dyDescent="0.3">
      <c r="A6273" t="s">
        <v>12</v>
      </c>
    </row>
    <row r="6274" spans="1:1" x14ac:dyDescent="0.3">
      <c r="A6274" t="s">
        <v>13</v>
      </c>
    </row>
    <row r="6275" spans="1:1" x14ac:dyDescent="0.3">
      <c r="A6275" t="s">
        <v>1193</v>
      </c>
    </row>
    <row r="6276" spans="1:1" x14ac:dyDescent="0.3">
      <c r="A6276" t="s">
        <v>2635</v>
      </c>
    </row>
    <row r="6277" spans="1:1" x14ac:dyDescent="0.3">
      <c r="A6277" t="s">
        <v>2636</v>
      </c>
    </row>
    <row r="6278" spans="1:1" x14ac:dyDescent="0.3">
      <c r="A6278" t="s">
        <v>1153</v>
      </c>
    </row>
    <row r="6279" spans="1:1" x14ac:dyDescent="0.3">
      <c r="A6279" t="s">
        <v>110</v>
      </c>
    </row>
    <row r="6280" spans="1:1" x14ac:dyDescent="0.3">
      <c r="A6280" t="s">
        <v>1154</v>
      </c>
    </row>
    <row r="6281" spans="1:1" x14ac:dyDescent="0.3">
      <c r="A6281" t="s">
        <v>2637</v>
      </c>
    </row>
    <row r="6282" spans="1:1" x14ac:dyDescent="0.3">
      <c r="A6282" t="s">
        <v>51</v>
      </c>
    </row>
    <row r="6283" spans="1:1" x14ac:dyDescent="0.3">
      <c r="A6283" t="s">
        <v>52</v>
      </c>
    </row>
    <row r="6284" spans="1:1" x14ac:dyDescent="0.3">
      <c r="A6284" t="s">
        <v>79</v>
      </c>
    </row>
    <row r="6286" spans="1:1" x14ac:dyDescent="0.3">
      <c r="A6286" t="s">
        <v>12</v>
      </c>
    </row>
    <row r="6287" spans="1:1" x14ac:dyDescent="0.3">
      <c r="A6287" t="s">
        <v>13</v>
      </c>
    </row>
    <row r="6288" spans="1:1" x14ac:dyDescent="0.3">
      <c r="A6288" t="s">
        <v>1201</v>
      </c>
    </row>
    <row r="6289" spans="1:1" x14ac:dyDescent="0.3">
      <c r="A6289" t="s">
        <v>2638</v>
      </c>
    </row>
    <row r="6290" spans="1:1" x14ac:dyDescent="0.3">
      <c r="A6290" t="s">
        <v>2639</v>
      </c>
    </row>
    <row r="6291" spans="1:1" x14ac:dyDescent="0.3">
      <c r="A6291" t="s">
        <v>1153</v>
      </c>
    </row>
    <row r="6292" spans="1:1" x14ac:dyDescent="0.3">
      <c r="A6292" t="s">
        <v>110</v>
      </c>
    </row>
    <row r="6293" spans="1:1" x14ac:dyDescent="0.3">
      <c r="A6293" t="s">
        <v>1154</v>
      </c>
    </row>
    <row r="6294" spans="1:1" x14ac:dyDescent="0.3">
      <c r="A6294" t="s">
        <v>2640</v>
      </c>
    </row>
    <row r="6295" spans="1:1" x14ac:dyDescent="0.3">
      <c r="A6295" t="s">
        <v>51</v>
      </c>
    </row>
    <row r="6296" spans="1:1" x14ac:dyDescent="0.3">
      <c r="A6296" t="s">
        <v>52</v>
      </c>
    </row>
    <row r="6297" spans="1:1" x14ac:dyDescent="0.3">
      <c r="A6297" t="s">
        <v>79</v>
      </c>
    </row>
    <row r="6298" spans="1:1" x14ac:dyDescent="0.3">
      <c r="A6298" t="s">
        <v>98</v>
      </c>
    </row>
    <row r="6299" spans="1:1" x14ac:dyDescent="0.3">
      <c r="A6299" t="s">
        <v>13</v>
      </c>
    </row>
    <row r="6300" spans="1:1" x14ac:dyDescent="0.3">
      <c r="A6300" t="s">
        <v>105</v>
      </c>
    </row>
    <row r="6301" spans="1:1" x14ac:dyDescent="0.3">
      <c r="A6301" t="s">
        <v>2641</v>
      </c>
    </row>
    <row r="6302" spans="1:1" x14ac:dyDescent="0.3">
      <c r="A6302" t="s">
        <v>1157</v>
      </c>
    </row>
    <row r="6303" spans="1:1" x14ac:dyDescent="0.3">
      <c r="A6303" t="s">
        <v>2642</v>
      </c>
    </row>
    <row r="6304" spans="1:1" x14ac:dyDescent="0.3">
      <c r="A6304" t="s">
        <v>12</v>
      </c>
    </row>
    <row r="6305" spans="1:1" x14ac:dyDescent="0.3">
      <c r="A6305" t="s">
        <v>13</v>
      </c>
    </row>
    <row r="6306" spans="1:1" x14ac:dyDescent="0.3">
      <c r="A6306" t="s">
        <v>106</v>
      </c>
    </row>
    <row r="6307" spans="1:1" x14ac:dyDescent="0.3">
      <c r="A6307" t="s">
        <v>2643</v>
      </c>
    </row>
    <row r="6308" spans="1:1" x14ac:dyDescent="0.3">
      <c r="A6308" t="s">
        <v>1157</v>
      </c>
    </row>
    <row r="6309" spans="1:1" x14ac:dyDescent="0.3">
      <c r="A6309" t="s">
        <v>2644</v>
      </c>
    </row>
    <row r="6310" spans="1:1" x14ac:dyDescent="0.3">
      <c r="A6310" t="s">
        <v>12</v>
      </c>
    </row>
    <row r="6311" spans="1:1" x14ac:dyDescent="0.3">
      <c r="A6311" t="s">
        <v>40</v>
      </c>
    </row>
    <row r="6313" spans="1:1" x14ac:dyDescent="0.3">
      <c r="A6313" t="s">
        <v>12</v>
      </c>
    </row>
    <row r="6314" spans="1:1" x14ac:dyDescent="0.3">
      <c r="A6314" t="s">
        <v>13</v>
      </c>
    </row>
    <row r="6315" spans="1:1" x14ac:dyDescent="0.3">
      <c r="A6315" t="s">
        <v>1204</v>
      </c>
    </row>
    <row r="6316" spans="1:1" x14ac:dyDescent="0.3">
      <c r="A6316" t="s">
        <v>2195</v>
      </c>
    </row>
    <row r="6317" spans="1:1" x14ac:dyDescent="0.3">
      <c r="A6317" t="s">
        <v>2601</v>
      </c>
    </row>
    <row r="6318" spans="1:1" x14ac:dyDescent="0.3">
      <c r="A6318" t="s">
        <v>1153</v>
      </c>
    </row>
    <row r="6319" spans="1:1" x14ac:dyDescent="0.3">
      <c r="A6319" t="s">
        <v>110</v>
      </c>
    </row>
    <row r="6320" spans="1:1" x14ac:dyDescent="0.3">
      <c r="A6320" t="s">
        <v>1154</v>
      </c>
    </row>
    <row r="6321" spans="1:1" x14ac:dyDescent="0.3">
      <c r="A6321" t="s">
        <v>2602</v>
      </c>
    </row>
    <row r="6322" spans="1:1" x14ac:dyDescent="0.3">
      <c r="A6322" t="s">
        <v>51</v>
      </c>
    </row>
    <row r="6323" spans="1:1" x14ac:dyDescent="0.3">
      <c r="A6323" t="s">
        <v>52</v>
      </c>
    </row>
    <row r="6324" spans="1:1" x14ac:dyDescent="0.3">
      <c r="A6324" t="s">
        <v>79</v>
      </c>
    </row>
    <row r="6325" spans="1:1" x14ac:dyDescent="0.3">
      <c r="A6325" t="s">
        <v>98</v>
      </c>
    </row>
    <row r="6326" spans="1:1" x14ac:dyDescent="0.3">
      <c r="A6326" t="s">
        <v>13</v>
      </c>
    </row>
    <row r="6327" spans="1:1" x14ac:dyDescent="0.3">
      <c r="A6327" t="s">
        <v>105</v>
      </c>
    </row>
    <row r="6328" spans="1:1" x14ac:dyDescent="0.3">
      <c r="A6328" t="s">
        <v>2603</v>
      </c>
    </row>
    <row r="6329" spans="1:1" x14ac:dyDescent="0.3">
      <c r="A6329" t="s">
        <v>1157</v>
      </c>
    </row>
    <row r="6330" spans="1:1" x14ac:dyDescent="0.3">
      <c r="A6330" t="s">
        <v>1858</v>
      </c>
    </row>
    <row r="6331" spans="1:1" x14ac:dyDescent="0.3">
      <c r="A6331" t="s">
        <v>12</v>
      </c>
    </row>
    <row r="6332" spans="1:1" x14ac:dyDescent="0.3">
      <c r="A6332" t="s">
        <v>13</v>
      </c>
    </row>
    <row r="6333" spans="1:1" x14ac:dyDescent="0.3">
      <c r="A6333" t="s">
        <v>106</v>
      </c>
    </row>
    <row r="6334" spans="1:1" x14ac:dyDescent="0.3">
      <c r="A6334" t="s">
        <v>2604</v>
      </c>
    </row>
    <row r="6335" spans="1:1" x14ac:dyDescent="0.3">
      <c r="A6335" t="s">
        <v>1157</v>
      </c>
    </row>
    <row r="6336" spans="1:1" x14ac:dyDescent="0.3">
      <c r="A6336" t="s">
        <v>1964</v>
      </c>
    </row>
    <row r="6337" spans="1:1" x14ac:dyDescent="0.3">
      <c r="A6337" t="s">
        <v>12</v>
      </c>
    </row>
    <row r="6338" spans="1:1" x14ac:dyDescent="0.3">
      <c r="A6338" t="s">
        <v>40</v>
      </c>
    </row>
    <row r="6340" spans="1:1" x14ac:dyDescent="0.3">
      <c r="A6340" t="s">
        <v>12</v>
      </c>
    </row>
    <row r="6341" spans="1:1" x14ac:dyDescent="0.3">
      <c r="A6341" t="s">
        <v>13</v>
      </c>
    </row>
    <row r="6342" spans="1:1" x14ac:dyDescent="0.3">
      <c r="A6342" t="s">
        <v>1212</v>
      </c>
    </row>
    <row r="6343" spans="1:1" x14ac:dyDescent="0.3">
      <c r="A6343" t="s">
        <v>2645</v>
      </c>
    </row>
    <row r="6344" spans="1:1" x14ac:dyDescent="0.3">
      <c r="A6344" t="s">
        <v>2646</v>
      </c>
    </row>
    <row r="6345" spans="1:1" x14ac:dyDescent="0.3">
      <c r="A6345" t="s">
        <v>1153</v>
      </c>
    </row>
    <row r="6346" spans="1:1" x14ac:dyDescent="0.3">
      <c r="A6346" t="s">
        <v>110</v>
      </c>
    </row>
    <row r="6347" spans="1:1" x14ac:dyDescent="0.3">
      <c r="A6347" t="s">
        <v>1154</v>
      </c>
    </row>
    <row r="6348" spans="1:1" x14ac:dyDescent="0.3">
      <c r="A6348" t="s">
        <v>2647</v>
      </c>
    </row>
    <row r="6349" spans="1:1" x14ac:dyDescent="0.3">
      <c r="A6349" t="s">
        <v>51</v>
      </c>
    </row>
    <row r="6350" spans="1:1" x14ac:dyDescent="0.3">
      <c r="A6350" t="s">
        <v>52</v>
      </c>
    </row>
    <row r="6351" spans="1:1" x14ac:dyDescent="0.3">
      <c r="A6351" t="s">
        <v>79</v>
      </c>
    </row>
    <row r="6353" spans="1:1" x14ac:dyDescent="0.3">
      <c r="A6353" t="s">
        <v>12</v>
      </c>
    </row>
    <row r="6354" spans="1:1" x14ac:dyDescent="0.3">
      <c r="A6354" t="s">
        <v>13</v>
      </c>
    </row>
    <row r="6355" spans="1:1" x14ac:dyDescent="0.3">
      <c r="A6355" t="s">
        <v>1220</v>
      </c>
    </row>
    <row r="6356" spans="1:1" x14ac:dyDescent="0.3">
      <c r="A6356" t="s">
        <v>2648</v>
      </c>
    </row>
    <row r="6357" spans="1:1" x14ac:dyDescent="0.3">
      <c r="A6357" t="s">
        <v>2649</v>
      </c>
    </row>
    <row r="6358" spans="1:1" x14ac:dyDescent="0.3">
      <c r="A6358" t="s">
        <v>1153</v>
      </c>
    </row>
    <row r="6359" spans="1:1" x14ac:dyDescent="0.3">
      <c r="A6359" t="s">
        <v>110</v>
      </c>
    </row>
    <row r="6360" spans="1:1" x14ac:dyDescent="0.3">
      <c r="A6360" t="s">
        <v>1154</v>
      </c>
    </row>
    <row r="6361" spans="1:1" x14ac:dyDescent="0.3">
      <c r="A6361" t="s">
        <v>2650</v>
      </c>
    </row>
    <row r="6362" spans="1:1" x14ac:dyDescent="0.3">
      <c r="A6362" t="s">
        <v>51</v>
      </c>
    </row>
    <row r="6363" spans="1:1" x14ac:dyDescent="0.3">
      <c r="A6363" t="s">
        <v>52</v>
      </c>
    </row>
    <row r="6364" spans="1:1" x14ac:dyDescent="0.3">
      <c r="A6364" t="s">
        <v>79</v>
      </c>
    </row>
    <row r="6365" spans="1:1" x14ac:dyDescent="0.3">
      <c r="A6365" t="s">
        <v>98</v>
      </c>
    </row>
    <row r="6366" spans="1:1" x14ac:dyDescent="0.3">
      <c r="A6366" t="s">
        <v>13</v>
      </c>
    </row>
    <row r="6367" spans="1:1" x14ac:dyDescent="0.3">
      <c r="A6367" t="s">
        <v>105</v>
      </c>
    </row>
    <row r="6368" spans="1:1" x14ac:dyDescent="0.3">
      <c r="A6368" t="s">
        <v>2651</v>
      </c>
    </row>
    <row r="6369" spans="1:1" x14ac:dyDescent="0.3">
      <c r="A6369" t="s">
        <v>1157</v>
      </c>
    </row>
    <row r="6370" spans="1:1" x14ac:dyDescent="0.3">
      <c r="A6370" t="s">
        <v>2652</v>
      </c>
    </row>
    <row r="6371" spans="1:1" x14ac:dyDescent="0.3">
      <c r="A6371" t="s">
        <v>12</v>
      </c>
    </row>
    <row r="6372" spans="1:1" x14ac:dyDescent="0.3">
      <c r="A6372" t="s">
        <v>13</v>
      </c>
    </row>
    <row r="6373" spans="1:1" x14ac:dyDescent="0.3">
      <c r="A6373" t="s">
        <v>106</v>
      </c>
    </row>
    <row r="6374" spans="1:1" x14ac:dyDescent="0.3">
      <c r="A6374" t="s">
        <v>2653</v>
      </c>
    </row>
    <row r="6375" spans="1:1" x14ac:dyDescent="0.3">
      <c r="A6375" t="s">
        <v>1157</v>
      </c>
    </row>
    <row r="6376" spans="1:1" x14ac:dyDescent="0.3">
      <c r="A6376" t="s">
        <v>2654</v>
      </c>
    </row>
    <row r="6377" spans="1:1" x14ac:dyDescent="0.3">
      <c r="A6377" t="s">
        <v>12</v>
      </c>
    </row>
    <row r="6378" spans="1:1" x14ac:dyDescent="0.3">
      <c r="A6378" t="s">
        <v>40</v>
      </c>
    </row>
    <row r="6380" spans="1:1" x14ac:dyDescent="0.3">
      <c r="A6380" t="s">
        <v>12</v>
      </c>
    </row>
    <row r="6381" spans="1:1" x14ac:dyDescent="0.3">
      <c r="A6381" t="s">
        <v>13</v>
      </c>
    </row>
    <row r="6382" spans="1:1" x14ac:dyDescent="0.3">
      <c r="A6382" t="s">
        <v>1228</v>
      </c>
    </row>
    <row r="6383" spans="1:1" x14ac:dyDescent="0.3">
      <c r="A6383" t="s">
        <v>2655</v>
      </c>
    </row>
    <row r="6384" spans="1:1" x14ac:dyDescent="0.3">
      <c r="A6384" t="s">
        <v>2656</v>
      </c>
    </row>
    <row r="6385" spans="1:1" x14ac:dyDescent="0.3">
      <c r="A6385" t="s">
        <v>1153</v>
      </c>
    </row>
    <row r="6386" spans="1:1" x14ac:dyDescent="0.3">
      <c r="A6386" t="s">
        <v>110</v>
      </c>
    </row>
    <row r="6387" spans="1:1" x14ac:dyDescent="0.3">
      <c r="A6387" t="s">
        <v>1154</v>
      </c>
    </row>
    <row r="6388" spans="1:1" x14ac:dyDescent="0.3">
      <c r="A6388" t="s">
        <v>2657</v>
      </c>
    </row>
    <row r="6389" spans="1:1" x14ac:dyDescent="0.3">
      <c r="A6389" t="s">
        <v>51</v>
      </c>
    </row>
    <row r="6390" spans="1:1" x14ac:dyDescent="0.3">
      <c r="A6390" t="s">
        <v>52</v>
      </c>
    </row>
    <row r="6391" spans="1:1" x14ac:dyDescent="0.3">
      <c r="A6391" t="s">
        <v>79</v>
      </c>
    </row>
    <row r="6392" spans="1:1" x14ac:dyDescent="0.3">
      <c r="A6392" t="s">
        <v>98</v>
      </c>
    </row>
    <row r="6393" spans="1:1" x14ac:dyDescent="0.3">
      <c r="A6393" t="s">
        <v>13</v>
      </c>
    </row>
    <row r="6394" spans="1:1" x14ac:dyDescent="0.3">
      <c r="A6394" t="s">
        <v>105</v>
      </c>
    </row>
    <row r="6395" spans="1:1" x14ac:dyDescent="0.3">
      <c r="A6395" t="s">
        <v>2658</v>
      </c>
    </row>
    <row r="6396" spans="1:1" x14ac:dyDescent="0.3">
      <c r="A6396" t="s">
        <v>1157</v>
      </c>
    </row>
    <row r="6397" spans="1:1" x14ac:dyDescent="0.3">
      <c r="A6397" t="s">
        <v>2659</v>
      </c>
    </row>
    <row r="6398" spans="1:1" x14ac:dyDescent="0.3">
      <c r="A6398" t="s">
        <v>12</v>
      </c>
    </row>
    <row r="6399" spans="1:1" x14ac:dyDescent="0.3">
      <c r="A6399" t="s">
        <v>13</v>
      </c>
    </row>
    <row r="6400" spans="1:1" x14ac:dyDescent="0.3">
      <c r="A6400" t="s">
        <v>106</v>
      </c>
    </row>
    <row r="6401" spans="1:1" x14ac:dyDescent="0.3">
      <c r="A6401" t="s">
        <v>2660</v>
      </c>
    </row>
    <row r="6402" spans="1:1" x14ac:dyDescent="0.3">
      <c r="A6402" t="s">
        <v>1157</v>
      </c>
    </row>
    <row r="6403" spans="1:1" x14ac:dyDescent="0.3">
      <c r="A6403" t="s">
        <v>2661</v>
      </c>
    </row>
    <row r="6404" spans="1:1" x14ac:dyDescent="0.3">
      <c r="A6404" t="s">
        <v>12</v>
      </c>
    </row>
    <row r="6405" spans="1:1" x14ac:dyDescent="0.3">
      <c r="A6405" t="s">
        <v>40</v>
      </c>
    </row>
    <row r="6407" spans="1:1" x14ac:dyDescent="0.3">
      <c r="A6407" t="s">
        <v>12</v>
      </c>
    </row>
    <row r="6408" spans="1:1" x14ac:dyDescent="0.3">
      <c r="A6408" t="s">
        <v>13</v>
      </c>
    </row>
    <row r="6409" spans="1:1" x14ac:dyDescent="0.3">
      <c r="A6409" t="s">
        <v>1236</v>
      </c>
    </row>
    <row r="6410" spans="1:1" x14ac:dyDescent="0.3">
      <c r="A6410" t="s">
        <v>2371</v>
      </c>
    </row>
    <row r="6411" spans="1:1" x14ac:dyDescent="0.3">
      <c r="A6411" t="s">
        <v>2662</v>
      </c>
    </row>
    <row r="6412" spans="1:1" x14ac:dyDescent="0.3">
      <c r="A6412" t="s">
        <v>1153</v>
      </c>
    </row>
    <row r="6413" spans="1:1" x14ac:dyDescent="0.3">
      <c r="A6413" t="s">
        <v>110</v>
      </c>
    </row>
    <row r="6414" spans="1:1" x14ac:dyDescent="0.3">
      <c r="A6414" t="s">
        <v>1154</v>
      </c>
    </row>
    <row r="6415" spans="1:1" x14ac:dyDescent="0.3">
      <c r="A6415" t="s">
        <v>2663</v>
      </c>
    </row>
    <row r="6416" spans="1:1" x14ac:dyDescent="0.3">
      <c r="A6416" t="s">
        <v>51</v>
      </c>
    </row>
    <row r="6417" spans="1:1" x14ac:dyDescent="0.3">
      <c r="A6417" t="s">
        <v>52</v>
      </c>
    </row>
    <row r="6418" spans="1:1" x14ac:dyDescent="0.3">
      <c r="A6418" t="s">
        <v>79</v>
      </c>
    </row>
    <row r="6420" spans="1:1" x14ac:dyDescent="0.3">
      <c r="A6420" t="s">
        <v>12</v>
      </c>
    </row>
    <row r="6421" spans="1:1" x14ac:dyDescent="0.3">
      <c r="A6421" t="s">
        <v>13</v>
      </c>
    </row>
    <row r="6422" spans="1:1" x14ac:dyDescent="0.3">
      <c r="A6422" t="s">
        <v>1244</v>
      </c>
    </row>
    <row r="6423" spans="1:1" x14ac:dyDescent="0.3">
      <c r="A6423" t="s">
        <v>2664</v>
      </c>
    </row>
    <row r="6424" spans="1:1" x14ac:dyDescent="0.3">
      <c r="A6424" t="s">
        <v>2665</v>
      </c>
    </row>
    <row r="6425" spans="1:1" x14ac:dyDescent="0.3">
      <c r="A6425" t="s">
        <v>1153</v>
      </c>
    </row>
    <row r="6426" spans="1:1" x14ac:dyDescent="0.3">
      <c r="A6426" t="s">
        <v>110</v>
      </c>
    </row>
    <row r="6427" spans="1:1" x14ac:dyDescent="0.3">
      <c r="A6427" t="s">
        <v>1154</v>
      </c>
    </row>
    <row r="6428" spans="1:1" x14ac:dyDescent="0.3">
      <c r="A6428" t="s">
        <v>2666</v>
      </c>
    </row>
    <row r="6429" spans="1:1" x14ac:dyDescent="0.3">
      <c r="A6429" t="s">
        <v>51</v>
      </c>
    </row>
    <row r="6430" spans="1:1" x14ac:dyDescent="0.3">
      <c r="A6430" t="s">
        <v>52</v>
      </c>
    </row>
    <row r="6431" spans="1:1" x14ac:dyDescent="0.3">
      <c r="A6431" t="s">
        <v>79</v>
      </c>
    </row>
    <row r="6433" spans="1:1" x14ac:dyDescent="0.3">
      <c r="A6433" t="s">
        <v>12</v>
      </c>
    </row>
    <row r="6434" spans="1:1" x14ac:dyDescent="0.3">
      <c r="A6434" t="s">
        <v>13</v>
      </c>
    </row>
    <row r="6435" spans="1:1" x14ac:dyDescent="0.3">
      <c r="A6435" t="s">
        <v>1252</v>
      </c>
    </row>
    <row r="6436" spans="1:1" x14ac:dyDescent="0.3">
      <c r="A6436" t="s">
        <v>2667</v>
      </c>
    </row>
    <row r="6437" spans="1:1" x14ac:dyDescent="0.3">
      <c r="A6437" t="s">
        <v>2668</v>
      </c>
    </row>
    <row r="6438" spans="1:1" x14ac:dyDescent="0.3">
      <c r="A6438" t="s">
        <v>1153</v>
      </c>
    </row>
    <row r="6439" spans="1:1" x14ac:dyDescent="0.3">
      <c r="A6439" t="s">
        <v>110</v>
      </c>
    </row>
    <row r="6440" spans="1:1" x14ac:dyDescent="0.3">
      <c r="A6440" t="s">
        <v>1154</v>
      </c>
    </row>
    <row r="6441" spans="1:1" x14ac:dyDescent="0.3">
      <c r="A6441" t="s">
        <v>2669</v>
      </c>
    </row>
    <row r="6442" spans="1:1" x14ac:dyDescent="0.3">
      <c r="A6442" t="s">
        <v>51</v>
      </c>
    </row>
    <row r="6443" spans="1:1" x14ac:dyDescent="0.3">
      <c r="A6443" t="s">
        <v>52</v>
      </c>
    </row>
    <row r="6444" spans="1:1" x14ac:dyDescent="0.3">
      <c r="A6444" t="s">
        <v>79</v>
      </c>
    </row>
    <row r="6446" spans="1:1" x14ac:dyDescent="0.3">
      <c r="A6446" t="s">
        <v>12</v>
      </c>
    </row>
    <row r="6447" spans="1:1" x14ac:dyDescent="0.3">
      <c r="A6447" t="s">
        <v>13</v>
      </c>
    </row>
    <row r="6448" spans="1:1" x14ac:dyDescent="0.3">
      <c r="A6448" t="s">
        <v>1256</v>
      </c>
    </row>
    <row r="6449" spans="1:1" x14ac:dyDescent="0.3">
      <c r="A6449" t="s">
        <v>2670</v>
      </c>
    </row>
    <row r="6450" spans="1:1" x14ac:dyDescent="0.3">
      <c r="A6450" t="s">
        <v>2671</v>
      </c>
    </row>
    <row r="6451" spans="1:1" x14ac:dyDescent="0.3">
      <c r="A6451" t="s">
        <v>1153</v>
      </c>
    </row>
    <row r="6452" spans="1:1" x14ac:dyDescent="0.3">
      <c r="A6452" t="s">
        <v>110</v>
      </c>
    </row>
    <row r="6453" spans="1:1" x14ac:dyDescent="0.3">
      <c r="A6453" t="s">
        <v>1154</v>
      </c>
    </row>
    <row r="6454" spans="1:1" x14ac:dyDescent="0.3">
      <c r="A6454" t="s">
        <v>2672</v>
      </c>
    </row>
    <row r="6455" spans="1:1" x14ac:dyDescent="0.3">
      <c r="A6455" t="s">
        <v>51</v>
      </c>
    </row>
    <row r="6456" spans="1:1" x14ac:dyDescent="0.3">
      <c r="A6456" t="s">
        <v>52</v>
      </c>
    </row>
    <row r="6457" spans="1:1" x14ac:dyDescent="0.3">
      <c r="A6457" t="s">
        <v>79</v>
      </c>
    </row>
    <row r="6459" spans="1:1" x14ac:dyDescent="0.3">
      <c r="A6459" t="s">
        <v>12</v>
      </c>
    </row>
    <row r="6460" spans="1:1" x14ac:dyDescent="0.3">
      <c r="A6460" t="s">
        <v>13</v>
      </c>
    </row>
    <row r="6461" spans="1:1" x14ac:dyDescent="0.3">
      <c r="A6461" t="s">
        <v>1260</v>
      </c>
    </row>
    <row r="6462" spans="1:1" x14ac:dyDescent="0.3">
      <c r="A6462" t="s">
        <v>2673</v>
      </c>
    </row>
    <row r="6463" spans="1:1" x14ac:dyDescent="0.3">
      <c r="A6463" t="s">
        <v>2674</v>
      </c>
    </row>
    <row r="6464" spans="1:1" x14ac:dyDescent="0.3">
      <c r="A6464" t="s">
        <v>1153</v>
      </c>
    </row>
    <row r="6465" spans="1:1" x14ac:dyDescent="0.3">
      <c r="A6465" t="s">
        <v>110</v>
      </c>
    </row>
    <row r="6466" spans="1:1" x14ac:dyDescent="0.3">
      <c r="A6466" t="s">
        <v>1154</v>
      </c>
    </row>
    <row r="6467" spans="1:1" x14ac:dyDescent="0.3">
      <c r="A6467" t="s">
        <v>2675</v>
      </c>
    </row>
    <row r="6468" spans="1:1" x14ac:dyDescent="0.3">
      <c r="A6468" t="s">
        <v>51</v>
      </c>
    </row>
    <row r="6469" spans="1:1" x14ac:dyDescent="0.3">
      <c r="A6469" t="s">
        <v>52</v>
      </c>
    </row>
    <row r="6470" spans="1:1" x14ac:dyDescent="0.3">
      <c r="A6470" t="s">
        <v>79</v>
      </c>
    </row>
    <row r="6472" spans="1:1" x14ac:dyDescent="0.3">
      <c r="A6472" t="s">
        <v>12</v>
      </c>
    </row>
    <row r="6473" spans="1:1" x14ac:dyDescent="0.3">
      <c r="A6473" t="s">
        <v>13</v>
      </c>
    </row>
    <row r="6474" spans="1:1" x14ac:dyDescent="0.3">
      <c r="A6474" t="s">
        <v>1264</v>
      </c>
    </row>
    <row r="6475" spans="1:1" x14ac:dyDescent="0.3">
      <c r="A6475" t="s">
        <v>2676</v>
      </c>
    </row>
    <row r="6476" spans="1:1" x14ac:dyDescent="0.3">
      <c r="A6476" t="s">
        <v>2677</v>
      </c>
    </row>
    <row r="6477" spans="1:1" x14ac:dyDescent="0.3">
      <c r="A6477" t="s">
        <v>1153</v>
      </c>
    </row>
    <row r="6478" spans="1:1" x14ac:dyDescent="0.3">
      <c r="A6478" t="s">
        <v>110</v>
      </c>
    </row>
    <row r="6479" spans="1:1" x14ac:dyDescent="0.3">
      <c r="A6479" t="s">
        <v>1154</v>
      </c>
    </row>
    <row r="6480" spans="1:1" x14ac:dyDescent="0.3">
      <c r="A6480" t="s">
        <v>2678</v>
      </c>
    </row>
    <row r="6481" spans="1:1" x14ac:dyDescent="0.3">
      <c r="A6481" t="s">
        <v>51</v>
      </c>
    </row>
    <row r="6482" spans="1:1" x14ac:dyDescent="0.3">
      <c r="A6482" t="s">
        <v>52</v>
      </c>
    </row>
    <row r="6483" spans="1:1" x14ac:dyDescent="0.3">
      <c r="A6483" t="s">
        <v>79</v>
      </c>
    </row>
    <row r="6485" spans="1:1" x14ac:dyDescent="0.3">
      <c r="A6485" t="s">
        <v>12</v>
      </c>
    </row>
    <row r="6486" spans="1:1" x14ac:dyDescent="0.3">
      <c r="A6486" t="s">
        <v>13</v>
      </c>
    </row>
    <row r="6487" spans="1:1" x14ac:dyDescent="0.3">
      <c r="A6487" t="s">
        <v>1268</v>
      </c>
    </row>
    <row r="6488" spans="1:1" x14ac:dyDescent="0.3">
      <c r="A6488" t="s">
        <v>2679</v>
      </c>
    </row>
    <row r="6489" spans="1:1" x14ac:dyDescent="0.3">
      <c r="A6489" t="s">
        <v>2680</v>
      </c>
    </row>
    <row r="6490" spans="1:1" x14ac:dyDescent="0.3">
      <c r="A6490" t="s">
        <v>1153</v>
      </c>
    </row>
    <row r="6491" spans="1:1" x14ac:dyDescent="0.3">
      <c r="A6491" t="s">
        <v>110</v>
      </c>
    </row>
    <row r="6492" spans="1:1" x14ac:dyDescent="0.3">
      <c r="A6492" t="s">
        <v>1154</v>
      </c>
    </row>
    <row r="6493" spans="1:1" x14ac:dyDescent="0.3">
      <c r="A6493" t="s">
        <v>2681</v>
      </c>
    </row>
    <row r="6494" spans="1:1" x14ac:dyDescent="0.3">
      <c r="A6494" t="s">
        <v>51</v>
      </c>
    </row>
    <row r="6495" spans="1:1" x14ac:dyDescent="0.3">
      <c r="A6495" t="s">
        <v>52</v>
      </c>
    </row>
    <row r="6496" spans="1:1" x14ac:dyDescent="0.3">
      <c r="A6496" t="s">
        <v>79</v>
      </c>
    </row>
    <row r="6498" spans="1:1" x14ac:dyDescent="0.3">
      <c r="A6498" t="s">
        <v>12</v>
      </c>
    </row>
    <row r="6499" spans="1:1" x14ac:dyDescent="0.3">
      <c r="A6499" t="s">
        <v>13</v>
      </c>
    </row>
    <row r="6500" spans="1:1" x14ac:dyDescent="0.3">
      <c r="A6500" t="s">
        <v>1276</v>
      </c>
    </row>
    <row r="6501" spans="1:1" x14ac:dyDescent="0.3">
      <c r="A6501" t="s">
        <v>2682</v>
      </c>
    </row>
    <row r="6502" spans="1:1" x14ac:dyDescent="0.3">
      <c r="A6502" t="s">
        <v>2683</v>
      </c>
    </row>
    <row r="6503" spans="1:1" x14ac:dyDescent="0.3">
      <c r="A6503" t="s">
        <v>1153</v>
      </c>
    </row>
    <row r="6504" spans="1:1" x14ac:dyDescent="0.3">
      <c r="A6504" t="s">
        <v>110</v>
      </c>
    </row>
    <row r="6505" spans="1:1" x14ac:dyDescent="0.3">
      <c r="A6505" t="s">
        <v>1154</v>
      </c>
    </row>
    <row r="6506" spans="1:1" x14ac:dyDescent="0.3">
      <c r="A6506" t="s">
        <v>2684</v>
      </c>
    </row>
    <row r="6507" spans="1:1" x14ac:dyDescent="0.3">
      <c r="A6507" t="s">
        <v>51</v>
      </c>
    </row>
    <row r="6508" spans="1:1" x14ac:dyDescent="0.3">
      <c r="A6508" t="s">
        <v>52</v>
      </c>
    </row>
    <row r="6509" spans="1:1" x14ac:dyDescent="0.3">
      <c r="A6509" t="s">
        <v>79</v>
      </c>
    </row>
    <row r="6511" spans="1:1" x14ac:dyDescent="0.3">
      <c r="A6511" t="s">
        <v>12</v>
      </c>
    </row>
    <row r="6512" spans="1:1" x14ac:dyDescent="0.3">
      <c r="A6512" t="s">
        <v>13</v>
      </c>
    </row>
    <row r="6513" spans="1:1" x14ac:dyDescent="0.3">
      <c r="A6513" t="s">
        <v>1279</v>
      </c>
    </row>
    <row r="6514" spans="1:1" x14ac:dyDescent="0.3">
      <c r="A6514" t="s">
        <v>2682</v>
      </c>
    </row>
    <row r="6515" spans="1:1" x14ac:dyDescent="0.3">
      <c r="A6515" t="s">
        <v>2685</v>
      </c>
    </row>
    <row r="6516" spans="1:1" x14ac:dyDescent="0.3">
      <c r="A6516" t="s">
        <v>1153</v>
      </c>
    </row>
    <row r="6517" spans="1:1" x14ac:dyDescent="0.3">
      <c r="A6517" t="s">
        <v>110</v>
      </c>
    </row>
    <row r="6518" spans="1:1" x14ac:dyDescent="0.3">
      <c r="A6518" t="s">
        <v>1154</v>
      </c>
    </row>
    <row r="6519" spans="1:1" x14ac:dyDescent="0.3">
      <c r="A6519" t="s">
        <v>2686</v>
      </c>
    </row>
    <row r="6520" spans="1:1" x14ac:dyDescent="0.3">
      <c r="A6520" t="s">
        <v>51</v>
      </c>
    </row>
    <row r="6521" spans="1:1" x14ac:dyDescent="0.3">
      <c r="A6521" t="s">
        <v>52</v>
      </c>
    </row>
    <row r="6522" spans="1:1" x14ac:dyDescent="0.3">
      <c r="A6522" t="s">
        <v>79</v>
      </c>
    </row>
    <row r="6524" spans="1:1" x14ac:dyDescent="0.3">
      <c r="A6524" t="s">
        <v>12</v>
      </c>
    </row>
    <row r="6525" spans="1:1" x14ac:dyDescent="0.3">
      <c r="A6525" t="s">
        <v>13</v>
      </c>
    </row>
    <row r="6526" spans="1:1" x14ac:dyDescent="0.3">
      <c r="A6526" t="s">
        <v>1287</v>
      </c>
    </row>
    <row r="6527" spans="1:1" x14ac:dyDescent="0.3">
      <c r="A6527" t="s">
        <v>2687</v>
      </c>
    </row>
    <row r="6528" spans="1:1" x14ac:dyDescent="0.3">
      <c r="A6528" t="s">
        <v>2688</v>
      </c>
    </row>
    <row r="6529" spans="1:1" x14ac:dyDescent="0.3">
      <c r="A6529" t="s">
        <v>1153</v>
      </c>
    </row>
    <row r="6530" spans="1:1" x14ac:dyDescent="0.3">
      <c r="A6530" t="s">
        <v>110</v>
      </c>
    </row>
    <row r="6531" spans="1:1" x14ac:dyDescent="0.3">
      <c r="A6531" t="s">
        <v>1154</v>
      </c>
    </row>
    <row r="6532" spans="1:1" x14ac:dyDescent="0.3">
      <c r="A6532" t="s">
        <v>2689</v>
      </c>
    </row>
    <row r="6533" spans="1:1" x14ac:dyDescent="0.3">
      <c r="A6533" t="s">
        <v>51</v>
      </c>
    </row>
    <row r="6534" spans="1:1" x14ac:dyDescent="0.3">
      <c r="A6534" t="s">
        <v>52</v>
      </c>
    </row>
    <row r="6535" spans="1:1" x14ac:dyDescent="0.3">
      <c r="A6535" t="s">
        <v>79</v>
      </c>
    </row>
    <row r="6537" spans="1:1" x14ac:dyDescent="0.3">
      <c r="A6537" t="s">
        <v>12</v>
      </c>
    </row>
    <row r="6538" spans="1:1" x14ac:dyDescent="0.3">
      <c r="A6538" t="s">
        <v>13</v>
      </c>
    </row>
    <row r="6539" spans="1:1" x14ac:dyDescent="0.3">
      <c r="A6539" t="s">
        <v>1295</v>
      </c>
    </row>
    <row r="6540" spans="1:1" x14ac:dyDescent="0.3">
      <c r="A6540" t="s">
        <v>2690</v>
      </c>
    </row>
    <row r="6541" spans="1:1" x14ac:dyDescent="0.3">
      <c r="A6541" t="s">
        <v>2691</v>
      </c>
    </row>
    <row r="6542" spans="1:1" x14ac:dyDescent="0.3">
      <c r="A6542" t="s">
        <v>1153</v>
      </c>
    </row>
    <row r="6543" spans="1:1" x14ac:dyDescent="0.3">
      <c r="A6543" t="s">
        <v>110</v>
      </c>
    </row>
    <row r="6544" spans="1:1" x14ac:dyDescent="0.3">
      <c r="A6544" t="s">
        <v>1154</v>
      </c>
    </row>
    <row r="6545" spans="1:1" x14ac:dyDescent="0.3">
      <c r="A6545" t="s">
        <v>2692</v>
      </c>
    </row>
    <row r="6546" spans="1:1" x14ac:dyDescent="0.3">
      <c r="A6546" t="s">
        <v>51</v>
      </c>
    </row>
    <row r="6547" spans="1:1" x14ac:dyDescent="0.3">
      <c r="A6547" t="s">
        <v>52</v>
      </c>
    </row>
    <row r="6548" spans="1:1" x14ac:dyDescent="0.3">
      <c r="A6548" t="s">
        <v>79</v>
      </c>
    </row>
    <row r="6550" spans="1:1" x14ac:dyDescent="0.3">
      <c r="A6550" t="s">
        <v>12</v>
      </c>
    </row>
    <row r="6551" spans="1:1" x14ac:dyDescent="0.3">
      <c r="A6551" t="s">
        <v>13</v>
      </c>
    </row>
    <row r="6552" spans="1:1" x14ac:dyDescent="0.3">
      <c r="A6552" t="s">
        <v>1298</v>
      </c>
    </row>
    <row r="6553" spans="1:1" x14ac:dyDescent="0.3">
      <c r="A6553" t="s">
        <v>2693</v>
      </c>
    </row>
    <row r="6554" spans="1:1" x14ac:dyDescent="0.3">
      <c r="A6554" t="s">
        <v>2694</v>
      </c>
    </row>
    <row r="6555" spans="1:1" x14ac:dyDescent="0.3">
      <c r="A6555" t="s">
        <v>1153</v>
      </c>
    </row>
    <row r="6556" spans="1:1" x14ac:dyDescent="0.3">
      <c r="A6556" t="s">
        <v>110</v>
      </c>
    </row>
    <row r="6557" spans="1:1" x14ac:dyDescent="0.3">
      <c r="A6557" t="s">
        <v>1154</v>
      </c>
    </row>
    <row r="6558" spans="1:1" x14ac:dyDescent="0.3">
      <c r="A6558" t="s">
        <v>2695</v>
      </c>
    </row>
    <row r="6559" spans="1:1" x14ac:dyDescent="0.3">
      <c r="A6559" t="s">
        <v>51</v>
      </c>
    </row>
    <row r="6560" spans="1:1" x14ac:dyDescent="0.3">
      <c r="A6560" t="s">
        <v>52</v>
      </c>
    </row>
    <row r="6561" spans="1:1" x14ac:dyDescent="0.3">
      <c r="A6561" t="s">
        <v>79</v>
      </c>
    </row>
    <row r="6563" spans="1:1" x14ac:dyDescent="0.3">
      <c r="A6563" t="s">
        <v>12</v>
      </c>
    </row>
    <row r="6564" spans="1:1" x14ac:dyDescent="0.3">
      <c r="A6564" t="s">
        <v>13</v>
      </c>
    </row>
    <row r="6565" spans="1:1" x14ac:dyDescent="0.3">
      <c r="A6565" t="s">
        <v>1306</v>
      </c>
    </row>
    <row r="6566" spans="1:1" x14ac:dyDescent="0.3">
      <c r="A6566" t="s">
        <v>2696</v>
      </c>
    </row>
    <row r="6567" spans="1:1" x14ac:dyDescent="0.3">
      <c r="A6567" t="s">
        <v>2697</v>
      </c>
    </row>
    <row r="6568" spans="1:1" x14ac:dyDescent="0.3">
      <c r="A6568" t="s">
        <v>1153</v>
      </c>
    </row>
    <row r="6569" spans="1:1" x14ac:dyDescent="0.3">
      <c r="A6569" t="s">
        <v>110</v>
      </c>
    </row>
    <row r="6570" spans="1:1" x14ac:dyDescent="0.3">
      <c r="A6570" t="s">
        <v>1154</v>
      </c>
    </row>
    <row r="6571" spans="1:1" x14ac:dyDescent="0.3">
      <c r="A6571" t="s">
        <v>2698</v>
      </c>
    </row>
    <row r="6572" spans="1:1" x14ac:dyDescent="0.3">
      <c r="A6572" t="s">
        <v>51</v>
      </c>
    </row>
    <row r="6573" spans="1:1" x14ac:dyDescent="0.3">
      <c r="A6573" t="s">
        <v>52</v>
      </c>
    </row>
    <row r="6574" spans="1:1" x14ac:dyDescent="0.3">
      <c r="A6574" t="s">
        <v>79</v>
      </c>
    </row>
    <row r="6576" spans="1:1" x14ac:dyDescent="0.3">
      <c r="A6576" t="s">
        <v>12</v>
      </c>
    </row>
    <row r="6577" spans="1:1" x14ac:dyDescent="0.3">
      <c r="A6577" t="s">
        <v>13</v>
      </c>
    </row>
    <row r="6578" spans="1:1" x14ac:dyDescent="0.3">
      <c r="A6578" t="s">
        <v>1314</v>
      </c>
    </row>
    <row r="6579" spans="1:1" x14ac:dyDescent="0.3">
      <c r="A6579" t="s">
        <v>2699</v>
      </c>
    </row>
    <row r="6580" spans="1:1" x14ac:dyDescent="0.3">
      <c r="A6580" t="s">
        <v>2700</v>
      </c>
    </row>
    <row r="6581" spans="1:1" x14ac:dyDescent="0.3">
      <c r="A6581" t="s">
        <v>1153</v>
      </c>
    </row>
    <row r="6582" spans="1:1" x14ac:dyDescent="0.3">
      <c r="A6582" t="s">
        <v>110</v>
      </c>
    </row>
    <row r="6583" spans="1:1" x14ac:dyDescent="0.3">
      <c r="A6583" t="s">
        <v>1154</v>
      </c>
    </row>
    <row r="6584" spans="1:1" x14ac:dyDescent="0.3">
      <c r="A6584" t="s">
        <v>2701</v>
      </c>
    </row>
    <row r="6585" spans="1:1" x14ac:dyDescent="0.3">
      <c r="A6585" t="s">
        <v>51</v>
      </c>
    </row>
    <row r="6586" spans="1:1" x14ac:dyDescent="0.3">
      <c r="A6586" t="s">
        <v>52</v>
      </c>
    </row>
    <row r="6587" spans="1:1" x14ac:dyDescent="0.3">
      <c r="A6587" t="s">
        <v>79</v>
      </c>
    </row>
    <row r="6588" spans="1:1" x14ac:dyDescent="0.3">
      <c r="A6588" t="s">
        <v>98</v>
      </c>
    </row>
    <row r="6589" spans="1:1" x14ac:dyDescent="0.3">
      <c r="A6589" t="s">
        <v>13</v>
      </c>
    </row>
    <row r="6590" spans="1:1" x14ac:dyDescent="0.3">
      <c r="A6590" t="s">
        <v>105</v>
      </c>
    </row>
    <row r="6591" spans="1:1" x14ac:dyDescent="0.3">
      <c r="A6591" t="s">
        <v>2702</v>
      </c>
    </row>
    <row r="6592" spans="1:1" x14ac:dyDescent="0.3">
      <c r="A6592" t="s">
        <v>1157</v>
      </c>
    </row>
    <row r="6593" spans="1:1" x14ac:dyDescent="0.3">
      <c r="A6593" t="s">
        <v>2703</v>
      </c>
    </row>
    <row r="6594" spans="1:1" x14ac:dyDescent="0.3">
      <c r="A6594" t="s">
        <v>12</v>
      </c>
    </row>
    <row r="6595" spans="1:1" x14ac:dyDescent="0.3">
      <c r="A6595" t="s">
        <v>13</v>
      </c>
    </row>
    <row r="6596" spans="1:1" x14ac:dyDescent="0.3">
      <c r="A6596" t="s">
        <v>106</v>
      </c>
    </row>
    <row r="6597" spans="1:1" x14ac:dyDescent="0.3">
      <c r="A6597" t="s">
        <v>2704</v>
      </c>
    </row>
    <row r="6598" spans="1:1" x14ac:dyDescent="0.3">
      <c r="A6598" t="s">
        <v>1157</v>
      </c>
    </row>
    <row r="6599" spans="1:1" x14ac:dyDescent="0.3">
      <c r="A6599" t="s">
        <v>2705</v>
      </c>
    </row>
    <row r="6600" spans="1:1" x14ac:dyDescent="0.3">
      <c r="A6600" t="s">
        <v>12</v>
      </c>
    </row>
    <row r="6601" spans="1:1" x14ac:dyDescent="0.3">
      <c r="A6601" t="s">
        <v>40</v>
      </c>
    </row>
    <row r="6603" spans="1:1" x14ac:dyDescent="0.3">
      <c r="A6603" t="s">
        <v>12</v>
      </c>
    </row>
    <row r="6604" spans="1:1" x14ac:dyDescent="0.3">
      <c r="A6604" t="s">
        <v>13</v>
      </c>
    </row>
    <row r="6605" spans="1:1" x14ac:dyDescent="0.3">
      <c r="A6605" t="s">
        <v>1322</v>
      </c>
    </row>
    <row r="6606" spans="1:1" x14ac:dyDescent="0.3">
      <c r="A6606" t="s">
        <v>2706</v>
      </c>
    </row>
    <row r="6607" spans="1:1" x14ac:dyDescent="0.3">
      <c r="A6607" t="s">
        <v>2707</v>
      </c>
    </row>
    <row r="6608" spans="1:1" x14ac:dyDescent="0.3">
      <c r="A6608" t="s">
        <v>1153</v>
      </c>
    </row>
    <row r="6609" spans="1:1" x14ac:dyDescent="0.3">
      <c r="A6609" t="s">
        <v>110</v>
      </c>
    </row>
    <row r="6610" spans="1:1" x14ac:dyDescent="0.3">
      <c r="A6610" t="s">
        <v>1154</v>
      </c>
    </row>
    <row r="6611" spans="1:1" x14ac:dyDescent="0.3">
      <c r="A6611" t="s">
        <v>2708</v>
      </c>
    </row>
    <row r="6612" spans="1:1" x14ac:dyDescent="0.3">
      <c r="A6612" t="s">
        <v>51</v>
      </c>
    </row>
    <row r="6613" spans="1:1" x14ac:dyDescent="0.3">
      <c r="A6613" t="s">
        <v>52</v>
      </c>
    </row>
    <row r="6614" spans="1:1" x14ac:dyDescent="0.3">
      <c r="A6614" t="s">
        <v>79</v>
      </c>
    </row>
    <row r="6615" spans="1:1" x14ac:dyDescent="0.3">
      <c r="A6615" t="s">
        <v>98</v>
      </c>
    </row>
    <row r="6616" spans="1:1" x14ac:dyDescent="0.3">
      <c r="A6616" t="s">
        <v>13</v>
      </c>
    </row>
    <row r="6617" spans="1:1" x14ac:dyDescent="0.3">
      <c r="A6617" t="s">
        <v>105</v>
      </c>
    </row>
    <row r="6618" spans="1:1" x14ac:dyDescent="0.3">
      <c r="A6618" t="s">
        <v>2709</v>
      </c>
    </row>
    <row r="6619" spans="1:1" x14ac:dyDescent="0.3">
      <c r="A6619" t="s">
        <v>1157</v>
      </c>
    </row>
    <row r="6620" spans="1:1" x14ac:dyDescent="0.3">
      <c r="A6620" t="s">
        <v>2710</v>
      </c>
    </row>
    <row r="6621" spans="1:1" x14ac:dyDescent="0.3">
      <c r="A6621" t="s">
        <v>12</v>
      </c>
    </row>
    <row r="6622" spans="1:1" x14ac:dyDescent="0.3">
      <c r="A6622" t="s">
        <v>13</v>
      </c>
    </row>
    <row r="6623" spans="1:1" x14ac:dyDescent="0.3">
      <c r="A6623" t="s">
        <v>106</v>
      </c>
    </row>
    <row r="6624" spans="1:1" x14ac:dyDescent="0.3">
      <c r="A6624" t="s">
        <v>2711</v>
      </c>
    </row>
    <row r="6625" spans="1:1" x14ac:dyDescent="0.3">
      <c r="A6625" t="s">
        <v>1157</v>
      </c>
    </row>
    <row r="6626" spans="1:1" x14ac:dyDescent="0.3">
      <c r="A6626" t="s">
        <v>2712</v>
      </c>
    </row>
    <row r="6627" spans="1:1" x14ac:dyDescent="0.3">
      <c r="A6627" t="s">
        <v>12</v>
      </c>
    </row>
    <row r="6628" spans="1:1" x14ac:dyDescent="0.3">
      <c r="A6628" t="s">
        <v>40</v>
      </c>
    </row>
    <row r="6630" spans="1:1" x14ac:dyDescent="0.3">
      <c r="A6630" t="s">
        <v>12</v>
      </c>
    </row>
    <row r="6631" spans="1:1" x14ac:dyDescent="0.3">
      <c r="A6631" t="s">
        <v>13</v>
      </c>
    </row>
    <row r="6632" spans="1:1" x14ac:dyDescent="0.3">
      <c r="A6632" t="s">
        <v>1328</v>
      </c>
    </row>
    <row r="6633" spans="1:1" x14ac:dyDescent="0.3">
      <c r="A6633" t="s">
        <v>2713</v>
      </c>
    </row>
    <row r="6634" spans="1:1" x14ac:dyDescent="0.3">
      <c r="A6634" t="s">
        <v>2714</v>
      </c>
    </row>
    <row r="6635" spans="1:1" x14ac:dyDescent="0.3">
      <c r="A6635" t="s">
        <v>1153</v>
      </c>
    </row>
    <row r="6636" spans="1:1" x14ac:dyDescent="0.3">
      <c r="A6636" t="s">
        <v>110</v>
      </c>
    </row>
    <row r="6637" spans="1:1" x14ac:dyDescent="0.3">
      <c r="A6637" t="s">
        <v>1154</v>
      </c>
    </row>
    <row r="6638" spans="1:1" x14ac:dyDescent="0.3">
      <c r="A6638" t="s">
        <v>2715</v>
      </c>
    </row>
    <row r="6639" spans="1:1" x14ac:dyDescent="0.3">
      <c r="A6639" t="s">
        <v>51</v>
      </c>
    </row>
    <row r="6640" spans="1:1" x14ac:dyDescent="0.3">
      <c r="A6640" t="s">
        <v>52</v>
      </c>
    </row>
    <row r="6641" spans="1:1" x14ac:dyDescent="0.3">
      <c r="A6641" t="s">
        <v>79</v>
      </c>
    </row>
    <row r="6642" spans="1:1" x14ac:dyDescent="0.3">
      <c r="A6642" t="s">
        <v>98</v>
      </c>
    </row>
    <row r="6643" spans="1:1" x14ac:dyDescent="0.3">
      <c r="A6643" t="s">
        <v>13</v>
      </c>
    </row>
    <row r="6644" spans="1:1" x14ac:dyDescent="0.3">
      <c r="A6644" t="s">
        <v>105</v>
      </c>
    </row>
    <row r="6645" spans="1:1" x14ac:dyDescent="0.3">
      <c r="A6645" t="s">
        <v>2716</v>
      </c>
    </row>
    <row r="6646" spans="1:1" x14ac:dyDescent="0.3">
      <c r="A6646" t="s">
        <v>1157</v>
      </c>
    </row>
    <row r="6647" spans="1:1" x14ac:dyDescent="0.3">
      <c r="A6647" t="s">
        <v>2717</v>
      </c>
    </row>
    <row r="6648" spans="1:1" x14ac:dyDescent="0.3">
      <c r="A6648" t="s">
        <v>12</v>
      </c>
    </row>
    <row r="6649" spans="1:1" x14ac:dyDescent="0.3">
      <c r="A6649" t="s">
        <v>13</v>
      </c>
    </row>
    <row r="6650" spans="1:1" x14ac:dyDescent="0.3">
      <c r="A6650" t="s">
        <v>106</v>
      </c>
    </row>
    <row r="6651" spans="1:1" x14ac:dyDescent="0.3">
      <c r="A6651" t="s">
        <v>2718</v>
      </c>
    </row>
    <row r="6652" spans="1:1" x14ac:dyDescent="0.3">
      <c r="A6652" t="s">
        <v>1157</v>
      </c>
    </row>
    <row r="6653" spans="1:1" x14ac:dyDescent="0.3">
      <c r="A6653" t="s">
        <v>2719</v>
      </c>
    </row>
    <row r="6654" spans="1:1" x14ac:dyDescent="0.3">
      <c r="A6654" t="s">
        <v>12</v>
      </c>
    </row>
    <row r="6655" spans="1:1" x14ac:dyDescent="0.3">
      <c r="A6655" t="s">
        <v>40</v>
      </c>
    </row>
    <row r="6657" spans="1:1" x14ac:dyDescent="0.3">
      <c r="A6657" t="s">
        <v>12</v>
      </c>
    </row>
    <row r="6658" spans="1:1" x14ac:dyDescent="0.3">
      <c r="A6658" t="s">
        <v>13</v>
      </c>
    </row>
    <row r="6659" spans="1:1" x14ac:dyDescent="0.3">
      <c r="A6659" t="s">
        <v>1332</v>
      </c>
    </row>
    <row r="6660" spans="1:1" x14ac:dyDescent="0.3">
      <c r="A6660" t="s">
        <v>2720</v>
      </c>
    </row>
    <row r="6661" spans="1:1" x14ac:dyDescent="0.3">
      <c r="A6661" t="s">
        <v>2721</v>
      </c>
    </row>
    <row r="6662" spans="1:1" x14ac:dyDescent="0.3">
      <c r="A6662" t="s">
        <v>1153</v>
      </c>
    </row>
    <row r="6663" spans="1:1" x14ac:dyDescent="0.3">
      <c r="A6663" t="s">
        <v>110</v>
      </c>
    </row>
    <row r="6664" spans="1:1" x14ac:dyDescent="0.3">
      <c r="A6664" t="s">
        <v>1154</v>
      </c>
    </row>
    <row r="6665" spans="1:1" x14ac:dyDescent="0.3">
      <c r="A6665" t="s">
        <v>2722</v>
      </c>
    </row>
    <row r="6666" spans="1:1" x14ac:dyDescent="0.3">
      <c r="A6666" t="s">
        <v>51</v>
      </c>
    </row>
    <row r="6667" spans="1:1" x14ac:dyDescent="0.3">
      <c r="A6667" t="s">
        <v>52</v>
      </c>
    </row>
    <row r="6668" spans="1:1" x14ac:dyDescent="0.3">
      <c r="A6668" t="s">
        <v>79</v>
      </c>
    </row>
    <row r="6670" spans="1:1" x14ac:dyDescent="0.3">
      <c r="A6670" t="s">
        <v>12</v>
      </c>
    </row>
    <row r="6671" spans="1:1" x14ac:dyDescent="0.3">
      <c r="A6671" t="s">
        <v>13</v>
      </c>
    </row>
    <row r="6672" spans="1:1" x14ac:dyDescent="0.3">
      <c r="A6672" t="s">
        <v>1336</v>
      </c>
    </row>
    <row r="6673" spans="1:1" x14ac:dyDescent="0.3">
      <c r="A6673" t="s">
        <v>2723</v>
      </c>
    </row>
    <row r="6674" spans="1:1" x14ac:dyDescent="0.3">
      <c r="A6674" t="s">
        <v>2724</v>
      </c>
    </row>
    <row r="6675" spans="1:1" x14ac:dyDescent="0.3">
      <c r="A6675" t="s">
        <v>1153</v>
      </c>
    </row>
    <row r="6676" spans="1:1" x14ac:dyDescent="0.3">
      <c r="A6676" t="s">
        <v>110</v>
      </c>
    </row>
    <row r="6677" spans="1:1" x14ac:dyDescent="0.3">
      <c r="A6677" t="s">
        <v>1154</v>
      </c>
    </row>
    <row r="6678" spans="1:1" x14ac:dyDescent="0.3">
      <c r="A6678" t="s">
        <v>2725</v>
      </c>
    </row>
    <row r="6679" spans="1:1" x14ac:dyDescent="0.3">
      <c r="A6679" t="s">
        <v>51</v>
      </c>
    </row>
    <row r="6680" spans="1:1" x14ac:dyDescent="0.3">
      <c r="A6680" t="s">
        <v>52</v>
      </c>
    </row>
    <row r="6681" spans="1:1" x14ac:dyDescent="0.3">
      <c r="A6681" t="s">
        <v>79</v>
      </c>
    </row>
    <row r="6683" spans="1:1" x14ac:dyDescent="0.3">
      <c r="A6683" t="s">
        <v>12</v>
      </c>
    </row>
    <row r="6684" spans="1:1" x14ac:dyDescent="0.3">
      <c r="A6684" t="s">
        <v>13</v>
      </c>
    </row>
    <row r="6685" spans="1:1" x14ac:dyDescent="0.3">
      <c r="A6685" t="s">
        <v>1340</v>
      </c>
    </row>
    <row r="6686" spans="1:1" x14ac:dyDescent="0.3">
      <c r="A6686" t="s">
        <v>2726</v>
      </c>
    </row>
    <row r="6687" spans="1:1" x14ac:dyDescent="0.3">
      <c r="A6687" t="s">
        <v>2727</v>
      </c>
    </row>
    <row r="6688" spans="1:1" x14ac:dyDescent="0.3">
      <c r="A6688" t="s">
        <v>1153</v>
      </c>
    </row>
    <row r="6689" spans="1:1" x14ac:dyDescent="0.3">
      <c r="A6689" t="s">
        <v>110</v>
      </c>
    </row>
    <row r="6690" spans="1:1" x14ac:dyDescent="0.3">
      <c r="A6690" t="s">
        <v>1154</v>
      </c>
    </row>
    <row r="6691" spans="1:1" x14ac:dyDescent="0.3">
      <c r="A6691" t="s">
        <v>2728</v>
      </c>
    </row>
    <row r="6692" spans="1:1" x14ac:dyDescent="0.3">
      <c r="A6692" t="s">
        <v>51</v>
      </c>
    </row>
    <row r="6693" spans="1:1" x14ac:dyDescent="0.3">
      <c r="A6693" t="s">
        <v>52</v>
      </c>
    </row>
    <row r="6694" spans="1:1" x14ac:dyDescent="0.3">
      <c r="A6694" t="s">
        <v>79</v>
      </c>
    </row>
    <row r="6696" spans="1:1" x14ac:dyDescent="0.3">
      <c r="A6696" t="s">
        <v>12</v>
      </c>
    </row>
    <row r="6697" spans="1:1" x14ac:dyDescent="0.3">
      <c r="A6697" t="s">
        <v>13</v>
      </c>
    </row>
    <row r="6698" spans="1:1" x14ac:dyDescent="0.3">
      <c r="A6698" t="s">
        <v>1343</v>
      </c>
    </row>
    <row r="6699" spans="1:1" x14ac:dyDescent="0.3">
      <c r="A6699" t="s">
        <v>2729</v>
      </c>
    </row>
    <row r="6700" spans="1:1" x14ac:dyDescent="0.3">
      <c r="A6700" t="s">
        <v>2730</v>
      </c>
    </row>
    <row r="6701" spans="1:1" x14ac:dyDescent="0.3">
      <c r="A6701" t="s">
        <v>1153</v>
      </c>
    </row>
    <row r="6702" spans="1:1" x14ac:dyDescent="0.3">
      <c r="A6702" t="s">
        <v>110</v>
      </c>
    </row>
    <row r="6703" spans="1:1" x14ac:dyDescent="0.3">
      <c r="A6703" t="s">
        <v>1154</v>
      </c>
    </row>
    <row r="6704" spans="1:1" x14ac:dyDescent="0.3">
      <c r="A6704" t="s">
        <v>2731</v>
      </c>
    </row>
    <row r="6705" spans="1:1" x14ac:dyDescent="0.3">
      <c r="A6705" t="s">
        <v>51</v>
      </c>
    </row>
    <row r="6706" spans="1:1" x14ac:dyDescent="0.3">
      <c r="A6706" t="s">
        <v>52</v>
      </c>
    </row>
    <row r="6707" spans="1:1" x14ac:dyDescent="0.3">
      <c r="A6707" t="s">
        <v>79</v>
      </c>
    </row>
    <row r="6708" spans="1:1" x14ac:dyDescent="0.3">
      <c r="A6708" t="s">
        <v>98</v>
      </c>
    </row>
    <row r="6709" spans="1:1" x14ac:dyDescent="0.3">
      <c r="A6709" t="s">
        <v>13</v>
      </c>
    </row>
    <row r="6710" spans="1:1" x14ac:dyDescent="0.3">
      <c r="A6710" t="s">
        <v>105</v>
      </c>
    </row>
    <row r="6711" spans="1:1" x14ac:dyDescent="0.3">
      <c r="A6711" t="s">
        <v>2732</v>
      </c>
    </row>
    <row r="6712" spans="1:1" x14ac:dyDescent="0.3">
      <c r="A6712" t="s">
        <v>1157</v>
      </c>
    </row>
    <row r="6713" spans="1:1" x14ac:dyDescent="0.3">
      <c r="A6713" t="s">
        <v>2733</v>
      </c>
    </row>
    <row r="6714" spans="1:1" x14ac:dyDescent="0.3">
      <c r="A6714" t="s">
        <v>12</v>
      </c>
    </row>
    <row r="6715" spans="1:1" x14ac:dyDescent="0.3">
      <c r="A6715" t="s">
        <v>13</v>
      </c>
    </row>
    <row r="6716" spans="1:1" x14ac:dyDescent="0.3">
      <c r="A6716" t="s">
        <v>106</v>
      </c>
    </row>
    <row r="6717" spans="1:1" x14ac:dyDescent="0.3">
      <c r="A6717" t="s">
        <v>2734</v>
      </c>
    </row>
    <row r="6718" spans="1:1" x14ac:dyDescent="0.3">
      <c r="A6718" t="s">
        <v>1157</v>
      </c>
    </row>
    <row r="6719" spans="1:1" x14ac:dyDescent="0.3">
      <c r="A6719" t="s">
        <v>2735</v>
      </c>
    </row>
    <row r="6720" spans="1:1" x14ac:dyDescent="0.3">
      <c r="A6720" t="s">
        <v>12</v>
      </c>
    </row>
    <row r="6721" spans="1:1" x14ac:dyDescent="0.3">
      <c r="A6721" t="s">
        <v>40</v>
      </c>
    </row>
    <row r="6723" spans="1:1" x14ac:dyDescent="0.3">
      <c r="A6723" t="s">
        <v>12</v>
      </c>
    </row>
    <row r="6724" spans="1:1" x14ac:dyDescent="0.3">
      <c r="A6724" t="s">
        <v>13</v>
      </c>
    </row>
    <row r="6725" spans="1:1" x14ac:dyDescent="0.3">
      <c r="A6725" t="s">
        <v>1351</v>
      </c>
    </row>
    <row r="6726" spans="1:1" x14ac:dyDescent="0.3">
      <c r="A6726" t="s">
        <v>2736</v>
      </c>
    </row>
    <row r="6727" spans="1:1" x14ac:dyDescent="0.3">
      <c r="A6727" t="s">
        <v>2737</v>
      </c>
    </row>
    <row r="6728" spans="1:1" x14ac:dyDescent="0.3">
      <c r="A6728" t="s">
        <v>1153</v>
      </c>
    </row>
    <row r="6729" spans="1:1" x14ac:dyDescent="0.3">
      <c r="A6729" t="s">
        <v>110</v>
      </c>
    </row>
    <row r="6730" spans="1:1" x14ac:dyDescent="0.3">
      <c r="A6730" t="s">
        <v>1154</v>
      </c>
    </row>
    <row r="6731" spans="1:1" x14ac:dyDescent="0.3">
      <c r="A6731" t="s">
        <v>2738</v>
      </c>
    </row>
    <row r="6732" spans="1:1" x14ac:dyDescent="0.3">
      <c r="A6732" t="s">
        <v>51</v>
      </c>
    </row>
    <row r="6733" spans="1:1" x14ac:dyDescent="0.3">
      <c r="A6733" t="s">
        <v>52</v>
      </c>
    </row>
    <row r="6734" spans="1:1" x14ac:dyDescent="0.3">
      <c r="A6734" t="s">
        <v>79</v>
      </c>
    </row>
    <row r="6736" spans="1:1" x14ac:dyDescent="0.3">
      <c r="A6736" t="s">
        <v>12</v>
      </c>
    </row>
    <row r="6737" spans="1:1" x14ac:dyDescent="0.3">
      <c r="A6737" t="s">
        <v>13</v>
      </c>
    </row>
    <row r="6738" spans="1:1" x14ac:dyDescent="0.3">
      <c r="A6738" t="s">
        <v>1359</v>
      </c>
    </row>
    <row r="6739" spans="1:1" x14ac:dyDescent="0.3">
      <c r="A6739" t="s">
        <v>2739</v>
      </c>
    </row>
    <row r="6740" spans="1:1" x14ac:dyDescent="0.3">
      <c r="A6740" t="s">
        <v>2740</v>
      </c>
    </row>
    <row r="6741" spans="1:1" x14ac:dyDescent="0.3">
      <c r="A6741" t="s">
        <v>1153</v>
      </c>
    </row>
    <row r="6742" spans="1:1" x14ac:dyDescent="0.3">
      <c r="A6742" t="s">
        <v>110</v>
      </c>
    </row>
    <row r="6743" spans="1:1" x14ac:dyDescent="0.3">
      <c r="A6743" t="s">
        <v>1154</v>
      </c>
    </row>
    <row r="6744" spans="1:1" x14ac:dyDescent="0.3">
      <c r="A6744" t="s">
        <v>2741</v>
      </c>
    </row>
    <row r="6745" spans="1:1" x14ac:dyDescent="0.3">
      <c r="A6745" t="s">
        <v>51</v>
      </c>
    </row>
    <row r="6746" spans="1:1" x14ac:dyDescent="0.3">
      <c r="A6746" t="s">
        <v>52</v>
      </c>
    </row>
    <row r="6747" spans="1:1" x14ac:dyDescent="0.3">
      <c r="A6747" t="s">
        <v>79</v>
      </c>
    </row>
    <row r="6749" spans="1:1" x14ac:dyDescent="0.3">
      <c r="A6749" t="s">
        <v>12</v>
      </c>
    </row>
    <row r="6750" spans="1:1" x14ac:dyDescent="0.3">
      <c r="A6750" t="s">
        <v>13</v>
      </c>
    </row>
    <row r="6751" spans="1:1" x14ac:dyDescent="0.3">
      <c r="A6751" t="s">
        <v>1367</v>
      </c>
    </row>
    <row r="6752" spans="1:1" x14ac:dyDescent="0.3">
      <c r="A6752" t="s">
        <v>2742</v>
      </c>
    </row>
    <row r="6753" spans="1:1" x14ac:dyDescent="0.3">
      <c r="A6753" t="s">
        <v>2743</v>
      </c>
    </row>
    <row r="6754" spans="1:1" x14ac:dyDescent="0.3">
      <c r="A6754" t="s">
        <v>1153</v>
      </c>
    </row>
    <row r="6755" spans="1:1" x14ac:dyDescent="0.3">
      <c r="A6755" t="s">
        <v>110</v>
      </c>
    </row>
    <row r="6756" spans="1:1" x14ac:dyDescent="0.3">
      <c r="A6756" t="s">
        <v>1154</v>
      </c>
    </row>
    <row r="6757" spans="1:1" x14ac:dyDescent="0.3">
      <c r="A6757" t="s">
        <v>2744</v>
      </c>
    </row>
    <row r="6758" spans="1:1" x14ac:dyDescent="0.3">
      <c r="A6758" t="s">
        <v>51</v>
      </c>
    </row>
    <row r="6759" spans="1:1" x14ac:dyDescent="0.3">
      <c r="A6759" t="s">
        <v>52</v>
      </c>
    </row>
    <row r="6760" spans="1:1" x14ac:dyDescent="0.3">
      <c r="A6760" t="s">
        <v>79</v>
      </c>
    </row>
    <row r="6762" spans="1:1" x14ac:dyDescent="0.3">
      <c r="A6762" t="s">
        <v>12</v>
      </c>
    </row>
    <row r="6763" spans="1:1" x14ac:dyDescent="0.3">
      <c r="A6763" t="s">
        <v>13</v>
      </c>
    </row>
    <row r="6764" spans="1:1" x14ac:dyDescent="0.3">
      <c r="A6764" t="s">
        <v>1373</v>
      </c>
    </row>
    <row r="6765" spans="1:1" x14ac:dyDescent="0.3">
      <c r="A6765" t="s">
        <v>2745</v>
      </c>
    </row>
    <row r="6766" spans="1:1" x14ac:dyDescent="0.3">
      <c r="A6766" t="s">
        <v>2746</v>
      </c>
    </row>
    <row r="6767" spans="1:1" x14ac:dyDescent="0.3">
      <c r="A6767" t="s">
        <v>1153</v>
      </c>
    </row>
    <row r="6768" spans="1:1" x14ac:dyDescent="0.3">
      <c r="A6768" t="s">
        <v>110</v>
      </c>
    </row>
    <row r="6769" spans="1:1" x14ac:dyDescent="0.3">
      <c r="A6769" t="s">
        <v>1154</v>
      </c>
    </row>
    <row r="6770" spans="1:1" x14ac:dyDescent="0.3">
      <c r="A6770" t="s">
        <v>2747</v>
      </c>
    </row>
    <row r="6771" spans="1:1" x14ac:dyDescent="0.3">
      <c r="A6771" t="s">
        <v>51</v>
      </c>
    </row>
    <row r="6772" spans="1:1" x14ac:dyDescent="0.3">
      <c r="A6772" t="s">
        <v>52</v>
      </c>
    </row>
    <row r="6773" spans="1:1" x14ac:dyDescent="0.3">
      <c r="A6773" t="s">
        <v>79</v>
      </c>
    </row>
    <row r="6774" spans="1:1" x14ac:dyDescent="0.3">
      <c r="A6774" t="s">
        <v>98</v>
      </c>
    </row>
    <row r="6775" spans="1:1" x14ac:dyDescent="0.3">
      <c r="A6775" t="s">
        <v>13</v>
      </c>
    </row>
    <row r="6776" spans="1:1" x14ac:dyDescent="0.3">
      <c r="A6776" t="s">
        <v>105</v>
      </c>
    </row>
    <row r="6777" spans="1:1" x14ac:dyDescent="0.3">
      <c r="A6777" t="s">
        <v>2748</v>
      </c>
    </row>
    <row r="6778" spans="1:1" x14ac:dyDescent="0.3">
      <c r="A6778" t="s">
        <v>1157</v>
      </c>
    </row>
    <row r="6779" spans="1:1" x14ac:dyDescent="0.3">
      <c r="A6779" t="s">
        <v>2749</v>
      </c>
    </row>
    <row r="6780" spans="1:1" x14ac:dyDescent="0.3">
      <c r="A6780" t="s">
        <v>12</v>
      </c>
    </row>
    <row r="6781" spans="1:1" x14ac:dyDescent="0.3">
      <c r="A6781" t="s">
        <v>13</v>
      </c>
    </row>
    <row r="6782" spans="1:1" x14ac:dyDescent="0.3">
      <c r="A6782" t="s">
        <v>106</v>
      </c>
    </row>
    <row r="6783" spans="1:1" x14ac:dyDescent="0.3">
      <c r="A6783" t="s">
        <v>2750</v>
      </c>
    </row>
    <row r="6784" spans="1:1" x14ac:dyDescent="0.3">
      <c r="A6784" t="s">
        <v>1157</v>
      </c>
    </row>
    <row r="6785" spans="1:1" x14ac:dyDescent="0.3">
      <c r="A6785" t="s">
        <v>2751</v>
      </c>
    </row>
    <row r="6786" spans="1:1" x14ac:dyDescent="0.3">
      <c r="A6786" t="s">
        <v>12</v>
      </c>
    </row>
    <row r="6787" spans="1:1" x14ac:dyDescent="0.3">
      <c r="A6787" t="s">
        <v>40</v>
      </c>
    </row>
    <row r="6789" spans="1:1" x14ac:dyDescent="0.3">
      <c r="A6789" t="s">
        <v>12</v>
      </c>
    </row>
    <row r="6790" spans="1:1" x14ac:dyDescent="0.3">
      <c r="A6790" t="s">
        <v>13</v>
      </c>
    </row>
    <row r="6791" spans="1:1" x14ac:dyDescent="0.3">
      <c r="A6791" t="s">
        <v>1640</v>
      </c>
    </row>
    <row r="6792" spans="1:1" x14ac:dyDescent="0.3">
      <c r="A6792" t="s">
        <v>2752</v>
      </c>
    </row>
    <row r="6793" spans="1:1" x14ac:dyDescent="0.3">
      <c r="A6793" t="s">
        <v>2753</v>
      </c>
    </row>
    <row r="6794" spans="1:1" x14ac:dyDescent="0.3">
      <c r="A6794" t="s">
        <v>1153</v>
      </c>
    </row>
    <row r="6795" spans="1:1" x14ac:dyDescent="0.3">
      <c r="A6795" t="s">
        <v>110</v>
      </c>
    </row>
    <row r="6796" spans="1:1" x14ac:dyDescent="0.3">
      <c r="A6796" t="s">
        <v>1154</v>
      </c>
    </row>
    <row r="6797" spans="1:1" x14ac:dyDescent="0.3">
      <c r="A6797" t="s">
        <v>2754</v>
      </c>
    </row>
    <row r="6798" spans="1:1" x14ac:dyDescent="0.3">
      <c r="A6798" t="s">
        <v>51</v>
      </c>
    </row>
    <row r="6799" spans="1:1" x14ac:dyDescent="0.3">
      <c r="A6799" t="s">
        <v>52</v>
      </c>
    </row>
    <row r="6800" spans="1:1" x14ac:dyDescent="0.3">
      <c r="A6800" t="s">
        <v>79</v>
      </c>
    </row>
    <row r="6802" spans="1:1" x14ac:dyDescent="0.3">
      <c r="A6802" t="s">
        <v>12</v>
      </c>
    </row>
    <row r="6803" spans="1:1" x14ac:dyDescent="0.3">
      <c r="A6803" t="s">
        <v>13</v>
      </c>
    </row>
    <row r="6804" spans="1:1" x14ac:dyDescent="0.3">
      <c r="A6804" t="s">
        <v>1643</v>
      </c>
    </row>
    <row r="6805" spans="1:1" x14ac:dyDescent="0.3">
      <c r="A6805" t="s">
        <v>2755</v>
      </c>
    </row>
    <row r="6806" spans="1:1" x14ac:dyDescent="0.3">
      <c r="A6806" t="s">
        <v>2756</v>
      </c>
    </row>
    <row r="6807" spans="1:1" x14ac:dyDescent="0.3">
      <c r="A6807" t="s">
        <v>1153</v>
      </c>
    </row>
    <row r="6808" spans="1:1" x14ac:dyDescent="0.3">
      <c r="A6808" t="s">
        <v>110</v>
      </c>
    </row>
    <row r="6809" spans="1:1" x14ac:dyDescent="0.3">
      <c r="A6809" t="s">
        <v>1154</v>
      </c>
    </row>
    <row r="6810" spans="1:1" x14ac:dyDescent="0.3">
      <c r="A6810" t="s">
        <v>2757</v>
      </c>
    </row>
    <row r="6811" spans="1:1" x14ac:dyDescent="0.3">
      <c r="A6811" t="s">
        <v>51</v>
      </c>
    </row>
    <row r="6812" spans="1:1" x14ac:dyDescent="0.3">
      <c r="A6812" t="s">
        <v>52</v>
      </c>
    </row>
    <row r="6813" spans="1:1" x14ac:dyDescent="0.3">
      <c r="A6813" t="s">
        <v>79</v>
      </c>
    </row>
    <row r="6815" spans="1:1" x14ac:dyDescent="0.3">
      <c r="A6815" t="s">
        <v>12</v>
      </c>
    </row>
    <row r="6816" spans="1:1" x14ac:dyDescent="0.3">
      <c r="A6816" t="s">
        <v>13</v>
      </c>
    </row>
    <row r="6817" spans="1:1" x14ac:dyDescent="0.3">
      <c r="A6817" t="s">
        <v>1647</v>
      </c>
    </row>
    <row r="6818" spans="1:1" x14ac:dyDescent="0.3">
      <c r="A6818" t="s">
        <v>2758</v>
      </c>
    </row>
    <row r="6819" spans="1:1" x14ac:dyDescent="0.3">
      <c r="A6819" t="s">
        <v>2759</v>
      </c>
    </row>
    <row r="6820" spans="1:1" x14ac:dyDescent="0.3">
      <c r="A6820" t="s">
        <v>1153</v>
      </c>
    </row>
    <row r="6821" spans="1:1" x14ac:dyDescent="0.3">
      <c r="A6821" t="s">
        <v>110</v>
      </c>
    </row>
    <row r="6822" spans="1:1" x14ac:dyDescent="0.3">
      <c r="A6822" t="s">
        <v>1154</v>
      </c>
    </row>
    <row r="6823" spans="1:1" x14ac:dyDescent="0.3">
      <c r="A6823" t="s">
        <v>2760</v>
      </c>
    </row>
    <row r="6824" spans="1:1" x14ac:dyDescent="0.3">
      <c r="A6824" t="s">
        <v>51</v>
      </c>
    </row>
    <row r="6825" spans="1:1" x14ac:dyDescent="0.3">
      <c r="A6825" t="s">
        <v>52</v>
      </c>
    </row>
    <row r="6826" spans="1:1" x14ac:dyDescent="0.3">
      <c r="A6826" t="s">
        <v>79</v>
      </c>
    </row>
    <row r="6827" spans="1:1" x14ac:dyDescent="0.3">
      <c r="A6827" t="s">
        <v>98</v>
      </c>
    </row>
    <row r="6828" spans="1:1" x14ac:dyDescent="0.3">
      <c r="A6828" t="s">
        <v>13</v>
      </c>
    </row>
    <row r="6829" spans="1:1" x14ac:dyDescent="0.3">
      <c r="A6829" t="s">
        <v>105</v>
      </c>
    </row>
    <row r="6830" spans="1:1" x14ac:dyDescent="0.3">
      <c r="A6830" t="s">
        <v>2761</v>
      </c>
    </row>
    <row r="6831" spans="1:1" x14ac:dyDescent="0.3">
      <c r="A6831" t="s">
        <v>1157</v>
      </c>
    </row>
    <row r="6832" spans="1:1" x14ac:dyDescent="0.3">
      <c r="A6832" t="s">
        <v>2762</v>
      </c>
    </row>
    <row r="6833" spans="1:1" x14ac:dyDescent="0.3">
      <c r="A6833" t="s">
        <v>12</v>
      </c>
    </row>
    <row r="6834" spans="1:1" x14ac:dyDescent="0.3">
      <c r="A6834" t="s">
        <v>13</v>
      </c>
    </row>
    <row r="6835" spans="1:1" x14ac:dyDescent="0.3">
      <c r="A6835" t="s">
        <v>106</v>
      </c>
    </row>
    <row r="6836" spans="1:1" x14ac:dyDescent="0.3">
      <c r="A6836" t="s">
        <v>2763</v>
      </c>
    </row>
    <row r="6837" spans="1:1" x14ac:dyDescent="0.3">
      <c r="A6837" t="s">
        <v>1157</v>
      </c>
    </row>
    <row r="6838" spans="1:1" x14ac:dyDescent="0.3">
      <c r="A6838" t="s">
        <v>2764</v>
      </c>
    </row>
    <row r="6839" spans="1:1" x14ac:dyDescent="0.3">
      <c r="A6839" t="s">
        <v>12</v>
      </c>
    </row>
    <row r="6840" spans="1:1" x14ac:dyDescent="0.3">
      <c r="A6840" t="s">
        <v>40</v>
      </c>
    </row>
    <row r="6842" spans="1:1" x14ac:dyDescent="0.3">
      <c r="A6842" t="s">
        <v>12</v>
      </c>
    </row>
    <row r="6843" spans="1:1" x14ac:dyDescent="0.3">
      <c r="A6843" t="s">
        <v>13</v>
      </c>
    </row>
    <row r="6844" spans="1:1" x14ac:dyDescent="0.3">
      <c r="A6844" t="s">
        <v>1655</v>
      </c>
    </row>
    <row r="6845" spans="1:1" x14ac:dyDescent="0.3">
      <c r="A6845" t="s">
        <v>2765</v>
      </c>
    </row>
    <row r="6846" spans="1:1" x14ac:dyDescent="0.3">
      <c r="A6846" t="s">
        <v>2766</v>
      </c>
    </row>
    <row r="6847" spans="1:1" x14ac:dyDescent="0.3">
      <c r="A6847" t="s">
        <v>1153</v>
      </c>
    </row>
    <row r="6848" spans="1:1" x14ac:dyDescent="0.3">
      <c r="A6848" t="s">
        <v>110</v>
      </c>
    </row>
    <row r="6849" spans="1:1" x14ac:dyDescent="0.3">
      <c r="A6849" t="s">
        <v>1154</v>
      </c>
    </row>
    <row r="6850" spans="1:1" x14ac:dyDescent="0.3">
      <c r="A6850" t="s">
        <v>2767</v>
      </c>
    </row>
    <row r="6851" spans="1:1" x14ac:dyDescent="0.3">
      <c r="A6851" t="s">
        <v>51</v>
      </c>
    </row>
    <row r="6852" spans="1:1" x14ac:dyDescent="0.3">
      <c r="A6852" t="s">
        <v>52</v>
      </c>
    </row>
    <row r="6853" spans="1:1" x14ac:dyDescent="0.3">
      <c r="A6853" t="s">
        <v>79</v>
      </c>
    </row>
    <row r="6855" spans="1:1" x14ac:dyDescent="0.3">
      <c r="A6855" t="s">
        <v>12</v>
      </c>
    </row>
    <row r="6856" spans="1:1" x14ac:dyDescent="0.3">
      <c r="A6856" t="s">
        <v>40</v>
      </c>
    </row>
    <row r="6857" spans="1:1" x14ac:dyDescent="0.3">
      <c r="A6857" t="s">
        <v>12</v>
      </c>
    </row>
    <row r="6858" spans="1:1" x14ac:dyDescent="0.3">
      <c r="A6858" t="s">
        <v>13</v>
      </c>
    </row>
    <row r="6859" spans="1:1" x14ac:dyDescent="0.3">
      <c r="A6859" t="s">
        <v>4432</v>
      </c>
    </row>
    <row r="6860" spans="1:1" x14ac:dyDescent="0.3">
      <c r="A6860" t="s">
        <v>4433</v>
      </c>
    </row>
    <row r="6861" spans="1:1" x14ac:dyDescent="0.3">
      <c r="A6861" t="s">
        <v>39</v>
      </c>
    </row>
    <row r="6862" spans="1:1" x14ac:dyDescent="0.3">
      <c r="A6862" t="s">
        <v>13</v>
      </c>
    </row>
    <row r="6863" spans="1:1" x14ac:dyDescent="0.3">
      <c r="A6863" t="s">
        <v>50</v>
      </c>
    </row>
    <row r="6864" spans="1:1" x14ac:dyDescent="0.3">
      <c r="A6864" t="s">
        <v>4434</v>
      </c>
    </row>
    <row r="6865" spans="1:1" x14ac:dyDescent="0.3">
      <c r="A6865" t="s">
        <v>4435</v>
      </c>
    </row>
    <row r="6866" spans="1:1" x14ac:dyDescent="0.3">
      <c r="A6866" t="s">
        <v>4436</v>
      </c>
    </row>
    <row r="6867" spans="1:1" x14ac:dyDescent="0.3">
      <c r="A6867" t="s">
        <v>110</v>
      </c>
    </row>
    <row r="6868" spans="1:1" x14ac:dyDescent="0.3">
      <c r="A6868" t="s">
        <v>1154</v>
      </c>
    </row>
    <row r="6869" spans="1:1" x14ac:dyDescent="0.3">
      <c r="A6869" t="s">
        <v>4437</v>
      </c>
    </row>
    <row r="6870" spans="1:1" x14ac:dyDescent="0.3">
      <c r="A6870" t="s">
        <v>51</v>
      </c>
    </row>
    <row r="6871" spans="1:1" x14ac:dyDescent="0.3">
      <c r="A6871" t="s">
        <v>52</v>
      </c>
    </row>
    <row r="6872" spans="1:1" x14ac:dyDescent="0.3">
      <c r="A6872" t="s">
        <v>79</v>
      </c>
    </row>
    <row r="6873" spans="1:1" x14ac:dyDescent="0.3">
      <c r="A6873" t="s">
        <v>98</v>
      </c>
    </row>
    <row r="6874" spans="1:1" x14ac:dyDescent="0.3">
      <c r="A6874" t="s">
        <v>13</v>
      </c>
    </row>
    <row r="6875" spans="1:1" x14ac:dyDescent="0.3">
      <c r="A6875" t="s">
        <v>105</v>
      </c>
    </row>
    <row r="6876" spans="1:1" x14ac:dyDescent="0.3">
      <c r="A6876" t="s">
        <v>4438</v>
      </c>
    </row>
    <row r="6877" spans="1:1" x14ac:dyDescent="0.3">
      <c r="A6877" t="s">
        <v>1157</v>
      </c>
    </row>
    <row r="6878" spans="1:1" x14ac:dyDescent="0.3">
      <c r="A6878" t="s">
        <v>4439</v>
      </c>
    </row>
    <row r="6879" spans="1:1" x14ac:dyDescent="0.3">
      <c r="A6879" t="s">
        <v>12</v>
      </c>
    </row>
    <row r="6880" spans="1:1" x14ac:dyDescent="0.3">
      <c r="A6880" t="s">
        <v>13</v>
      </c>
    </row>
    <row r="6881" spans="1:1" x14ac:dyDescent="0.3">
      <c r="A6881" t="s">
        <v>106</v>
      </c>
    </row>
    <row r="6882" spans="1:1" x14ac:dyDescent="0.3">
      <c r="A6882" t="s">
        <v>4440</v>
      </c>
    </row>
    <row r="6883" spans="1:1" x14ac:dyDescent="0.3">
      <c r="A6883" t="s">
        <v>1157</v>
      </c>
    </row>
    <row r="6884" spans="1:1" x14ac:dyDescent="0.3">
      <c r="A6884" t="s">
        <v>4441</v>
      </c>
    </row>
    <row r="6885" spans="1:1" x14ac:dyDescent="0.3">
      <c r="A6885" t="s">
        <v>12</v>
      </c>
    </row>
    <row r="6886" spans="1:1" x14ac:dyDescent="0.3">
      <c r="A6886" t="s">
        <v>40</v>
      </c>
    </row>
    <row r="6888" spans="1:1" x14ac:dyDescent="0.3">
      <c r="A6888" t="s">
        <v>12</v>
      </c>
    </row>
    <row r="6889" spans="1:1" x14ac:dyDescent="0.3">
      <c r="A6889" t="s">
        <v>13</v>
      </c>
    </row>
    <row r="6890" spans="1:1" x14ac:dyDescent="0.3">
      <c r="A6890" t="s">
        <v>53</v>
      </c>
    </row>
    <row r="6891" spans="1:1" x14ac:dyDescent="0.3">
      <c r="A6891" t="s">
        <v>4442</v>
      </c>
    </row>
    <row r="6892" spans="1:1" x14ac:dyDescent="0.3">
      <c r="A6892" t="s">
        <v>4443</v>
      </c>
    </row>
    <row r="6893" spans="1:1" x14ac:dyDescent="0.3">
      <c r="A6893" t="s">
        <v>4436</v>
      </c>
    </row>
    <row r="6894" spans="1:1" x14ac:dyDescent="0.3">
      <c r="A6894" t="s">
        <v>110</v>
      </c>
    </row>
    <row r="6895" spans="1:1" x14ac:dyDescent="0.3">
      <c r="A6895" t="s">
        <v>1154</v>
      </c>
    </row>
    <row r="6896" spans="1:1" x14ac:dyDescent="0.3">
      <c r="A6896" t="s">
        <v>4444</v>
      </c>
    </row>
    <row r="6897" spans="1:1" x14ac:dyDescent="0.3">
      <c r="A6897" t="s">
        <v>51</v>
      </c>
    </row>
    <row r="6898" spans="1:1" x14ac:dyDescent="0.3">
      <c r="A6898" t="s">
        <v>52</v>
      </c>
    </row>
    <row r="6899" spans="1:1" x14ac:dyDescent="0.3">
      <c r="A6899" t="s">
        <v>79</v>
      </c>
    </row>
    <row r="6901" spans="1:1" x14ac:dyDescent="0.3">
      <c r="A6901" t="s">
        <v>12</v>
      </c>
    </row>
    <row r="6902" spans="1:1" x14ac:dyDescent="0.3">
      <c r="A6902" t="s">
        <v>13</v>
      </c>
    </row>
    <row r="6903" spans="1:1" x14ac:dyDescent="0.3">
      <c r="A6903" t="s">
        <v>54</v>
      </c>
    </row>
    <row r="6904" spans="1:1" x14ac:dyDescent="0.3">
      <c r="A6904" t="s">
        <v>4445</v>
      </c>
    </row>
    <row r="6905" spans="1:1" x14ac:dyDescent="0.3">
      <c r="A6905" t="s">
        <v>4446</v>
      </c>
    </row>
    <row r="6906" spans="1:1" x14ac:dyDescent="0.3">
      <c r="A6906" t="s">
        <v>4436</v>
      </c>
    </row>
    <row r="6907" spans="1:1" x14ac:dyDescent="0.3">
      <c r="A6907" t="s">
        <v>110</v>
      </c>
    </row>
    <row r="6908" spans="1:1" x14ac:dyDescent="0.3">
      <c r="A6908" t="s">
        <v>4447</v>
      </c>
    </row>
    <row r="6909" spans="1:1" x14ac:dyDescent="0.3">
      <c r="A6909" t="s">
        <v>4448</v>
      </c>
    </row>
    <row r="6910" spans="1:1" x14ac:dyDescent="0.3">
      <c r="A6910" t="s">
        <v>51</v>
      </c>
    </row>
    <row r="6911" spans="1:1" x14ac:dyDescent="0.3">
      <c r="A6911" t="s">
        <v>52</v>
      </c>
    </row>
    <row r="6912" spans="1:1" x14ac:dyDescent="0.3">
      <c r="A6912" t="s">
        <v>79</v>
      </c>
    </row>
    <row r="6913" spans="1:1" x14ac:dyDescent="0.3">
      <c r="A6913" t="s">
        <v>98</v>
      </c>
    </row>
    <row r="6914" spans="1:1" x14ac:dyDescent="0.3">
      <c r="A6914" t="s">
        <v>13</v>
      </c>
    </row>
    <row r="6915" spans="1:1" x14ac:dyDescent="0.3">
      <c r="A6915" t="s">
        <v>105</v>
      </c>
    </row>
    <row r="6916" spans="1:1" x14ac:dyDescent="0.3">
      <c r="A6916" t="s">
        <v>4449</v>
      </c>
    </row>
    <row r="6917" spans="1:1" x14ac:dyDescent="0.3">
      <c r="A6917" t="s">
        <v>1157</v>
      </c>
    </row>
    <row r="6918" spans="1:1" x14ac:dyDescent="0.3">
      <c r="A6918" t="s">
        <v>4450</v>
      </c>
    </row>
    <row r="6919" spans="1:1" x14ac:dyDescent="0.3">
      <c r="A6919" t="s">
        <v>12</v>
      </c>
    </row>
    <row r="6920" spans="1:1" x14ac:dyDescent="0.3">
      <c r="A6920" t="s">
        <v>13</v>
      </c>
    </row>
    <row r="6921" spans="1:1" x14ac:dyDescent="0.3">
      <c r="A6921" t="s">
        <v>106</v>
      </c>
    </row>
    <row r="6922" spans="1:1" x14ac:dyDescent="0.3">
      <c r="A6922" t="s">
        <v>4451</v>
      </c>
    </row>
    <row r="6923" spans="1:1" x14ac:dyDescent="0.3">
      <c r="A6923" t="s">
        <v>1157</v>
      </c>
    </row>
    <row r="6924" spans="1:1" x14ac:dyDescent="0.3">
      <c r="A6924" t="s">
        <v>4452</v>
      </c>
    </row>
    <row r="6925" spans="1:1" x14ac:dyDescent="0.3">
      <c r="A6925" t="s">
        <v>12</v>
      </c>
    </row>
    <row r="6926" spans="1:1" x14ac:dyDescent="0.3">
      <c r="A6926" t="s">
        <v>40</v>
      </c>
    </row>
    <row r="6928" spans="1:1" x14ac:dyDescent="0.3">
      <c r="A6928" t="s">
        <v>12</v>
      </c>
    </row>
    <row r="6929" spans="1:1" x14ac:dyDescent="0.3">
      <c r="A6929" t="s">
        <v>13</v>
      </c>
    </row>
    <row r="6930" spans="1:1" x14ac:dyDescent="0.3">
      <c r="A6930" t="s">
        <v>107</v>
      </c>
    </row>
    <row r="6931" spans="1:1" x14ac:dyDescent="0.3">
      <c r="A6931" t="s">
        <v>4453</v>
      </c>
    </row>
    <row r="6932" spans="1:1" x14ac:dyDescent="0.3">
      <c r="A6932" t="s">
        <v>4454</v>
      </c>
    </row>
    <row r="6933" spans="1:1" x14ac:dyDescent="0.3">
      <c r="A6933" t="s">
        <v>4436</v>
      </c>
    </row>
    <row r="6934" spans="1:1" x14ac:dyDescent="0.3">
      <c r="A6934" t="s">
        <v>110</v>
      </c>
    </row>
    <row r="6935" spans="1:1" x14ac:dyDescent="0.3">
      <c r="A6935" t="s">
        <v>1154</v>
      </c>
    </row>
    <row r="6936" spans="1:1" x14ac:dyDescent="0.3">
      <c r="A6936" t="s">
        <v>4455</v>
      </c>
    </row>
    <row r="6937" spans="1:1" x14ac:dyDescent="0.3">
      <c r="A6937" t="s">
        <v>51</v>
      </c>
    </row>
    <row r="6938" spans="1:1" x14ac:dyDescent="0.3">
      <c r="A6938" t="s">
        <v>52</v>
      </c>
    </row>
    <row r="6939" spans="1:1" x14ac:dyDescent="0.3">
      <c r="A6939" t="s">
        <v>79</v>
      </c>
    </row>
    <row r="6940" spans="1:1" x14ac:dyDescent="0.3">
      <c r="A6940" t="s">
        <v>98</v>
      </c>
    </row>
    <row r="6941" spans="1:1" x14ac:dyDescent="0.3">
      <c r="A6941" t="s">
        <v>13</v>
      </c>
    </row>
    <row r="6942" spans="1:1" x14ac:dyDescent="0.3">
      <c r="A6942" t="s">
        <v>105</v>
      </c>
    </row>
    <row r="6943" spans="1:1" x14ac:dyDescent="0.3">
      <c r="A6943" t="s">
        <v>4456</v>
      </c>
    </row>
    <row r="6944" spans="1:1" x14ac:dyDescent="0.3">
      <c r="A6944" t="s">
        <v>1157</v>
      </c>
    </row>
    <row r="6945" spans="1:1" x14ac:dyDescent="0.3">
      <c r="A6945" t="s">
        <v>4457</v>
      </c>
    </row>
    <row r="6946" spans="1:1" x14ac:dyDescent="0.3">
      <c r="A6946" t="s">
        <v>12</v>
      </c>
    </row>
    <row r="6947" spans="1:1" x14ac:dyDescent="0.3">
      <c r="A6947" t="s">
        <v>13</v>
      </c>
    </row>
    <row r="6948" spans="1:1" x14ac:dyDescent="0.3">
      <c r="A6948" t="s">
        <v>106</v>
      </c>
    </row>
    <row r="6949" spans="1:1" x14ac:dyDescent="0.3">
      <c r="A6949" t="s">
        <v>4458</v>
      </c>
    </row>
    <row r="6950" spans="1:1" x14ac:dyDescent="0.3">
      <c r="A6950" t="s">
        <v>1157</v>
      </c>
    </row>
    <row r="6951" spans="1:1" x14ac:dyDescent="0.3">
      <c r="A6951" t="s">
        <v>4459</v>
      </c>
    </row>
    <row r="6952" spans="1:1" x14ac:dyDescent="0.3">
      <c r="A6952" t="s">
        <v>12</v>
      </c>
    </row>
    <row r="6953" spans="1:1" x14ac:dyDescent="0.3">
      <c r="A6953" t="s">
        <v>40</v>
      </c>
    </row>
    <row r="6955" spans="1:1" x14ac:dyDescent="0.3">
      <c r="A6955" t="s">
        <v>12</v>
      </c>
    </row>
    <row r="6956" spans="1:1" x14ac:dyDescent="0.3">
      <c r="A6956" t="s">
        <v>13</v>
      </c>
    </row>
    <row r="6957" spans="1:1" x14ac:dyDescent="0.3">
      <c r="A6957" t="s">
        <v>108</v>
      </c>
    </row>
    <row r="6958" spans="1:1" x14ac:dyDescent="0.3">
      <c r="A6958" t="s">
        <v>4460</v>
      </c>
    </row>
    <row r="6959" spans="1:1" x14ac:dyDescent="0.3">
      <c r="A6959" t="s">
        <v>4461</v>
      </c>
    </row>
    <row r="6960" spans="1:1" x14ac:dyDescent="0.3">
      <c r="A6960" t="s">
        <v>4436</v>
      </c>
    </row>
    <row r="6961" spans="1:1" x14ac:dyDescent="0.3">
      <c r="A6961" t="s">
        <v>110</v>
      </c>
    </row>
    <row r="6962" spans="1:1" x14ac:dyDescent="0.3">
      <c r="A6962" t="s">
        <v>1154</v>
      </c>
    </row>
    <row r="6963" spans="1:1" x14ac:dyDescent="0.3">
      <c r="A6963" t="s">
        <v>4462</v>
      </c>
    </row>
    <row r="6964" spans="1:1" x14ac:dyDescent="0.3">
      <c r="A6964" t="s">
        <v>51</v>
      </c>
    </row>
    <row r="6965" spans="1:1" x14ac:dyDescent="0.3">
      <c r="A6965" t="s">
        <v>52</v>
      </c>
    </row>
    <row r="6966" spans="1:1" x14ac:dyDescent="0.3">
      <c r="A6966" t="s">
        <v>79</v>
      </c>
    </row>
    <row r="6967" spans="1:1" x14ac:dyDescent="0.3">
      <c r="A6967" t="s">
        <v>98</v>
      </c>
    </row>
    <row r="6968" spans="1:1" x14ac:dyDescent="0.3">
      <c r="A6968" t="s">
        <v>13</v>
      </c>
    </row>
    <row r="6969" spans="1:1" x14ac:dyDescent="0.3">
      <c r="A6969" t="s">
        <v>105</v>
      </c>
    </row>
    <row r="6970" spans="1:1" x14ac:dyDescent="0.3">
      <c r="A6970" t="s">
        <v>4463</v>
      </c>
    </row>
    <row r="6971" spans="1:1" x14ac:dyDescent="0.3">
      <c r="A6971" t="s">
        <v>1157</v>
      </c>
    </row>
    <row r="6972" spans="1:1" x14ac:dyDescent="0.3">
      <c r="A6972" t="s">
        <v>4464</v>
      </c>
    </row>
    <row r="6973" spans="1:1" x14ac:dyDescent="0.3">
      <c r="A6973" t="s">
        <v>12</v>
      </c>
    </row>
    <row r="6974" spans="1:1" x14ac:dyDescent="0.3">
      <c r="A6974" t="s">
        <v>13</v>
      </c>
    </row>
    <row r="6975" spans="1:1" x14ac:dyDescent="0.3">
      <c r="A6975" t="s">
        <v>106</v>
      </c>
    </row>
    <row r="6976" spans="1:1" x14ac:dyDescent="0.3">
      <c r="A6976" t="s">
        <v>4465</v>
      </c>
    </row>
    <row r="6977" spans="1:1" x14ac:dyDescent="0.3">
      <c r="A6977" t="s">
        <v>1157</v>
      </c>
    </row>
    <row r="6978" spans="1:1" x14ac:dyDescent="0.3">
      <c r="A6978" t="s">
        <v>4466</v>
      </c>
    </row>
    <row r="6979" spans="1:1" x14ac:dyDescent="0.3">
      <c r="A6979" t="s">
        <v>12</v>
      </c>
    </row>
    <row r="6980" spans="1:1" x14ac:dyDescent="0.3">
      <c r="A6980" t="s">
        <v>40</v>
      </c>
    </row>
    <row r="6982" spans="1:1" x14ac:dyDescent="0.3">
      <c r="A6982" t="s">
        <v>12</v>
      </c>
    </row>
    <row r="6983" spans="1:1" x14ac:dyDescent="0.3">
      <c r="A6983" t="s">
        <v>13</v>
      </c>
    </row>
    <row r="6984" spans="1:1" x14ac:dyDescent="0.3">
      <c r="A6984" t="s">
        <v>1184</v>
      </c>
    </row>
    <row r="6985" spans="1:1" x14ac:dyDescent="0.3">
      <c r="A6985" t="s">
        <v>4467</v>
      </c>
    </row>
    <row r="6986" spans="1:1" x14ac:dyDescent="0.3">
      <c r="A6986" t="s">
        <v>4468</v>
      </c>
    </row>
    <row r="6987" spans="1:1" x14ac:dyDescent="0.3">
      <c r="A6987" t="s">
        <v>4436</v>
      </c>
    </row>
    <row r="6988" spans="1:1" x14ac:dyDescent="0.3">
      <c r="A6988" t="s">
        <v>110</v>
      </c>
    </row>
    <row r="6989" spans="1:1" x14ac:dyDescent="0.3">
      <c r="A6989" t="s">
        <v>1154</v>
      </c>
    </row>
    <row r="6990" spans="1:1" x14ac:dyDescent="0.3">
      <c r="A6990" t="s">
        <v>4469</v>
      </c>
    </row>
    <row r="6991" spans="1:1" x14ac:dyDescent="0.3">
      <c r="A6991" t="s">
        <v>51</v>
      </c>
    </row>
    <row r="6992" spans="1:1" x14ac:dyDescent="0.3">
      <c r="A6992" t="s">
        <v>52</v>
      </c>
    </row>
    <row r="6993" spans="1:1" x14ac:dyDescent="0.3">
      <c r="A6993" t="s">
        <v>79</v>
      </c>
    </row>
    <row r="6994" spans="1:1" x14ac:dyDescent="0.3">
      <c r="A6994" t="s">
        <v>98</v>
      </c>
    </row>
    <row r="6995" spans="1:1" x14ac:dyDescent="0.3">
      <c r="A6995" t="s">
        <v>13</v>
      </c>
    </row>
    <row r="6996" spans="1:1" x14ac:dyDescent="0.3">
      <c r="A6996" t="s">
        <v>105</v>
      </c>
    </row>
    <row r="6997" spans="1:1" x14ac:dyDescent="0.3">
      <c r="A6997" t="s">
        <v>4470</v>
      </c>
    </row>
    <row r="6998" spans="1:1" x14ac:dyDescent="0.3">
      <c r="A6998" t="s">
        <v>1157</v>
      </c>
    </row>
    <row r="6999" spans="1:1" x14ac:dyDescent="0.3">
      <c r="A6999" t="s">
        <v>4471</v>
      </c>
    </row>
    <row r="7000" spans="1:1" x14ac:dyDescent="0.3">
      <c r="A7000" t="s">
        <v>12</v>
      </c>
    </row>
    <row r="7001" spans="1:1" x14ac:dyDescent="0.3">
      <c r="A7001" t="s">
        <v>13</v>
      </c>
    </row>
    <row r="7002" spans="1:1" x14ac:dyDescent="0.3">
      <c r="A7002" t="s">
        <v>106</v>
      </c>
    </row>
    <row r="7003" spans="1:1" x14ac:dyDescent="0.3">
      <c r="A7003" t="s">
        <v>4472</v>
      </c>
    </row>
    <row r="7004" spans="1:1" x14ac:dyDescent="0.3">
      <c r="A7004" t="s">
        <v>1157</v>
      </c>
    </row>
    <row r="7005" spans="1:1" x14ac:dyDescent="0.3">
      <c r="A7005" t="s">
        <v>4473</v>
      </c>
    </row>
    <row r="7006" spans="1:1" x14ac:dyDescent="0.3">
      <c r="A7006" t="s">
        <v>12</v>
      </c>
    </row>
    <row r="7007" spans="1:1" x14ac:dyDescent="0.3">
      <c r="A7007" t="s">
        <v>40</v>
      </c>
    </row>
    <row r="7009" spans="1:1" x14ac:dyDescent="0.3">
      <c r="A7009" t="s">
        <v>12</v>
      </c>
    </row>
    <row r="7010" spans="1:1" x14ac:dyDescent="0.3">
      <c r="A7010" t="s">
        <v>13</v>
      </c>
    </row>
    <row r="7011" spans="1:1" x14ac:dyDescent="0.3">
      <c r="A7011" t="s">
        <v>1187</v>
      </c>
    </row>
    <row r="7012" spans="1:1" x14ac:dyDescent="0.3">
      <c r="A7012" t="s">
        <v>4474</v>
      </c>
    </row>
    <row r="7013" spans="1:1" x14ac:dyDescent="0.3">
      <c r="A7013" t="s">
        <v>4475</v>
      </c>
    </row>
    <row r="7014" spans="1:1" x14ac:dyDescent="0.3">
      <c r="A7014" t="s">
        <v>4436</v>
      </c>
    </row>
    <row r="7015" spans="1:1" x14ac:dyDescent="0.3">
      <c r="A7015" t="s">
        <v>110</v>
      </c>
    </row>
    <row r="7016" spans="1:1" x14ac:dyDescent="0.3">
      <c r="A7016" t="s">
        <v>4476</v>
      </c>
    </row>
    <row r="7017" spans="1:1" x14ac:dyDescent="0.3">
      <c r="A7017" t="s">
        <v>4477</v>
      </c>
    </row>
    <row r="7018" spans="1:1" x14ac:dyDescent="0.3">
      <c r="A7018" t="s">
        <v>51</v>
      </c>
    </row>
    <row r="7019" spans="1:1" x14ac:dyDescent="0.3">
      <c r="A7019" t="s">
        <v>52</v>
      </c>
    </row>
    <row r="7020" spans="1:1" x14ac:dyDescent="0.3">
      <c r="A7020" t="s">
        <v>79</v>
      </c>
    </row>
    <row r="7022" spans="1:1" x14ac:dyDescent="0.3">
      <c r="A7022" t="s">
        <v>12</v>
      </c>
    </row>
    <row r="7023" spans="1:1" x14ac:dyDescent="0.3">
      <c r="A7023" t="s">
        <v>13</v>
      </c>
    </row>
    <row r="7024" spans="1:1" x14ac:dyDescent="0.3">
      <c r="A7024" t="s">
        <v>1190</v>
      </c>
    </row>
    <row r="7025" spans="1:1" x14ac:dyDescent="0.3">
      <c r="A7025" t="s">
        <v>4460</v>
      </c>
    </row>
    <row r="7026" spans="1:1" x14ac:dyDescent="0.3">
      <c r="A7026" t="s">
        <v>4478</v>
      </c>
    </row>
    <row r="7027" spans="1:1" x14ac:dyDescent="0.3">
      <c r="A7027" t="s">
        <v>4436</v>
      </c>
    </row>
    <row r="7028" spans="1:1" x14ac:dyDescent="0.3">
      <c r="A7028" t="s">
        <v>110</v>
      </c>
    </row>
    <row r="7029" spans="1:1" x14ac:dyDescent="0.3">
      <c r="A7029" t="s">
        <v>1154</v>
      </c>
    </row>
    <row r="7030" spans="1:1" x14ac:dyDescent="0.3">
      <c r="A7030" t="s">
        <v>4479</v>
      </c>
    </row>
    <row r="7031" spans="1:1" x14ac:dyDescent="0.3">
      <c r="A7031" t="s">
        <v>51</v>
      </c>
    </row>
    <row r="7032" spans="1:1" x14ac:dyDescent="0.3">
      <c r="A7032" t="s">
        <v>52</v>
      </c>
    </row>
    <row r="7033" spans="1:1" x14ac:dyDescent="0.3">
      <c r="A7033" t="s">
        <v>79</v>
      </c>
    </row>
    <row r="7034" spans="1:1" x14ac:dyDescent="0.3">
      <c r="A7034" t="s">
        <v>98</v>
      </c>
    </row>
    <row r="7035" spans="1:1" x14ac:dyDescent="0.3">
      <c r="A7035" t="s">
        <v>13</v>
      </c>
    </row>
    <row r="7036" spans="1:1" x14ac:dyDescent="0.3">
      <c r="A7036" t="s">
        <v>105</v>
      </c>
    </row>
    <row r="7037" spans="1:1" x14ac:dyDescent="0.3">
      <c r="A7037" t="s">
        <v>4480</v>
      </c>
    </row>
    <row r="7038" spans="1:1" x14ac:dyDescent="0.3">
      <c r="A7038" t="s">
        <v>1157</v>
      </c>
    </row>
    <row r="7039" spans="1:1" x14ac:dyDescent="0.3">
      <c r="A7039" t="s">
        <v>4464</v>
      </c>
    </row>
    <row r="7040" spans="1:1" x14ac:dyDescent="0.3">
      <c r="A7040" t="s">
        <v>12</v>
      </c>
    </row>
    <row r="7041" spans="1:1" x14ac:dyDescent="0.3">
      <c r="A7041" t="s">
        <v>13</v>
      </c>
    </row>
    <row r="7042" spans="1:1" x14ac:dyDescent="0.3">
      <c r="A7042" t="s">
        <v>106</v>
      </c>
    </row>
    <row r="7043" spans="1:1" x14ac:dyDescent="0.3">
      <c r="A7043" t="s">
        <v>4481</v>
      </c>
    </row>
    <row r="7044" spans="1:1" x14ac:dyDescent="0.3">
      <c r="A7044" t="s">
        <v>1157</v>
      </c>
    </row>
    <row r="7045" spans="1:1" x14ac:dyDescent="0.3">
      <c r="A7045" t="s">
        <v>4466</v>
      </c>
    </row>
    <row r="7046" spans="1:1" x14ac:dyDescent="0.3">
      <c r="A7046" t="s">
        <v>12</v>
      </c>
    </row>
    <row r="7047" spans="1:1" x14ac:dyDescent="0.3">
      <c r="A7047" t="s">
        <v>40</v>
      </c>
    </row>
    <row r="7049" spans="1:1" x14ac:dyDescent="0.3">
      <c r="A7049" t="s">
        <v>12</v>
      </c>
    </row>
    <row r="7050" spans="1:1" x14ac:dyDescent="0.3">
      <c r="A7050" t="s">
        <v>13</v>
      </c>
    </row>
    <row r="7051" spans="1:1" x14ac:dyDescent="0.3">
      <c r="A7051" t="s">
        <v>1193</v>
      </c>
    </row>
    <row r="7052" spans="1:1" x14ac:dyDescent="0.3">
      <c r="A7052" t="s">
        <v>4482</v>
      </c>
    </row>
    <row r="7053" spans="1:1" x14ac:dyDescent="0.3">
      <c r="A7053" t="s">
        <v>4483</v>
      </c>
    </row>
    <row r="7054" spans="1:1" x14ac:dyDescent="0.3">
      <c r="A7054" t="s">
        <v>4436</v>
      </c>
    </row>
    <row r="7055" spans="1:1" x14ac:dyDescent="0.3">
      <c r="A7055" t="s">
        <v>110</v>
      </c>
    </row>
    <row r="7056" spans="1:1" x14ac:dyDescent="0.3">
      <c r="A7056" t="s">
        <v>4484</v>
      </c>
    </row>
    <row r="7057" spans="1:1" x14ac:dyDescent="0.3">
      <c r="A7057" t="s">
        <v>4485</v>
      </c>
    </row>
    <row r="7058" spans="1:1" x14ac:dyDescent="0.3">
      <c r="A7058" t="s">
        <v>51</v>
      </c>
    </row>
    <row r="7059" spans="1:1" x14ac:dyDescent="0.3">
      <c r="A7059" t="s">
        <v>52</v>
      </c>
    </row>
    <row r="7060" spans="1:1" x14ac:dyDescent="0.3">
      <c r="A7060" t="s">
        <v>79</v>
      </c>
    </row>
    <row r="7062" spans="1:1" x14ac:dyDescent="0.3">
      <c r="A7062" t="s">
        <v>12</v>
      </c>
    </row>
    <row r="7063" spans="1:1" x14ac:dyDescent="0.3">
      <c r="A7063" t="s">
        <v>13</v>
      </c>
    </row>
    <row r="7064" spans="1:1" x14ac:dyDescent="0.3">
      <c r="A7064" t="s">
        <v>1201</v>
      </c>
    </row>
    <row r="7065" spans="1:1" x14ac:dyDescent="0.3">
      <c r="A7065" t="s">
        <v>4486</v>
      </c>
    </row>
    <row r="7066" spans="1:1" x14ac:dyDescent="0.3">
      <c r="A7066" t="s">
        <v>4487</v>
      </c>
    </row>
    <row r="7067" spans="1:1" x14ac:dyDescent="0.3">
      <c r="A7067" t="s">
        <v>4436</v>
      </c>
    </row>
    <row r="7068" spans="1:1" x14ac:dyDescent="0.3">
      <c r="A7068" t="s">
        <v>110</v>
      </c>
    </row>
    <row r="7069" spans="1:1" x14ac:dyDescent="0.3">
      <c r="A7069" t="s">
        <v>1154</v>
      </c>
    </row>
    <row r="7070" spans="1:1" x14ac:dyDescent="0.3">
      <c r="A7070" t="s">
        <v>4488</v>
      </c>
    </row>
    <row r="7071" spans="1:1" x14ac:dyDescent="0.3">
      <c r="A7071" t="s">
        <v>51</v>
      </c>
    </row>
    <row r="7072" spans="1:1" x14ac:dyDescent="0.3">
      <c r="A7072" t="s">
        <v>52</v>
      </c>
    </row>
    <row r="7073" spans="1:1" x14ac:dyDescent="0.3">
      <c r="A7073" t="s">
        <v>79</v>
      </c>
    </row>
    <row r="7074" spans="1:1" x14ac:dyDescent="0.3">
      <c r="A7074" t="s">
        <v>98</v>
      </c>
    </row>
    <row r="7075" spans="1:1" x14ac:dyDescent="0.3">
      <c r="A7075" t="s">
        <v>13</v>
      </c>
    </row>
    <row r="7076" spans="1:1" x14ac:dyDescent="0.3">
      <c r="A7076" t="s">
        <v>105</v>
      </c>
    </row>
    <row r="7077" spans="1:1" x14ac:dyDescent="0.3">
      <c r="A7077" t="s">
        <v>4489</v>
      </c>
    </row>
    <row r="7078" spans="1:1" x14ac:dyDescent="0.3">
      <c r="A7078" t="s">
        <v>1157</v>
      </c>
    </row>
    <row r="7079" spans="1:1" x14ac:dyDescent="0.3">
      <c r="A7079" t="s">
        <v>4490</v>
      </c>
    </row>
    <row r="7080" spans="1:1" x14ac:dyDescent="0.3">
      <c r="A7080" t="s">
        <v>12</v>
      </c>
    </row>
    <row r="7081" spans="1:1" x14ac:dyDescent="0.3">
      <c r="A7081" t="s">
        <v>13</v>
      </c>
    </row>
    <row r="7082" spans="1:1" x14ac:dyDescent="0.3">
      <c r="A7082" t="s">
        <v>106</v>
      </c>
    </row>
    <row r="7083" spans="1:1" x14ac:dyDescent="0.3">
      <c r="A7083" t="s">
        <v>4491</v>
      </c>
    </row>
    <row r="7084" spans="1:1" x14ac:dyDescent="0.3">
      <c r="A7084" t="s">
        <v>1157</v>
      </c>
    </row>
    <row r="7085" spans="1:1" x14ac:dyDescent="0.3">
      <c r="A7085" t="s">
        <v>4492</v>
      </c>
    </row>
    <row r="7086" spans="1:1" x14ac:dyDescent="0.3">
      <c r="A7086" t="s">
        <v>12</v>
      </c>
    </row>
    <row r="7087" spans="1:1" x14ac:dyDescent="0.3">
      <c r="A7087" t="s">
        <v>40</v>
      </c>
    </row>
    <row r="7089" spans="1:1" x14ac:dyDescent="0.3">
      <c r="A7089" t="s">
        <v>12</v>
      </c>
    </row>
    <row r="7090" spans="1:1" x14ac:dyDescent="0.3">
      <c r="A7090" t="s">
        <v>13</v>
      </c>
    </row>
    <row r="7091" spans="1:1" x14ac:dyDescent="0.3">
      <c r="A7091" t="s">
        <v>1204</v>
      </c>
    </row>
    <row r="7092" spans="1:1" x14ac:dyDescent="0.3">
      <c r="A7092" t="s">
        <v>4493</v>
      </c>
    </row>
    <row r="7093" spans="1:1" x14ac:dyDescent="0.3">
      <c r="A7093" t="s">
        <v>4494</v>
      </c>
    </row>
    <row r="7094" spans="1:1" x14ac:dyDescent="0.3">
      <c r="A7094" t="s">
        <v>4436</v>
      </c>
    </row>
    <row r="7095" spans="1:1" x14ac:dyDescent="0.3">
      <c r="A7095" t="s">
        <v>110</v>
      </c>
    </row>
    <row r="7096" spans="1:1" x14ac:dyDescent="0.3">
      <c r="A7096" t="s">
        <v>1154</v>
      </c>
    </row>
    <row r="7097" spans="1:1" x14ac:dyDescent="0.3">
      <c r="A7097" t="s">
        <v>4495</v>
      </c>
    </row>
    <row r="7098" spans="1:1" x14ac:dyDescent="0.3">
      <c r="A7098" t="s">
        <v>51</v>
      </c>
    </row>
    <row r="7099" spans="1:1" x14ac:dyDescent="0.3">
      <c r="A7099" t="s">
        <v>52</v>
      </c>
    </row>
    <row r="7100" spans="1:1" x14ac:dyDescent="0.3">
      <c r="A7100" t="s">
        <v>79</v>
      </c>
    </row>
    <row r="7101" spans="1:1" x14ac:dyDescent="0.3">
      <c r="A7101" t="s">
        <v>98</v>
      </c>
    </row>
    <row r="7102" spans="1:1" x14ac:dyDescent="0.3">
      <c r="A7102" t="s">
        <v>13</v>
      </c>
    </row>
    <row r="7103" spans="1:1" x14ac:dyDescent="0.3">
      <c r="A7103" t="s">
        <v>105</v>
      </c>
    </row>
    <row r="7104" spans="1:1" x14ac:dyDescent="0.3">
      <c r="A7104" t="s">
        <v>4496</v>
      </c>
    </row>
    <row r="7105" spans="1:1" x14ac:dyDescent="0.3">
      <c r="A7105" t="s">
        <v>1157</v>
      </c>
    </row>
    <row r="7106" spans="1:1" x14ac:dyDescent="0.3">
      <c r="A7106" t="s">
        <v>4471</v>
      </c>
    </row>
    <row r="7107" spans="1:1" x14ac:dyDescent="0.3">
      <c r="A7107" t="s">
        <v>12</v>
      </c>
    </row>
    <row r="7108" spans="1:1" x14ac:dyDescent="0.3">
      <c r="A7108" t="s">
        <v>13</v>
      </c>
    </row>
    <row r="7109" spans="1:1" x14ac:dyDescent="0.3">
      <c r="A7109" t="s">
        <v>106</v>
      </c>
    </row>
    <row r="7110" spans="1:1" x14ac:dyDescent="0.3">
      <c r="A7110" t="s">
        <v>4497</v>
      </c>
    </row>
    <row r="7111" spans="1:1" x14ac:dyDescent="0.3">
      <c r="A7111" t="s">
        <v>1157</v>
      </c>
    </row>
    <row r="7112" spans="1:1" x14ac:dyDescent="0.3">
      <c r="A7112" t="s">
        <v>4439</v>
      </c>
    </row>
    <row r="7113" spans="1:1" x14ac:dyDescent="0.3">
      <c r="A7113" t="s">
        <v>12</v>
      </c>
    </row>
    <row r="7114" spans="1:1" x14ac:dyDescent="0.3">
      <c r="A7114" t="s">
        <v>40</v>
      </c>
    </row>
    <row r="7116" spans="1:1" x14ac:dyDescent="0.3">
      <c r="A7116" t="s">
        <v>12</v>
      </c>
    </row>
    <row r="7117" spans="1:1" x14ac:dyDescent="0.3">
      <c r="A7117" t="s">
        <v>13</v>
      </c>
    </row>
    <row r="7118" spans="1:1" x14ac:dyDescent="0.3">
      <c r="A7118" t="s">
        <v>1212</v>
      </c>
    </row>
    <row r="7119" spans="1:1" x14ac:dyDescent="0.3">
      <c r="A7119" t="s">
        <v>4498</v>
      </c>
    </row>
    <row r="7120" spans="1:1" x14ac:dyDescent="0.3">
      <c r="A7120" t="s">
        <v>4499</v>
      </c>
    </row>
    <row r="7121" spans="1:1" x14ac:dyDescent="0.3">
      <c r="A7121" t="s">
        <v>4436</v>
      </c>
    </row>
    <row r="7122" spans="1:1" x14ac:dyDescent="0.3">
      <c r="A7122" t="s">
        <v>110</v>
      </c>
    </row>
    <row r="7123" spans="1:1" x14ac:dyDescent="0.3">
      <c r="A7123" t="s">
        <v>1154</v>
      </c>
    </row>
    <row r="7124" spans="1:1" x14ac:dyDescent="0.3">
      <c r="A7124" t="s">
        <v>4500</v>
      </c>
    </row>
    <row r="7125" spans="1:1" x14ac:dyDescent="0.3">
      <c r="A7125" t="s">
        <v>51</v>
      </c>
    </row>
    <row r="7126" spans="1:1" x14ac:dyDescent="0.3">
      <c r="A7126" t="s">
        <v>52</v>
      </c>
    </row>
    <row r="7127" spans="1:1" x14ac:dyDescent="0.3">
      <c r="A7127" t="s">
        <v>79</v>
      </c>
    </row>
    <row r="7128" spans="1:1" x14ac:dyDescent="0.3">
      <c r="A7128" t="s">
        <v>98</v>
      </c>
    </row>
    <row r="7129" spans="1:1" x14ac:dyDescent="0.3">
      <c r="A7129" t="s">
        <v>13</v>
      </c>
    </row>
    <row r="7130" spans="1:1" x14ac:dyDescent="0.3">
      <c r="A7130" t="s">
        <v>105</v>
      </c>
    </row>
    <row r="7131" spans="1:1" x14ac:dyDescent="0.3">
      <c r="A7131" t="s">
        <v>4501</v>
      </c>
    </row>
    <row r="7132" spans="1:1" x14ac:dyDescent="0.3">
      <c r="A7132" t="s">
        <v>1157</v>
      </c>
    </row>
    <row r="7133" spans="1:1" x14ac:dyDescent="0.3">
      <c r="A7133" t="s">
        <v>4502</v>
      </c>
    </row>
    <row r="7134" spans="1:1" x14ac:dyDescent="0.3">
      <c r="A7134" t="s">
        <v>12</v>
      </c>
    </row>
    <row r="7135" spans="1:1" x14ac:dyDescent="0.3">
      <c r="A7135" t="s">
        <v>13</v>
      </c>
    </row>
    <row r="7136" spans="1:1" x14ac:dyDescent="0.3">
      <c r="A7136" t="s">
        <v>106</v>
      </c>
    </row>
    <row r="7137" spans="1:1" x14ac:dyDescent="0.3">
      <c r="A7137" t="s">
        <v>4503</v>
      </c>
    </row>
    <row r="7138" spans="1:1" x14ac:dyDescent="0.3">
      <c r="A7138" t="s">
        <v>1157</v>
      </c>
    </row>
    <row r="7139" spans="1:1" x14ac:dyDescent="0.3">
      <c r="A7139" t="s">
        <v>4504</v>
      </c>
    </row>
    <row r="7140" spans="1:1" x14ac:dyDescent="0.3">
      <c r="A7140" t="s">
        <v>12</v>
      </c>
    </row>
    <row r="7141" spans="1:1" x14ac:dyDescent="0.3">
      <c r="A7141" t="s">
        <v>40</v>
      </c>
    </row>
    <row r="7143" spans="1:1" x14ac:dyDescent="0.3">
      <c r="A7143" t="s">
        <v>12</v>
      </c>
    </row>
    <row r="7144" spans="1:1" x14ac:dyDescent="0.3">
      <c r="A7144" t="s">
        <v>13</v>
      </c>
    </row>
    <row r="7145" spans="1:1" x14ac:dyDescent="0.3">
      <c r="A7145" t="s">
        <v>1220</v>
      </c>
    </row>
    <row r="7146" spans="1:1" x14ac:dyDescent="0.3">
      <c r="A7146" t="s">
        <v>4505</v>
      </c>
    </row>
    <row r="7147" spans="1:1" x14ac:dyDescent="0.3">
      <c r="A7147" t="s">
        <v>4506</v>
      </c>
    </row>
    <row r="7148" spans="1:1" x14ac:dyDescent="0.3">
      <c r="A7148" t="s">
        <v>4436</v>
      </c>
    </row>
    <row r="7149" spans="1:1" x14ac:dyDescent="0.3">
      <c r="A7149" t="s">
        <v>110</v>
      </c>
    </row>
    <row r="7150" spans="1:1" x14ac:dyDescent="0.3">
      <c r="A7150" t="s">
        <v>1154</v>
      </c>
    </row>
    <row r="7151" spans="1:1" x14ac:dyDescent="0.3">
      <c r="A7151" t="s">
        <v>4507</v>
      </c>
    </row>
    <row r="7152" spans="1:1" x14ac:dyDescent="0.3">
      <c r="A7152" t="s">
        <v>51</v>
      </c>
    </row>
    <row r="7153" spans="1:1" x14ac:dyDescent="0.3">
      <c r="A7153" t="s">
        <v>52</v>
      </c>
    </row>
    <row r="7154" spans="1:1" x14ac:dyDescent="0.3">
      <c r="A7154" t="s">
        <v>79</v>
      </c>
    </row>
    <row r="7155" spans="1:1" x14ac:dyDescent="0.3">
      <c r="A7155" t="s">
        <v>98</v>
      </c>
    </row>
    <row r="7156" spans="1:1" x14ac:dyDescent="0.3">
      <c r="A7156" t="s">
        <v>13</v>
      </c>
    </row>
    <row r="7157" spans="1:1" x14ac:dyDescent="0.3">
      <c r="A7157" t="s">
        <v>105</v>
      </c>
    </row>
    <row r="7158" spans="1:1" x14ac:dyDescent="0.3">
      <c r="A7158" t="s">
        <v>4508</v>
      </c>
    </row>
    <row r="7159" spans="1:1" x14ac:dyDescent="0.3">
      <c r="A7159" t="s">
        <v>1157</v>
      </c>
    </row>
    <row r="7160" spans="1:1" x14ac:dyDescent="0.3">
      <c r="A7160" t="s">
        <v>4509</v>
      </c>
    </row>
    <row r="7161" spans="1:1" x14ac:dyDescent="0.3">
      <c r="A7161" t="s">
        <v>12</v>
      </c>
    </row>
    <row r="7162" spans="1:1" x14ac:dyDescent="0.3">
      <c r="A7162" t="s">
        <v>13</v>
      </c>
    </row>
    <row r="7163" spans="1:1" x14ac:dyDescent="0.3">
      <c r="A7163" t="s">
        <v>106</v>
      </c>
    </row>
    <row r="7164" spans="1:1" x14ac:dyDescent="0.3">
      <c r="A7164" t="s">
        <v>4510</v>
      </c>
    </row>
    <row r="7165" spans="1:1" x14ac:dyDescent="0.3">
      <c r="A7165" t="s">
        <v>1157</v>
      </c>
    </row>
    <row r="7166" spans="1:1" x14ac:dyDescent="0.3">
      <c r="A7166" t="s">
        <v>4511</v>
      </c>
    </row>
    <row r="7167" spans="1:1" x14ac:dyDescent="0.3">
      <c r="A7167" t="s">
        <v>12</v>
      </c>
    </row>
    <row r="7168" spans="1:1" x14ac:dyDescent="0.3">
      <c r="A7168" t="s">
        <v>40</v>
      </c>
    </row>
    <row r="7170" spans="1:1" x14ac:dyDescent="0.3">
      <c r="A7170" t="s">
        <v>12</v>
      </c>
    </row>
    <row r="7171" spans="1:1" x14ac:dyDescent="0.3">
      <c r="A7171" t="s">
        <v>13</v>
      </c>
    </row>
    <row r="7172" spans="1:1" x14ac:dyDescent="0.3">
      <c r="A7172" t="s">
        <v>1228</v>
      </c>
    </row>
    <row r="7173" spans="1:1" x14ac:dyDescent="0.3">
      <c r="A7173" t="s">
        <v>4512</v>
      </c>
    </row>
    <row r="7174" spans="1:1" x14ac:dyDescent="0.3">
      <c r="A7174" t="s">
        <v>4513</v>
      </c>
    </row>
    <row r="7175" spans="1:1" x14ac:dyDescent="0.3">
      <c r="A7175" t="s">
        <v>4436</v>
      </c>
    </row>
    <row r="7176" spans="1:1" x14ac:dyDescent="0.3">
      <c r="A7176" t="s">
        <v>110</v>
      </c>
    </row>
    <row r="7177" spans="1:1" x14ac:dyDescent="0.3">
      <c r="A7177" t="s">
        <v>1154</v>
      </c>
    </row>
    <row r="7178" spans="1:1" x14ac:dyDescent="0.3">
      <c r="A7178" t="s">
        <v>4514</v>
      </c>
    </row>
    <row r="7179" spans="1:1" x14ac:dyDescent="0.3">
      <c r="A7179" t="s">
        <v>51</v>
      </c>
    </row>
    <row r="7180" spans="1:1" x14ac:dyDescent="0.3">
      <c r="A7180" t="s">
        <v>52</v>
      </c>
    </row>
    <row r="7181" spans="1:1" x14ac:dyDescent="0.3">
      <c r="A7181" t="s">
        <v>79</v>
      </c>
    </row>
    <row r="7182" spans="1:1" x14ac:dyDescent="0.3">
      <c r="A7182" t="s">
        <v>98</v>
      </c>
    </row>
    <row r="7183" spans="1:1" x14ac:dyDescent="0.3">
      <c r="A7183" t="s">
        <v>13</v>
      </c>
    </row>
    <row r="7184" spans="1:1" x14ac:dyDescent="0.3">
      <c r="A7184" t="s">
        <v>105</v>
      </c>
    </row>
    <row r="7185" spans="1:1" x14ac:dyDescent="0.3">
      <c r="A7185" t="s">
        <v>4515</v>
      </c>
    </row>
    <row r="7186" spans="1:1" x14ac:dyDescent="0.3">
      <c r="A7186" t="s">
        <v>1157</v>
      </c>
    </row>
    <row r="7187" spans="1:1" x14ac:dyDescent="0.3">
      <c r="A7187" t="s">
        <v>4516</v>
      </c>
    </row>
    <row r="7188" spans="1:1" x14ac:dyDescent="0.3">
      <c r="A7188" t="s">
        <v>12</v>
      </c>
    </row>
    <row r="7189" spans="1:1" x14ac:dyDescent="0.3">
      <c r="A7189" t="s">
        <v>13</v>
      </c>
    </row>
    <row r="7190" spans="1:1" x14ac:dyDescent="0.3">
      <c r="A7190" t="s">
        <v>106</v>
      </c>
    </row>
    <row r="7191" spans="1:1" x14ac:dyDescent="0.3">
      <c r="A7191" t="s">
        <v>4517</v>
      </c>
    </row>
    <row r="7192" spans="1:1" x14ac:dyDescent="0.3">
      <c r="A7192" t="s">
        <v>1157</v>
      </c>
    </row>
    <row r="7193" spans="1:1" x14ac:dyDescent="0.3">
      <c r="A7193" t="s">
        <v>4518</v>
      </c>
    </row>
    <row r="7194" spans="1:1" x14ac:dyDescent="0.3">
      <c r="A7194" t="s">
        <v>12</v>
      </c>
    </row>
    <row r="7195" spans="1:1" x14ac:dyDescent="0.3">
      <c r="A7195" t="s">
        <v>40</v>
      </c>
    </row>
    <row r="7197" spans="1:1" x14ac:dyDescent="0.3">
      <c r="A7197" t="s">
        <v>12</v>
      </c>
    </row>
    <row r="7198" spans="1:1" x14ac:dyDescent="0.3">
      <c r="A7198" t="s">
        <v>13</v>
      </c>
    </row>
    <row r="7199" spans="1:1" x14ac:dyDescent="0.3">
      <c r="A7199" t="s">
        <v>1236</v>
      </c>
    </row>
    <row r="7200" spans="1:1" x14ac:dyDescent="0.3">
      <c r="A7200" t="s">
        <v>4519</v>
      </c>
    </row>
    <row r="7201" spans="1:1" x14ac:dyDescent="0.3">
      <c r="A7201" t="s">
        <v>4520</v>
      </c>
    </row>
    <row r="7202" spans="1:1" x14ac:dyDescent="0.3">
      <c r="A7202" t="s">
        <v>4436</v>
      </c>
    </row>
    <row r="7203" spans="1:1" x14ac:dyDescent="0.3">
      <c r="A7203" t="s">
        <v>110</v>
      </c>
    </row>
    <row r="7204" spans="1:1" x14ac:dyDescent="0.3">
      <c r="A7204" t="s">
        <v>1154</v>
      </c>
    </row>
    <row r="7205" spans="1:1" x14ac:dyDescent="0.3">
      <c r="A7205" t="s">
        <v>4521</v>
      </c>
    </row>
    <row r="7206" spans="1:1" x14ac:dyDescent="0.3">
      <c r="A7206" t="s">
        <v>51</v>
      </c>
    </row>
    <row r="7207" spans="1:1" x14ac:dyDescent="0.3">
      <c r="A7207" t="s">
        <v>52</v>
      </c>
    </row>
    <row r="7208" spans="1:1" x14ac:dyDescent="0.3">
      <c r="A7208" t="s">
        <v>79</v>
      </c>
    </row>
    <row r="7209" spans="1:1" x14ac:dyDescent="0.3">
      <c r="A7209" t="s">
        <v>98</v>
      </c>
    </row>
    <row r="7210" spans="1:1" x14ac:dyDescent="0.3">
      <c r="A7210" t="s">
        <v>13</v>
      </c>
    </row>
    <row r="7211" spans="1:1" x14ac:dyDescent="0.3">
      <c r="A7211" t="s">
        <v>105</v>
      </c>
    </row>
    <row r="7212" spans="1:1" x14ac:dyDescent="0.3">
      <c r="A7212" t="s">
        <v>4522</v>
      </c>
    </row>
    <row r="7213" spans="1:1" x14ac:dyDescent="0.3">
      <c r="A7213" t="s">
        <v>1157</v>
      </c>
    </row>
    <row r="7214" spans="1:1" x14ac:dyDescent="0.3">
      <c r="A7214" t="s">
        <v>4523</v>
      </c>
    </row>
    <row r="7215" spans="1:1" x14ac:dyDescent="0.3">
      <c r="A7215" t="s">
        <v>12</v>
      </c>
    </row>
    <row r="7216" spans="1:1" x14ac:dyDescent="0.3">
      <c r="A7216" t="s">
        <v>13</v>
      </c>
    </row>
    <row r="7217" spans="1:1" x14ac:dyDescent="0.3">
      <c r="A7217" t="s">
        <v>106</v>
      </c>
    </row>
    <row r="7218" spans="1:1" x14ac:dyDescent="0.3">
      <c r="A7218" t="s">
        <v>4524</v>
      </c>
    </row>
    <row r="7219" spans="1:1" x14ac:dyDescent="0.3">
      <c r="A7219" t="s">
        <v>1157</v>
      </c>
    </row>
    <row r="7220" spans="1:1" x14ac:dyDescent="0.3">
      <c r="A7220" t="s">
        <v>4525</v>
      </c>
    </row>
    <row r="7221" spans="1:1" x14ac:dyDescent="0.3">
      <c r="A7221" t="s">
        <v>12</v>
      </c>
    </row>
    <row r="7222" spans="1:1" x14ac:dyDescent="0.3">
      <c r="A7222" t="s">
        <v>40</v>
      </c>
    </row>
    <row r="7224" spans="1:1" x14ac:dyDescent="0.3">
      <c r="A7224" t="s">
        <v>12</v>
      </c>
    </row>
    <row r="7225" spans="1:1" x14ac:dyDescent="0.3">
      <c r="A7225" t="s">
        <v>13</v>
      </c>
    </row>
    <row r="7226" spans="1:1" x14ac:dyDescent="0.3">
      <c r="A7226" t="s">
        <v>1244</v>
      </c>
    </row>
    <row r="7227" spans="1:1" x14ac:dyDescent="0.3">
      <c r="A7227" t="s">
        <v>4460</v>
      </c>
    </row>
    <row r="7228" spans="1:1" x14ac:dyDescent="0.3">
      <c r="A7228" t="s">
        <v>4526</v>
      </c>
    </row>
    <row r="7229" spans="1:1" x14ac:dyDescent="0.3">
      <c r="A7229" t="s">
        <v>4436</v>
      </c>
    </row>
    <row r="7230" spans="1:1" x14ac:dyDescent="0.3">
      <c r="A7230" t="s">
        <v>110</v>
      </c>
    </row>
    <row r="7231" spans="1:1" x14ac:dyDescent="0.3">
      <c r="A7231" t="s">
        <v>1154</v>
      </c>
    </row>
    <row r="7232" spans="1:1" x14ac:dyDescent="0.3">
      <c r="A7232" t="s">
        <v>4527</v>
      </c>
    </row>
    <row r="7233" spans="1:1" x14ac:dyDescent="0.3">
      <c r="A7233" t="s">
        <v>51</v>
      </c>
    </row>
    <row r="7234" spans="1:1" x14ac:dyDescent="0.3">
      <c r="A7234" t="s">
        <v>52</v>
      </c>
    </row>
    <row r="7235" spans="1:1" x14ac:dyDescent="0.3">
      <c r="A7235" t="s">
        <v>79</v>
      </c>
    </row>
    <row r="7236" spans="1:1" x14ac:dyDescent="0.3">
      <c r="A7236" t="s">
        <v>98</v>
      </c>
    </row>
    <row r="7237" spans="1:1" x14ac:dyDescent="0.3">
      <c r="A7237" t="s">
        <v>13</v>
      </c>
    </row>
    <row r="7238" spans="1:1" x14ac:dyDescent="0.3">
      <c r="A7238" t="s">
        <v>105</v>
      </c>
    </row>
    <row r="7239" spans="1:1" x14ac:dyDescent="0.3">
      <c r="A7239" t="s">
        <v>4528</v>
      </c>
    </row>
    <row r="7240" spans="1:1" x14ac:dyDescent="0.3">
      <c r="A7240" t="s">
        <v>1157</v>
      </c>
    </row>
    <row r="7241" spans="1:1" x14ac:dyDescent="0.3">
      <c r="A7241" t="s">
        <v>1746</v>
      </c>
    </row>
    <row r="7242" spans="1:1" x14ac:dyDescent="0.3">
      <c r="A7242" t="s">
        <v>12</v>
      </c>
    </row>
    <row r="7243" spans="1:1" x14ac:dyDescent="0.3">
      <c r="A7243" t="s">
        <v>13</v>
      </c>
    </row>
    <row r="7244" spans="1:1" x14ac:dyDescent="0.3">
      <c r="A7244" t="s">
        <v>106</v>
      </c>
    </row>
    <row r="7245" spans="1:1" x14ac:dyDescent="0.3">
      <c r="A7245" t="s">
        <v>4529</v>
      </c>
    </row>
    <row r="7246" spans="1:1" x14ac:dyDescent="0.3">
      <c r="A7246" t="s">
        <v>1157</v>
      </c>
    </row>
    <row r="7247" spans="1:1" x14ac:dyDescent="0.3">
      <c r="A7247" t="s">
        <v>4530</v>
      </c>
    </row>
    <row r="7248" spans="1:1" x14ac:dyDescent="0.3">
      <c r="A7248" t="s">
        <v>12</v>
      </c>
    </row>
    <row r="7249" spans="1:1" x14ac:dyDescent="0.3">
      <c r="A7249" t="s">
        <v>40</v>
      </c>
    </row>
    <row r="7251" spans="1:1" x14ac:dyDescent="0.3">
      <c r="A7251" t="s">
        <v>12</v>
      </c>
    </row>
    <row r="7252" spans="1:1" x14ac:dyDescent="0.3">
      <c r="A7252" t="s">
        <v>13</v>
      </c>
    </row>
    <row r="7253" spans="1:1" x14ac:dyDescent="0.3">
      <c r="A7253" t="s">
        <v>1252</v>
      </c>
    </row>
    <row r="7254" spans="1:1" x14ac:dyDescent="0.3">
      <c r="A7254" t="s">
        <v>4531</v>
      </c>
    </row>
    <row r="7255" spans="1:1" x14ac:dyDescent="0.3">
      <c r="A7255" t="s">
        <v>4532</v>
      </c>
    </row>
    <row r="7256" spans="1:1" x14ac:dyDescent="0.3">
      <c r="A7256" t="s">
        <v>4436</v>
      </c>
    </row>
    <row r="7257" spans="1:1" x14ac:dyDescent="0.3">
      <c r="A7257" t="s">
        <v>110</v>
      </c>
    </row>
    <row r="7258" spans="1:1" x14ac:dyDescent="0.3">
      <c r="A7258" t="s">
        <v>1154</v>
      </c>
    </row>
    <row r="7259" spans="1:1" x14ac:dyDescent="0.3">
      <c r="A7259" t="s">
        <v>4533</v>
      </c>
    </row>
    <row r="7260" spans="1:1" x14ac:dyDescent="0.3">
      <c r="A7260" t="s">
        <v>51</v>
      </c>
    </row>
    <row r="7261" spans="1:1" x14ac:dyDescent="0.3">
      <c r="A7261" t="s">
        <v>52</v>
      </c>
    </row>
    <row r="7262" spans="1:1" x14ac:dyDescent="0.3">
      <c r="A7262" t="s">
        <v>79</v>
      </c>
    </row>
    <row r="7263" spans="1:1" x14ac:dyDescent="0.3">
      <c r="A7263" t="s">
        <v>98</v>
      </c>
    </row>
    <row r="7264" spans="1:1" x14ac:dyDescent="0.3">
      <c r="A7264" t="s">
        <v>13</v>
      </c>
    </row>
    <row r="7265" spans="1:1" x14ac:dyDescent="0.3">
      <c r="A7265" t="s">
        <v>105</v>
      </c>
    </row>
    <row r="7266" spans="1:1" x14ac:dyDescent="0.3">
      <c r="A7266" t="s">
        <v>4534</v>
      </c>
    </row>
    <row r="7267" spans="1:1" x14ac:dyDescent="0.3">
      <c r="A7267" t="s">
        <v>1157</v>
      </c>
    </row>
    <row r="7268" spans="1:1" x14ac:dyDescent="0.3">
      <c r="A7268" t="s">
        <v>4535</v>
      </c>
    </row>
    <row r="7269" spans="1:1" x14ac:dyDescent="0.3">
      <c r="A7269" t="s">
        <v>12</v>
      </c>
    </row>
    <row r="7270" spans="1:1" x14ac:dyDescent="0.3">
      <c r="A7270" t="s">
        <v>13</v>
      </c>
    </row>
    <row r="7271" spans="1:1" x14ac:dyDescent="0.3">
      <c r="A7271" t="s">
        <v>106</v>
      </c>
    </row>
    <row r="7272" spans="1:1" x14ac:dyDescent="0.3">
      <c r="A7272" t="s">
        <v>4536</v>
      </c>
    </row>
    <row r="7273" spans="1:1" x14ac:dyDescent="0.3">
      <c r="A7273" t="s">
        <v>1157</v>
      </c>
    </row>
    <row r="7274" spans="1:1" x14ac:dyDescent="0.3">
      <c r="A7274" t="s">
        <v>4537</v>
      </c>
    </row>
    <row r="7275" spans="1:1" x14ac:dyDescent="0.3">
      <c r="A7275" t="s">
        <v>12</v>
      </c>
    </row>
    <row r="7276" spans="1:1" x14ac:dyDescent="0.3">
      <c r="A7276" t="s">
        <v>40</v>
      </c>
    </row>
    <row r="7278" spans="1:1" x14ac:dyDescent="0.3">
      <c r="A7278" t="s">
        <v>12</v>
      </c>
    </row>
    <row r="7279" spans="1:1" x14ac:dyDescent="0.3">
      <c r="A7279" t="s">
        <v>13</v>
      </c>
    </row>
    <row r="7280" spans="1:1" x14ac:dyDescent="0.3">
      <c r="A7280" t="s">
        <v>1256</v>
      </c>
    </row>
    <row r="7281" spans="1:1" x14ac:dyDescent="0.3">
      <c r="A7281" t="s">
        <v>4538</v>
      </c>
    </row>
    <row r="7282" spans="1:1" x14ac:dyDescent="0.3">
      <c r="A7282" t="s">
        <v>4539</v>
      </c>
    </row>
    <row r="7283" spans="1:1" x14ac:dyDescent="0.3">
      <c r="A7283" t="s">
        <v>4436</v>
      </c>
    </row>
    <row r="7284" spans="1:1" x14ac:dyDescent="0.3">
      <c r="A7284" t="s">
        <v>110</v>
      </c>
    </row>
    <row r="7285" spans="1:1" x14ac:dyDescent="0.3">
      <c r="A7285" t="s">
        <v>4540</v>
      </c>
    </row>
    <row r="7286" spans="1:1" x14ac:dyDescent="0.3">
      <c r="A7286" t="s">
        <v>4541</v>
      </c>
    </row>
    <row r="7287" spans="1:1" x14ac:dyDescent="0.3">
      <c r="A7287" t="s">
        <v>51</v>
      </c>
    </row>
    <row r="7288" spans="1:1" x14ac:dyDescent="0.3">
      <c r="A7288" t="s">
        <v>52</v>
      </c>
    </row>
    <row r="7289" spans="1:1" x14ac:dyDescent="0.3">
      <c r="A7289" t="s">
        <v>79</v>
      </c>
    </row>
    <row r="7291" spans="1:1" x14ac:dyDescent="0.3">
      <c r="A7291" t="s">
        <v>12</v>
      </c>
    </row>
    <row r="7292" spans="1:1" x14ac:dyDescent="0.3">
      <c r="A7292" t="s">
        <v>13</v>
      </c>
    </row>
    <row r="7293" spans="1:1" x14ac:dyDescent="0.3">
      <c r="A7293" t="s">
        <v>1260</v>
      </c>
    </row>
    <row r="7294" spans="1:1" x14ac:dyDescent="0.3">
      <c r="A7294" t="s">
        <v>4542</v>
      </c>
    </row>
    <row r="7295" spans="1:1" x14ac:dyDescent="0.3">
      <c r="A7295" t="s">
        <v>4543</v>
      </c>
    </row>
    <row r="7296" spans="1:1" x14ac:dyDescent="0.3">
      <c r="A7296" t="s">
        <v>4436</v>
      </c>
    </row>
    <row r="7297" spans="1:1" x14ac:dyDescent="0.3">
      <c r="A7297" t="s">
        <v>110</v>
      </c>
    </row>
    <row r="7298" spans="1:1" x14ac:dyDescent="0.3">
      <c r="A7298" t="s">
        <v>4544</v>
      </c>
    </row>
    <row r="7299" spans="1:1" x14ac:dyDescent="0.3">
      <c r="A7299" t="s">
        <v>4545</v>
      </c>
    </row>
    <row r="7300" spans="1:1" x14ac:dyDescent="0.3">
      <c r="A7300" t="s">
        <v>51</v>
      </c>
    </row>
    <row r="7301" spans="1:1" x14ac:dyDescent="0.3">
      <c r="A7301" t="s">
        <v>52</v>
      </c>
    </row>
    <row r="7302" spans="1:1" x14ac:dyDescent="0.3">
      <c r="A7302" t="s">
        <v>79</v>
      </c>
    </row>
    <row r="7303" spans="1:1" x14ac:dyDescent="0.3">
      <c r="A7303" t="s">
        <v>98</v>
      </c>
    </row>
    <row r="7304" spans="1:1" x14ac:dyDescent="0.3">
      <c r="A7304" t="s">
        <v>13</v>
      </c>
    </row>
    <row r="7305" spans="1:1" x14ac:dyDescent="0.3">
      <c r="A7305" t="s">
        <v>105</v>
      </c>
    </row>
    <row r="7306" spans="1:1" x14ac:dyDescent="0.3">
      <c r="A7306" t="s">
        <v>4546</v>
      </c>
    </row>
    <row r="7307" spans="1:1" x14ac:dyDescent="0.3">
      <c r="A7307" t="s">
        <v>1157</v>
      </c>
    </row>
    <row r="7308" spans="1:1" x14ac:dyDescent="0.3">
      <c r="A7308" t="s">
        <v>4547</v>
      </c>
    </row>
    <row r="7309" spans="1:1" x14ac:dyDescent="0.3">
      <c r="A7309" t="s">
        <v>12</v>
      </c>
    </row>
    <row r="7310" spans="1:1" x14ac:dyDescent="0.3">
      <c r="A7310" t="s">
        <v>13</v>
      </c>
    </row>
    <row r="7311" spans="1:1" x14ac:dyDescent="0.3">
      <c r="A7311" t="s">
        <v>106</v>
      </c>
    </row>
    <row r="7312" spans="1:1" x14ac:dyDescent="0.3">
      <c r="A7312" t="s">
        <v>4548</v>
      </c>
    </row>
    <row r="7313" spans="1:1" x14ac:dyDescent="0.3">
      <c r="A7313" t="s">
        <v>1157</v>
      </c>
    </row>
    <row r="7314" spans="1:1" x14ac:dyDescent="0.3">
      <c r="A7314" t="s">
        <v>4549</v>
      </c>
    </row>
    <row r="7315" spans="1:1" x14ac:dyDescent="0.3">
      <c r="A7315" t="s">
        <v>12</v>
      </c>
    </row>
    <row r="7316" spans="1:1" x14ac:dyDescent="0.3">
      <c r="A7316" t="s">
        <v>40</v>
      </c>
    </row>
    <row r="7318" spans="1:1" x14ac:dyDescent="0.3">
      <c r="A7318" t="s">
        <v>12</v>
      </c>
    </row>
    <row r="7319" spans="1:1" x14ac:dyDescent="0.3">
      <c r="A7319" t="s">
        <v>13</v>
      </c>
    </row>
    <row r="7320" spans="1:1" x14ac:dyDescent="0.3">
      <c r="A7320" t="s">
        <v>1264</v>
      </c>
    </row>
    <row r="7321" spans="1:1" x14ac:dyDescent="0.3">
      <c r="A7321" t="s">
        <v>4550</v>
      </c>
    </row>
    <row r="7322" spans="1:1" x14ac:dyDescent="0.3">
      <c r="A7322" t="s">
        <v>4551</v>
      </c>
    </row>
    <row r="7323" spans="1:1" x14ac:dyDescent="0.3">
      <c r="A7323" t="s">
        <v>4436</v>
      </c>
    </row>
    <row r="7324" spans="1:1" x14ac:dyDescent="0.3">
      <c r="A7324" t="s">
        <v>110</v>
      </c>
    </row>
    <row r="7325" spans="1:1" x14ac:dyDescent="0.3">
      <c r="A7325" t="s">
        <v>4552</v>
      </c>
    </row>
    <row r="7326" spans="1:1" x14ac:dyDescent="0.3">
      <c r="A7326" t="s">
        <v>4553</v>
      </c>
    </row>
    <row r="7327" spans="1:1" x14ac:dyDescent="0.3">
      <c r="A7327" t="s">
        <v>51</v>
      </c>
    </row>
    <row r="7328" spans="1:1" x14ac:dyDescent="0.3">
      <c r="A7328" t="s">
        <v>52</v>
      </c>
    </row>
    <row r="7329" spans="1:1" x14ac:dyDescent="0.3">
      <c r="A7329" t="s">
        <v>79</v>
      </c>
    </row>
    <row r="7331" spans="1:1" x14ac:dyDescent="0.3">
      <c r="A7331" t="s">
        <v>12</v>
      </c>
    </row>
    <row r="7332" spans="1:1" x14ac:dyDescent="0.3">
      <c r="A7332" t="s">
        <v>13</v>
      </c>
    </row>
    <row r="7333" spans="1:1" x14ac:dyDescent="0.3">
      <c r="A7333" t="s">
        <v>1268</v>
      </c>
    </row>
    <row r="7334" spans="1:1" x14ac:dyDescent="0.3">
      <c r="A7334" t="s">
        <v>4554</v>
      </c>
    </row>
    <row r="7335" spans="1:1" x14ac:dyDescent="0.3">
      <c r="A7335" t="s">
        <v>4555</v>
      </c>
    </row>
    <row r="7336" spans="1:1" x14ac:dyDescent="0.3">
      <c r="A7336" t="s">
        <v>4436</v>
      </c>
    </row>
    <row r="7337" spans="1:1" x14ac:dyDescent="0.3">
      <c r="A7337" t="s">
        <v>110</v>
      </c>
    </row>
    <row r="7338" spans="1:1" x14ac:dyDescent="0.3">
      <c r="A7338" t="s">
        <v>1154</v>
      </c>
    </row>
    <row r="7339" spans="1:1" x14ac:dyDescent="0.3">
      <c r="A7339" t="s">
        <v>4556</v>
      </c>
    </row>
    <row r="7340" spans="1:1" x14ac:dyDescent="0.3">
      <c r="A7340" t="s">
        <v>51</v>
      </c>
    </row>
    <row r="7341" spans="1:1" x14ac:dyDescent="0.3">
      <c r="A7341" t="s">
        <v>52</v>
      </c>
    </row>
    <row r="7342" spans="1:1" x14ac:dyDescent="0.3">
      <c r="A7342" t="s">
        <v>79</v>
      </c>
    </row>
    <row r="7344" spans="1:1" x14ac:dyDescent="0.3">
      <c r="A7344" t="s">
        <v>12</v>
      </c>
    </row>
    <row r="7345" spans="1:1" x14ac:dyDescent="0.3">
      <c r="A7345" t="s">
        <v>13</v>
      </c>
    </row>
    <row r="7346" spans="1:1" x14ac:dyDescent="0.3">
      <c r="A7346" t="s">
        <v>1276</v>
      </c>
    </row>
    <row r="7347" spans="1:1" x14ac:dyDescent="0.3">
      <c r="A7347" t="s">
        <v>4557</v>
      </c>
    </row>
    <row r="7348" spans="1:1" x14ac:dyDescent="0.3">
      <c r="A7348" t="s">
        <v>4558</v>
      </c>
    </row>
    <row r="7349" spans="1:1" x14ac:dyDescent="0.3">
      <c r="A7349" t="s">
        <v>4436</v>
      </c>
    </row>
    <row r="7350" spans="1:1" x14ac:dyDescent="0.3">
      <c r="A7350" t="s">
        <v>110</v>
      </c>
    </row>
    <row r="7351" spans="1:1" x14ac:dyDescent="0.3">
      <c r="A7351" t="s">
        <v>4559</v>
      </c>
    </row>
    <row r="7352" spans="1:1" x14ac:dyDescent="0.3">
      <c r="A7352" t="s">
        <v>4560</v>
      </c>
    </row>
    <row r="7353" spans="1:1" x14ac:dyDescent="0.3">
      <c r="A7353" t="s">
        <v>51</v>
      </c>
    </row>
    <row r="7354" spans="1:1" x14ac:dyDescent="0.3">
      <c r="A7354" t="s">
        <v>52</v>
      </c>
    </row>
    <row r="7355" spans="1:1" x14ac:dyDescent="0.3">
      <c r="A7355" t="s">
        <v>79</v>
      </c>
    </row>
    <row r="7357" spans="1:1" x14ac:dyDescent="0.3">
      <c r="A7357" t="s">
        <v>12</v>
      </c>
    </row>
    <row r="7358" spans="1:1" x14ac:dyDescent="0.3">
      <c r="A7358" t="s">
        <v>13</v>
      </c>
    </row>
    <row r="7359" spans="1:1" x14ac:dyDescent="0.3">
      <c r="A7359" t="s">
        <v>1279</v>
      </c>
    </row>
    <row r="7360" spans="1:1" x14ac:dyDescent="0.3">
      <c r="A7360" t="s">
        <v>4561</v>
      </c>
    </row>
    <row r="7361" spans="1:1" x14ac:dyDescent="0.3">
      <c r="A7361" t="s">
        <v>4562</v>
      </c>
    </row>
    <row r="7362" spans="1:1" x14ac:dyDescent="0.3">
      <c r="A7362" t="s">
        <v>4436</v>
      </c>
    </row>
    <row r="7363" spans="1:1" x14ac:dyDescent="0.3">
      <c r="A7363" t="s">
        <v>110</v>
      </c>
    </row>
    <row r="7364" spans="1:1" x14ac:dyDescent="0.3">
      <c r="A7364" t="s">
        <v>1154</v>
      </c>
    </row>
    <row r="7365" spans="1:1" x14ac:dyDescent="0.3">
      <c r="A7365" t="s">
        <v>4563</v>
      </c>
    </row>
    <row r="7366" spans="1:1" x14ac:dyDescent="0.3">
      <c r="A7366" t="s">
        <v>51</v>
      </c>
    </row>
    <row r="7367" spans="1:1" x14ac:dyDescent="0.3">
      <c r="A7367" t="s">
        <v>52</v>
      </c>
    </row>
    <row r="7368" spans="1:1" x14ac:dyDescent="0.3">
      <c r="A7368" t="s">
        <v>79</v>
      </c>
    </row>
    <row r="7370" spans="1:1" x14ac:dyDescent="0.3">
      <c r="A7370" t="s">
        <v>12</v>
      </c>
    </row>
    <row r="7371" spans="1:1" x14ac:dyDescent="0.3">
      <c r="A7371" t="s">
        <v>13</v>
      </c>
    </row>
    <row r="7372" spans="1:1" x14ac:dyDescent="0.3">
      <c r="A7372" t="s">
        <v>1287</v>
      </c>
    </row>
    <row r="7373" spans="1:1" x14ac:dyDescent="0.3">
      <c r="A7373" t="s">
        <v>4564</v>
      </c>
    </row>
    <row r="7374" spans="1:1" x14ac:dyDescent="0.3">
      <c r="A7374" t="s">
        <v>4565</v>
      </c>
    </row>
    <row r="7375" spans="1:1" x14ac:dyDescent="0.3">
      <c r="A7375" t="s">
        <v>4436</v>
      </c>
    </row>
    <row r="7376" spans="1:1" x14ac:dyDescent="0.3">
      <c r="A7376" t="s">
        <v>110</v>
      </c>
    </row>
    <row r="7377" spans="1:1" x14ac:dyDescent="0.3">
      <c r="A7377" t="s">
        <v>4566</v>
      </c>
    </row>
    <row r="7378" spans="1:1" x14ac:dyDescent="0.3">
      <c r="A7378" t="s">
        <v>4567</v>
      </c>
    </row>
    <row r="7379" spans="1:1" x14ac:dyDescent="0.3">
      <c r="A7379" t="s">
        <v>51</v>
      </c>
    </row>
    <row r="7380" spans="1:1" x14ac:dyDescent="0.3">
      <c r="A7380" t="s">
        <v>52</v>
      </c>
    </row>
    <row r="7381" spans="1:1" x14ac:dyDescent="0.3">
      <c r="A7381" t="s">
        <v>79</v>
      </c>
    </row>
    <row r="7383" spans="1:1" x14ac:dyDescent="0.3">
      <c r="A7383" t="s">
        <v>12</v>
      </c>
    </row>
    <row r="7384" spans="1:1" x14ac:dyDescent="0.3">
      <c r="A7384" t="s">
        <v>13</v>
      </c>
    </row>
    <row r="7385" spans="1:1" x14ac:dyDescent="0.3">
      <c r="A7385" t="s">
        <v>1295</v>
      </c>
    </row>
    <row r="7386" spans="1:1" x14ac:dyDescent="0.3">
      <c r="A7386" t="s">
        <v>4568</v>
      </c>
    </row>
    <row r="7387" spans="1:1" x14ac:dyDescent="0.3">
      <c r="A7387" t="s">
        <v>4569</v>
      </c>
    </row>
    <row r="7388" spans="1:1" x14ac:dyDescent="0.3">
      <c r="A7388" t="s">
        <v>4436</v>
      </c>
    </row>
    <row r="7389" spans="1:1" x14ac:dyDescent="0.3">
      <c r="A7389" t="s">
        <v>110</v>
      </c>
    </row>
    <row r="7390" spans="1:1" x14ac:dyDescent="0.3">
      <c r="A7390" t="s">
        <v>1154</v>
      </c>
    </row>
    <row r="7391" spans="1:1" x14ac:dyDescent="0.3">
      <c r="A7391" t="s">
        <v>4570</v>
      </c>
    </row>
    <row r="7392" spans="1:1" x14ac:dyDescent="0.3">
      <c r="A7392" t="s">
        <v>51</v>
      </c>
    </row>
    <row r="7393" spans="1:1" x14ac:dyDescent="0.3">
      <c r="A7393" t="s">
        <v>52</v>
      </c>
    </row>
    <row r="7394" spans="1:1" x14ac:dyDescent="0.3">
      <c r="A7394" t="s">
        <v>79</v>
      </c>
    </row>
    <row r="7396" spans="1:1" x14ac:dyDescent="0.3">
      <c r="A7396" t="s">
        <v>12</v>
      </c>
    </row>
    <row r="7397" spans="1:1" x14ac:dyDescent="0.3">
      <c r="A7397" t="s">
        <v>13</v>
      </c>
    </row>
    <row r="7398" spans="1:1" x14ac:dyDescent="0.3">
      <c r="A7398" t="s">
        <v>1298</v>
      </c>
    </row>
    <row r="7399" spans="1:1" x14ac:dyDescent="0.3">
      <c r="A7399" t="s">
        <v>4571</v>
      </c>
    </row>
    <row r="7400" spans="1:1" x14ac:dyDescent="0.3">
      <c r="A7400" t="s">
        <v>4572</v>
      </c>
    </row>
    <row r="7401" spans="1:1" x14ac:dyDescent="0.3">
      <c r="A7401" t="s">
        <v>4436</v>
      </c>
    </row>
    <row r="7402" spans="1:1" x14ac:dyDescent="0.3">
      <c r="A7402" t="s">
        <v>110</v>
      </c>
    </row>
    <row r="7403" spans="1:1" x14ac:dyDescent="0.3">
      <c r="A7403" t="s">
        <v>1154</v>
      </c>
    </row>
    <row r="7404" spans="1:1" x14ac:dyDescent="0.3">
      <c r="A7404" t="s">
        <v>4573</v>
      </c>
    </row>
    <row r="7405" spans="1:1" x14ac:dyDescent="0.3">
      <c r="A7405" t="s">
        <v>51</v>
      </c>
    </row>
    <row r="7406" spans="1:1" x14ac:dyDescent="0.3">
      <c r="A7406" t="s">
        <v>52</v>
      </c>
    </row>
    <row r="7407" spans="1:1" x14ac:dyDescent="0.3">
      <c r="A7407" t="s">
        <v>79</v>
      </c>
    </row>
    <row r="7409" spans="1:1" x14ac:dyDescent="0.3">
      <c r="A7409" t="s">
        <v>12</v>
      </c>
    </row>
    <row r="7410" spans="1:1" x14ac:dyDescent="0.3">
      <c r="A7410" t="s">
        <v>13</v>
      </c>
    </row>
    <row r="7411" spans="1:1" x14ac:dyDescent="0.3">
      <c r="A7411" t="s">
        <v>1306</v>
      </c>
    </row>
    <row r="7412" spans="1:1" x14ac:dyDescent="0.3">
      <c r="A7412" t="s">
        <v>4574</v>
      </c>
    </row>
    <row r="7413" spans="1:1" x14ac:dyDescent="0.3">
      <c r="A7413" t="s">
        <v>4575</v>
      </c>
    </row>
    <row r="7414" spans="1:1" x14ac:dyDescent="0.3">
      <c r="A7414" t="s">
        <v>4436</v>
      </c>
    </row>
    <row r="7415" spans="1:1" x14ac:dyDescent="0.3">
      <c r="A7415" t="s">
        <v>110</v>
      </c>
    </row>
    <row r="7416" spans="1:1" x14ac:dyDescent="0.3">
      <c r="A7416" t="s">
        <v>1154</v>
      </c>
    </row>
    <row r="7417" spans="1:1" x14ac:dyDescent="0.3">
      <c r="A7417" t="s">
        <v>4576</v>
      </c>
    </row>
    <row r="7418" spans="1:1" x14ac:dyDescent="0.3">
      <c r="A7418" t="s">
        <v>51</v>
      </c>
    </row>
    <row r="7419" spans="1:1" x14ac:dyDescent="0.3">
      <c r="A7419" t="s">
        <v>52</v>
      </c>
    </row>
    <row r="7420" spans="1:1" x14ac:dyDescent="0.3">
      <c r="A7420" t="s">
        <v>79</v>
      </c>
    </row>
    <row r="7421" spans="1:1" x14ac:dyDescent="0.3">
      <c r="A7421" t="s">
        <v>98</v>
      </c>
    </row>
    <row r="7422" spans="1:1" x14ac:dyDescent="0.3">
      <c r="A7422" t="s">
        <v>13</v>
      </c>
    </row>
    <row r="7423" spans="1:1" x14ac:dyDescent="0.3">
      <c r="A7423" t="s">
        <v>105</v>
      </c>
    </row>
    <row r="7424" spans="1:1" x14ac:dyDescent="0.3">
      <c r="A7424" t="s">
        <v>4577</v>
      </c>
    </row>
    <row r="7425" spans="1:1" x14ac:dyDescent="0.3">
      <c r="A7425" t="s">
        <v>1157</v>
      </c>
    </row>
    <row r="7426" spans="1:1" x14ac:dyDescent="0.3">
      <c r="A7426" t="s">
        <v>4578</v>
      </c>
    </row>
    <row r="7427" spans="1:1" x14ac:dyDescent="0.3">
      <c r="A7427" t="s">
        <v>12</v>
      </c>
    </row>
    <row r="7428" spans="1:1" x14ac:dyDescent="0.3">
      <c r="A7428" t="s">
        <v>13</v>
      </c>
    </row>
    <row r="7429" spans="1:1" x14ac:dyDescent="0.3">
      <c r="A7429" t="s">
        <v>106</v>
      </c>
    </row>
    <row r="7430" spans="1:1" x14ac:dyDescent="0.3">
      <c r="A7430" t="s">
        <v>4579</v>
      </c>
    </row>
    <row r="7431" spans="1:1" x14ac:dyDescent="0.3">
      <c r="A7431" t="s">
        <v>1157</v>
      </c>
    </row>
    <row r="7432" spans="1:1" x14ac:dyDescent="0.3">
      <c r="A7432" t="s">
        <v>4580</v>
      </c>
    </row>
    <row r="7433" spans="1:1" x14ac:dyDescent="0.3">
      <c r="A7433" t="s">
        <v>12</v>
      </c>
    </row>
    <row r="7434" spans="1:1" x14ac:dyDescent="0.3">
      <c r="A7434" t="s">
        <v>40</v>
      </c>
    </row>
    <row r="7436" spans="1:1" x14ac:dyDescent="0.3">
      <c r="A7436" t="s">
        <v>12</v>
      </c>
    </row>
    <row r="7437" spans="1:1" x14ac:dyDescent="0.3">
      <c r="A7437" t="s">
        <v>13</v>
      </c>
    </row>
    <row r="7438" spans="1:1" x14ac:dyDescent="0.3">
      <c r="A7438" t="s">
        <v>1314</v>
      </c>
    </row>
    <row r="7439" spans="1:1" x14ac:dyDescent="0.3">
      <c r="A7439" t="s">
        <v>4574</v>
      </c>
    </row>
    <row r="7440" spans="1:1" x14ac:dyDescent="0.3">
      <c r="A7440" t="s">
        <v>4581</v>
      </c>
    </row>
    <row r="7441" spans="1:1" x14ac:dyDescent="0.3">
      <c r="A7441" t="s">
        <v>4436</v>
      </c>
    </row>
    <row r="7442" spans="1:1" x14ac:dyDescent="0.3">
      <c r="A7442" t="s">
        <v>110</v>
      </c>
    </row>
    <row r="7443" spans="1:1" x14ac:dyDescent="0.3">
      <c r="A7443" t="s">
        <v>1154</v>
      </c>
    </row>
    <row r="7444" spans="1:1" x14ac:dyDescent="0.3">
      <c r="A7444" t="s">
        <v>4582</v>
      </c>
    </row>
    <row r="7445" spans="1:1" x14ac:dyDescent="0.3">
      <c r="A7445" t="s">
        <v>51</v>
      </c>
    </row>
    <row r="7446" spans="1:1" x14ac:dyDescent="0.3">
      <c r="A7446" t="s">
        <v>52</v>
      </c>
    </row>
    <row r="7447" spans="1:1" x14ac:dyDescent="0.3">
      <c r="A7447" t="s">
        <v>79</v>
      </c>
    </row>
    <row r="7448" spans="1:1" x14ac:dyDescent="0.3">
      <c r="A7448" t="s">
        <v>98</v>
      </c>
    </row>
    <row r="7449" spans="1:1" x14ac:dyDescent="0.3">
      <c r="A7449" t="s">
        <v>13</v>
      </c>
    </row>
    <row r="7450" spans="1:1" x14ac:dyDescent="0.3">
      <c r="A7450" t="s">
        <v>105</v>
      </c>
    </row>
    <row r="7451" spans="1:1" x14ac:dyDescent="0.3">
      <c r="A7451" t="s">
        <v>4577</v>
      </c>
    </row>
    <row r="7452" spans="1:1" x14ac:dyDescent="0.3">
      <c r="A7452" t="s">
        <v>1157</v>
      </c>
    </row>
    <row r="7453" spans="1:1" x14ac:dyDescent="0.3">
      <c r="A7453" t="s">
        <v>4578</v>
      </c>
    </row>
    <row r="7454" spans="1:1" x14ac:dyDescent="0.3">
      <c r="A7454" t="s">
        <v>12</v>
      </c>
    </row>
    <row r="7455" spans="1:1" x14ac:dyDescent="0.3">
      <c r="A7455" t="s">
        <v>13</v>
      </c>
    </row>
    <row r="7456" spans="1:1" x14ac:dyDescent="0.3">
      <c r="A7456" t="s">
        <v>106</v>
      </c>
    </row>
    <row r="7457" spans="1:1" x14ac:dyDescent="0.3">
      <c r="A7457" t="s">
        <v>4579</v>
      </c>
    </row>
    <row r="7458" spans="1:1" x14ac:dyDescent="0.3">
      <c r="A7458" t="s">
        <v>1157</v>
      </c>
    </row>
    <row r="7459" spans="1:1" x14ac:dyDescent="0.3">
      <c r="A7459" t="s">
        <v>4580</v>
      </c>
    </row>
    <row r="7460" spans="1:1" x14ac:dyDescent="0.3">
      <c r="A7460" t="s">
        <v>12</v>
      </c>
    </row>
    <row r="7461" spans="1:1" x14ac:dyDescent="0.3">
      <c r="A7461" t="s">
        <v>40</v>
      </c>
    </row>
    <row r="7463" spans="1:1" x14ac:dyDescent="0.3">
      <c r="A7463" t="s">
        <v>12</v>
      </c>
    </row>
    <row r="7464" spans="1:1" x14ac:dyDescent="0.3">
      <c r="A7464" t="s">
        <v>13</v>
      </c>
    </row>
    <row r="7465" spans="1:1" x14ac:dyDescent="0.3">
      <c r="A7465" t="s">
        <v>1322</v>
      </c>
    </row>
    <row r="7466" spans="1:1" x14ac:dyDescent="0.3">
      <c r="A7466" t="s">
        <v>4583</v>
      </c>
    </row>
    <row r="7467" spans="1:1" x14ac:dyDescent="0.3">
      <c r="A7467" t="s">
        <v>4584</v>
      </c>
    </row>
    <row r="7468" spans="1:1" x14ac:dyDescent="0.3">
      <c r="A7468" t="s">
        <v>4436</v>
      </c>
    </row>
    <row r="7469" spans="1:1" x14ac:dyDescent="0.3">
      <c r="A7469" t="s">
        <v>110</v>
      </c>
    </row>
    <row r="7470" spans="1:1" x14ac:dyDescent="0.3">
      <c r="A7470" t="s">
        <v>1154</v>
      </c>
    </row>
    <row r="7471" spans="1:1" x14ac:dyDescent="0.3">
      <c r="A7471" t="s">
        <v>4585</v>
      </c>
    </row>
    <row r="7472" spans="1:1" x14ac:dyDescent="0.3">
      <c r="A7472" t="s">
        <v>51</v>
      </c>
    </row>
    <row r="7473" spans="1:1" x14ac:dyDescent="0.3">
      <c r="A7473" t="s">
        <v>52</v>
      </c>
    </row>
    <row r="7474" spans="1:1" x14ac:dyDescent="0.3">
      <c r="A7474" t="s">
        <v>79</v>
      </c>
    </row>
    <row r="7476" spans="1:1" x14ac:dyDescent="0.3">
      <c r="A7476" t="s">
        <v>12</v>
      </c>
    </row>
    <row r="7477" spans="1:1" x14ac:dyDescent="0.3">
      <c r="A7477" t="s">
        <v>13</v>
      </c>
    </row>
    <row r="7478" spans="1:1" x14ac:dyDescent="0.3">
      <c r="A7478" t="s">
        <v>1328</v>
      </c>
    </row>
    <row r="7479" spans="1:1" x14ac:dyDescent="0.3">
      <c r="A7479" t="s">
        <v>4586</v>
      </c>
    </row>
    <row r="7480" spans="1:1" x14ac:dyDescent="0.3">
      <c r="A7480" t="s">
        <v>4587</v>
      </c>
    </row>
    <row r="7481" spans="1:1" x14ac:dyDescent="0.3">
      <c r="A7481" t="s">
        <v>4436</v>
      </c>
    </row>
    <row r="7482" spans="1:1" x14ac:dyDescent="0.3">
      <c r="A7482" t="s">
        <v>110</v>
      </c>
    </row>
    <row r="7483" spans="1:1" x14ac:dyDescent="0.3">
      <c r="A7483" t="s">
        <v>1154</v>
      </c>
    </row>
    <row r="7484" spans="1:1" x14ac:dyDescent="0.3">
      <c r="A7484" t="s">
        <v>4588</v>
      </c>
    </row>
    <row r="7485" spans="1:1" x14ac:dyDescent="0.3">
      <c r="A7485" t="s">
        <v>51</v>
      </c>
    </row>
    <row r="7486" spans="1:1" x14ac:dyDescent="0.3">
      <c r="A7486" t="s">
        <v>52</v>
      </c>
    </row>
    <row r="7487" spans="1:1" x14ac:dyDescent="0.3">
      <c r="A7487" t="s">
        <v>79</v>
      </c>
    </row>
    <row r="7489" spans="1:1" x14ac:dyDescent="0.3">
      <c r="A7489" t="s">
        <v>12</v>
      </c>
    </row>
    <row r="7490" spans="1:1" x14ac:dyDescent="0.3">
      <c r="A7490" t="s">
        <v>13</v>
      </c>
    </row>
    <row r="7491" spans="1:1" x14ac:dyDescent="0.3">
      <c r="A7491" t="s">
        <v>1332</v>
      </c>
    </row>
    <row r="7492" spans="1:1" x14ac:dyDescent="0.3">
      <c r="A7492" t="s">
        <v>4589</v>
      </c>
    </row>
    <row r="7493" spans="1:1" x14ac:dyDescent="0.3">
      <c r="A7493" t="s">
        <v>4590</v>
      </c>
    </row>
    <row r="7494" spans="1:1" x14ac:dyDescent="0.3">
      <c r="A7494" t="s">
        <v>4436</v>
      </c>
    </row>
    <row r="7495" spans="1:1" x14ac:dyDescent="0.3">
      <c r="A7495" t="s">
        <v>110</v>
      </c>
    </row>
    <row r="7496" spans="1:1" x14ac:dyDescent="0.3">
      <c r="A7496" t="s">
        <v>1154</v>
      </c>
    </row>
    <row r="7497" spans="1:1" x14ac:dyDescent="0.3">
      <c r="A7497" t="s">
        <v>4591</v>
      </c>
    </row>
    <row r="7498" spans="1:1" x14ac:dyDescent="0.3">
      <c r="A7498" t="s">
        <v>51</v>
      </c>
    </row>
    <row r="7499" spans="1:1" x14ac:dyDescent="0.3">
      <c r="A7499" t="s">
        <v>52</v>
      </c>
    </row>
    <row r="7500" spans="1:1" x14ac:dyDescent="0.3">
      <c r="A7500" t="s">
        <v>79</v>
      </c>
    </row>
    <row r="7502" spans="1:1" x14ac:dyDescent="0.3">
      <c r="A7502" t="s">
        <v>12</v>
      </c>
    </row>
    <row r="7503" spans="1:1" x14ac:dyDescent="0.3">
      <c r="A7503" t="s">
        <v>13</v>
      </c>
    </row>
    <row r="7504" spans="1:1" x14ac:dyDescent="0.3">
      <c r="A7504" t="s">
        <v>1336</v>
      </c>
    </row>
    <row r="7505" spans="1:1" x14ac:dyDescent="0.3">
      <c r="A7505" t="s">
        <v>4592</v>
      </c>
    </row>
    <row r="7506" spans="1:1" x14ac:dyDescent="0.3">
      <c r="A7506" t="s">
        <v>4593</v>
      </c>
    </row>
    <row r="7507" spans="1:1" x14ac:dyDescent="0.3">
      <c r="A7507" t="s">
        <v>4436</v>
      </c>
    </row>
    <row r="7508" spans="1:1" x14ac:dyDescent="0.3">
      <c r="A7508" t="s">
        <v>110</v>
      </c>
    </row>
    <row r="7509" spans="1:1" x14ac:dyDescent="0.3">
      <c r="A7509" t="s">
        <v>1154</v>
      </c>
    </row>
    <row r="7510" spans="1:1" x14ac:dyDescent="0.3">
      <c r="A7510" t="s">
        <v>4594</v>
      </c>
    </row>
    <row r="7511" spans="1:1" x14ac:dyDescent="0.3">
      <c r="A7511" t="s">
        <v>51</v>
      </c>
    </row>
    <row r="7512" spans="1:1" x14ac:dyDescent="0.3">
      <c r="A7512" t="s">
        <v>52</v>
      </c>
    </row>
    <row r="7513" spans="1:1" x14ac:dyDescent="0.3">
      <c r="A7513" t="s">
        <v>79</v>
      </c>
    </row>
    <row r="7515" spans="1:1" x14ac:dyDescent="0.3">
      <c r="A7515" t="s">
        <v>12</v>
      </c>
    </row>
    <row r="7516" spans="1:1" x14ac:dyDescent="0.3">
      <c r="A7516" t="s">
        <v>13</v>
      </c>
    </row>
    <row r="7517" spans="1:1" x14ac:dyDescent="0.3">
      <c r="A7517" t="s">
        <v>1340</v>
      </c>
    </row>
    <row r="7518" spans="1:1" x14ac:dyDescent="0.3">
      <c r="A7518" t="s">
        <v>4595</v>
      </c>
    </row>
    <row r="7519" spans="1:1" x14ac:dyDescent="0.3">
      <c r="A7519" t="s">
        <v>4596</v>
      </c>
    </row>
    <row r="7520" spans="1:1" x14ac:dyDescent="0.3">
      <c r="A7520" t="s">
        <v>4436</v>
      </c>
    </row>
    <row r="7521" spans="1:1" x14ac:dyDescent="0.3">
      <c r="A7521" t="s">
        <v>110</v>
      </c>
    </row>
    <row r="7522" spans="1:1" x14ac:dyDescent="0.3">
      <c r="A7522" t="s">
        <v>4597</v>
      </c>
    </row>
    <row r="7523" spans="1:1" x14ac:dyDescent="0.3">
      <c r="A7523" t="s">
        <v>4598</v>
      </c>
    </row>
    <row r="7524" spans="1:1" x14ac:dyDescent="0.3">
      <c r="A7524" t="s">
        <v>51</v>
      </c>
    </row>
    <row r="7525" spans="1:1" x14ac:dyDescent="0.3">
      <c r="A7525" t="s">
        <v>52</v>
      </c>
    </row>
    <row r="7526" spans="1:1" x14ac:dyDescent="0.3">
      <c r="A7526" t="s">
        <v>79</v>
      </c>
    </row>
    <row r="7528" spans="1:1" x14ac:dyDescent="0.3">
      <c r="A7528" t="s">
        <v>12</v>
      </c>
    </row>
    <row r="7529" spans="1:1" x14ac:dyDescent="0.3">
      <c r="A7529" t="s">
        <v>13</v>
      </c>
    </row>
    <row r="7530" spans="1:1" x14ac:dyDescent="0.3">
      <c r="A7530" t="s">
        <v>1343</v>
      </c>
    </row>
    <row r="7531" spans="1:1" x14ac:dyDescent="0.3">
      <c r="A7531" t="s">
        <v>4599</v>
      </c>
    </row>
    <row r="7532" spans="1:1" x14ac:dyDescent="0.3">
      <c r="A7532" t="s">
        <v>4600</v>
      </c>
    </row>
    <row r="7533" spans="1:1" x14ac:dyDescent="0.3">
      <c r="A7533" t="s">
        <v>4436</v>
      </c>
    </row>
    <row r="7534" spans="1:1" x14ac:dyDescent="0.3">
      <c r="A7534" t="s">
        <v>110</v>
      </c>
    </row>
    <row r="7535" spans="1:1" x14ac:dyDescent="0.3">
      <c r="A7535" t="s">
        <v>1154</v>
      </c>
    </row>
    <row r="7536" spans="1:1" x14ac:dyDescent="0.3">
      <c r="A7536" t="s">
        <v>4601</v>
      </c>
    </row>
    <row r="7537" spans="1:1" x14ac:dyDescent="0.3">
      <c r="A7537" t="s">
        <v>51</v>
      </c>
    </row>
    <row r="7538" spans="1:1" x14ac:dyDescent="0.3">
      <c r="A7538" t="s">
        <v>52</v>
      </c>
    </row>
    <row r="7539" spans="1:1" x14ac:dyDescent="0.3">
      <c r="A7539" t="s">
        <v>79</v>
      </c>
    </row>
    <row r="7541" spans="1:1" x14ac:dyDescent="0.3">
      <c r="A7541" t="s">
        <v>12</v>
      </c>
    </row>
    <row r="7542" spans="1:1" x14ac:dyDescent="0.3">
      <c r="A7542" t="s">
        <v>13</v>
      </c>
    </row>
    <row r="7543" spans="1:1" x14ac:dyDescent="0.3">
      <c r="A7543" t="s">
        <v>1351</v>
      </c>
    </row>
    <row r="7544" spans="1:1" x14ac:dyDescent="0.3">
      <c r="A7544" t="s">
        <v>4602</v>
      </c>
    </row>
    <row r="7545" spans="1:1" x14ac:dyDescent="0.3">
      <c r="A7545" t="s">
        <v>4603</v>
      </c>
    </row>
    <row r="7546" spans="1:1" x14ac:dyDescent="0.3">
      <c r="A7546" t="s">
        <v>4436</v>
      </c>
    </row>
    <row r="7547" spans="1:1" x14ac:dyDescent="0.3">
      <c r="A7547" t="s">
        <v>110</v>
      </c>
    </row>
    <row r="7548" spans="1:1" x14ac:dyDescent="0.3">
      <c r="A7548" t="s">
        <v>4604</v>
      </c>
    </row>
    <row r="7549" spans="1:1" x14ac:dyDescent="0.3">
      <c r="A7549" t="s">
        <v>4605</v>
      </c>
    </row>
    <row r="7550" spans="1:1" x14ac:dyDescent="0.3">
      <c r="A7550" t="s">
        <v>51</v>
      </c>
    </row>
    <row r="7551" spans="1:1" x14ac:dyDescent="0.3">
      <c r="A7551" t="s">
        <v>52</v>
      </c>
    </row>
    <row r="7552" spans="1:1" x14ac:dyDescent="0.3">
      <c r="A7552" t="s">
        <v>79</v>
      </c>
    </row>
    <row r="7554" spans="1:1" x14ac:dyDescent="0.3">
      <c r="A7554" t="s">
        <v>12</v>
      </c>
    </row>
    <row r="7555" spans="1:1" x14ac:dyDescent="0.3">
      <c r="A7555" t="s">
        <v>13</v>
      </c>
    </row>
    <row r="7556" spans="1:1" x14ac:dyDescent="0.3">
      <c r="A7556" t="s">
        <v>1359</v>
      </c>
    </row>
    <row r="7557" spans="1:1" x14ac:dyDescent="0.3">
      <c r="A7557" t="s">
        <v>4554</v>
      </c>
    </row>
    <row r="7558" spans="1:1" x14ac:dyDescent="0.3">
      <c r="A7558" t="s">
        <v>4606</v>
      </c>
    </row>
    <row r="7559" spans="1:1" x14ac:dyDescent="0.3">
      <c r="A7559" t="s">
        <v>4436</v>
      </c>
    </row>
    <row r="7560" spans="1:1" x14ac:dyDescent="0.3">
      <c r="A7560" t="s">
        <v>110</v>
      </c>
    </row>
    <row r="7561" spans="1:1" x14ac:dyDescent="0.3">
      <c r="A7561" t="s">
        <v>1154</v>
      </c>
    </row>
    <row r="7562" spans="1:1" x14ac:dyDescent="0.3">
      <c r="A7562" t="s">
        <v>4607</v>
      </c>
    </row>
    <row r="7563" spans="1:1" x14ac:dyDescent="0.3">
      <c r="A7563" t="s">
        <v>51</v>
      </c>
    </row>
    <row r="7564" spans="1:1" x14ac:dyDescent="0.3">
      <c r="A7564" t="s">
        <v>52</v>
      </c>
    </row>
    <row r="7565" spans="1:1" x14ac:dyDescent="0.3">
      <c r="A7565" t="s">
        <v>79</v>
      </c>
    </row>
    <row r="7566" spans="1:1" x14ac:dyDescent="0.3">
      <c r="A7566" t="s">
        <v>98</v>
      </c>
    </row>
    <row r="7567" spans="1:1" x14ac:dyDescent="0.3">
      <c r="A7567" t="s">
        <v>13</v>
      </c>
    </row>
    <row r="7568" spans="1:1" x14ac:dyDescent="0.3">
      <c r="A7568" t="s">
        <v>106</v>
      </c>
    </row>
    <row r="7569" spans="1:1" x14ac:dyDescent="0.3">
      <c r="A7569" t="s">
        <v>4608</v>
      </c>
    </row>
    <row r="7570" spans="1:1" x14ac:dyDescent="0.3">
      <c r="A7570" t="s">
        <v>1157</v>
      </c>
    </row>
    <row r="7571" spans="1:1" x14ac:dyDescent="0.3">
      <c r="A7571" t="s">
        <v>4609</v>
      </c>
    </row>
    <row r="7572" spans="1:1" x14ac:dyDescent="0.3">
      <c r="A7572" t="s">
        <v>12</v>
      </c>
    </row>
    <row r="7573" spans="1:1" x14ac:dyDescent="0.3">
      <c r="A7573" t="s">
        <v>40</v>
      </c>
    </row>
    <row r="7575" spans="1:1" x14ac:dyDescent="0.3">
      <c r="A7575" t="s">
        <v>12</v>
      </c>
    </row>
    <row r="7576" spans="1:1" x14ac:dyDescent="0.3">
      <c r="A7576" t="s">
        <v>13</v>
      </c>
    </row>
    <row r="7577" spans="1:1" x14ac:dyDescent="0.3">
      <c r="A7577" t="s">
        <v>1367</v>
      </c>
    </row>
    <row r="7578" spans="1:1" x14ac:dyDescent="0.3">
      <c r="A7578" t="s">
        <v>4610</v>
      </c>
    </row>
    <row r="7579" spans="1:1" x14ac:dyDescent="0.3">
      <c r="A7579" t="s">
        <v>4611</v>
      </c>
    </row>
    <row r="7580" spans="1:1" x14ac:dyDescent="0.3">
      <c r="A7580" t="s">
        <v>4436</v>
      </c>
    </row>
    <row r="7581" spans="1:1" x14ac:dyDescent="0.3">
      <c r="A7581" t="s">
        <v>110</v>
      </c>
    </row>
    <row r="7582" spans="1:1" x14ac:dyDescent="0.3">
      <c r="A7582" t="s">
        <v>1154</v>
      </c>
    </row>
    <row r="7583" spans="1:1" x14ac:dyDescent="0.3">
      <c r="A7583" t="s">
        <v>4612</v>
      </c>
    </row>
    <row r="7584" spans="1:1" x14ac:dyDescent="0.3">
      <c r="A7584" t="s">
        <v>51</v>
      </c>
    </row>
    <row r="7585" spans="1:1" x14ac:dyDescent="0.3">
      <c r="A7585" t="s">
        <v>52</v>
      </c>
    </row>
    <row r="7586" spans="1:1" x14ac:dyDescent="0.3">
      <c r="A7586" t="s">
        <v>79</v>
      </c>
    </row>
    <row r="7588" spans="1:1" x14ac:dyDescent="0.3">
      <c r="A7588" t="s">
        <v>12</v>
      </c>
    </row>
    <row r="7589" spans="1:1" x14ac:dyDescent="0.3">
      <c r="A7589" t="s">
        <v>13</v>
      </c>
    </row>
    <row r="7590" spans="1:1" x14ac:dyDescent="0.3">
      <c r="A7590" t="s">
        <v>1373</v>
      </c>
    </row>
    <row r="7591" spans="1:1" x14ac:dyDescent="0.3">
      <c r="A7591" t="s">
        <v>4613</v>
      </c>
    </row>
    <row r="7592" spans="1:1" x14ac:dyDescent="0.3">
      <c r="A7592" t="s">
        <v>4614</v>
      </c>
    </row>
    <row r="7593" spans="1:1" x14ac:dyDescent="0.3">
      <c r="A7593" t="s">
        <v>4436</v>
      </c>
    </row>
    <row r="7594" spans="1:1" x14ac:dyDescent="0.3">
      <c r="A7594" t="s">
        <v>110</v>
      </c>
    </row>
    <row r="7595" spans="1:1" x14ac:dyDescent="0.3">
      <c r="A7595" t="s">
        <v>1154</v>
      </c>
    </row>
    <row r="7596" spans="1:1" x14ac:dyDescent="0.3">
      <c r="A7596" t="s">
        <v>4615</v>
      </c>
    </row>
    <row r="7597" spans="1:1" x14ac:dyDescent="0.3">
      <c r="A7597" t="s">
        <v>51</v>
      </c>
    </row>
    <row r="7598" spans="1:1" x14ac:dyDescent="0.3">
      <c r="A7598" t="s">
        <v>52</v>
      </c>
    </row>
    <row r="7599" spans="1:1" x14ac:dyDescent="0.3">
      <c r="A7599" t="s">
        <v>79</v>
      </c>
    </row>
    <row r="7601" spans="1:1" x14ac:dyDescent="0.3">
      <c r="A7601" t="s">
        <v>12</v>
      </c>
    </row>
    <row r="7602" spans="1:1" x14ac:dyDescent="0.3">
      <c r="A7602" t="s">
        <v>13</v>
      </c>
    </row>
    <row r="7603" spans="1:1" x14ac:dyDescent="0.3">
      <c r="A7603" t="s">
        <v>1640</v>
      </c>
    </row>
    <row r="7604" spans="1:1" x14ac:dyDescent="0.3">
      <c r="A7604" t="s">
        <v>4616</v>
      </c>
    </row>
    <row r="7605" spans="1:1" x14ac:dyDescent="0.3">
      <c r="A7605" t="s">
        <v>4617</v>
      </c>
    </row>
    <row r="7606" spans="1:1" x14ac:dyDescent="0.3">
      <c r="A7606" t="s">
        <v>4436</v>
      </c>
    </row>
    <row r="7607" spans="1:1" x14ac:dyDescent="0.3">
      <c r="A7607" t="s">
        <v>110</v>
      </c>
    </row>
    <row r="7608" spans="1:1" x14ac:dyDescent="0.3">
      <c r="A7608" t="s">
        <v>1154</v>
      </c>
    </row>
    <row r="7609" spans="1:1" x14ac:dyDescent="0.3">
      <c r="A7609" t="s">
        <v>4618</v>
      </c>
    </row>
    <row r="7610" spans="1:1" x14ac:dyDescent="0.3">
      <c r="A7610" t="s">
        <v>51</v>
      </c>
    </row>
    <row r="7611" spans="1:1" x14ac:dyDescent="0.3">
      <c r="A7611" t="s">
        <v>52</v>
      </c>
    </row>
    <row r="7612" spans="1:1" x14ac:dyDescent="0.3">
      <c r="A7612" t="s">
        <v>79</v>
      </c>
    </row>
    <row r="7614" spans="1:1" x14ac:dyDescent="0.3">
      <c r="A7614" t="s">
        <v>12</v>
      </c>
    </row>
    <row r="7615" spans="1:1" x14ac:dyDescent="0.3">
      <c r="A7615" t="s">
        <v>13</v>
      </c>
    </row>
    <row r="7616" spans="1:1" x14ac:dyDescent="0.3">
      <c r="A7616" t="s">
        <v>1643</v>
      </c>
    </row>
    <row r="7617" spans="1:1" x14ac:dyDescent="0.3">
      <c r="A7617" t="s">
        <v>4619</v>
      </c>
    </row>
    <row r="7618" spans="1:1" x14ac:dyDescent="0.3">
      <c r="A7618" t="s">
        <v>4620</v>
      </c>
    </row>
    <row r="7619" spans="1:1" x14ac:dyDescent="0.3">
      <c r="A7619" t="s">
        <v>4436</v>
      </c>
    </row>
    <row r="7620" spans="1:1" x14ac:dyDescent="0.3">
      <c r="A7620" t="s">
        <v>110</v>
      </c>
    </row>
    <row r="7621" spans="1:1" x14ac:dyDescent="0.3">
      <c r="A7621" t="s">
        <v>1154</v>
      </c>
    </row>
    <row r="7622" spans="1:1" x14ac:dyDescent="0.3">
      <c r="A7622" t="s">
        <v>4621</v>
      </c>
    </row>
    <row r="7623" spans="1:1" x14ac:dyDescent="0.3">
      <c r="A7623" t="s">
        <v>51</v>
      </c>
    </row>
    <row r="7624" spans="1:1" x14ac:dyDescent="0.3">
      <c r="A7624" t="s">
        <v>52</v>
      </c>
    </row>
    <row r="7625" spans="1:1" x14ac:dyDescent="0.3">
      <c r="A7625" t="s">
        <v>79</v>
      </c>
    </row>
    <row r="7627" spans="1:1" x14ac:dyDescent="0.3">
      <c r="A7627" t="s">
        <v>12</v>
      </c>
    </row>
    <row r="7628" spans="1:1" x14ac:dyDescent="0.3">
      <c r="A7628" t="s">
        <v>13</v>
      </c>
    </row>
    <row r="7629" spans="1:1" x14ac:dyDescent="0.3">
      <c r="A7629" t="s">
        <v>1647</v>
      </c>
    </row>
    <row r="7630" spans="1:1" x14ac:dyDescent="0.3">
      <c r="A7630" t="s">
        <v>4619</v>
      </c>
    </row>
    <row r="7631" spans="1:1" x14ac:dyDescent="0.3">
      <c r="A7631" t="s">
        <v>4622</v>
      </c>
    </row>
    <row r="7632" spans="1:1" x14ac:dyDescent="0.3">
      <c r="A7632" t="s">
        <v>4436</v>
      </c>
    </row>
    <row r="7633" spans="1:1" x14ac:dyDescent="0.3">
      <c r="A7633" t="s">
        <v>110</v>
      </c>
    </row>
    <row r="7634" spans="1:1" x14ac:dyDescent="0.3">
      <c r="A7634" t="s">
        <v>1154</v>
      </c>
    </row>
    <row r="7635" spans="1:1" x14ac:dyDescent="0.3">
      <c r="A7635" t="s">
        <v>4623</v>
      </c>
    </row>
    <row r="7636" spans="1:1" x14ac:dyDescent="0.3">
      <c r="A7636" t="s">
        <v>51</v>
      </c>
    </row>
    <row r="7637" spans="1:1" x14ac:dyDescent="0.3">
      <c r="A7637" t="s">
        <v>52</v>
      </c>
    </row>
    <row r="7638" spans="1:1" x14ac:dyDescent="0.3">
      <c r="A7638" t="s">
        <v>79</v>
      </c>
    </row>
    <row r="7640" spans="1:1" x14ac:dyDescent="0.3">
      <c r="A7640" t="s">
        <v>12</v>
      </c>
    </row>
    <row r="7641" spans="1:1" x14ac:dyDescent="0.3">
      <c r="A7641" t="s">
        <v>13</v>
      </c>
    </row>
    <row r="7642" spans="1:1" x14ac:dyDescent="0.3">
      <c r="A7642" t="s">
        <v>1655</v>
      </c>
    </row>
    <row r="7643" spans="1:1" x14ac:dyDescent="0.3">
      <c r="A7643" t="s">
        <v>4624</v>
      </c>
    </row>
    <row r="7644" spans="1:1" x14ac:dyDescent="0.3">
      <c r="A7644" t="s">
        <v>4625</v>
      </c>
    </row>
    <row r="7645" spans="1:1" x14ac:dyDescent="0.3">
      <c r="A7645" t="s">
        <v>4436</v>
      </c>
    </row>
    <row r="7646" spans="1:1" x14ac:dyDescent="0.3">
      <c r="A7646" t="s">
        <v>110</v>
      </c>
    </row>
    <row r="7647" spans="1:1" x14ac:dyDescent="0.3">
      <c r="A7647" t="s">
        <v>1154</v>
      </c>
    </row>
    <row r="7648" spans="1:1" x14ac:dyDescent="0.3">
      <c r="A7648" t="s">
        <v>4626</v>
      </c>
    </row>
    <row r="7649" spans="1:1" x14ac:dyDescent="0.3">
      <c r="A7649" t="s">
        <v>51</v>
      </c>
    </row>
    <row r="7650" spans="1:1" x14ac:dyDescent="0.3">
      <c r="A7650" t="s">
        <v>52</v>
      </c>
    </row>
    <row r="7651" spans="1:1" x14ac:dyDescent="0.3">
      <c r="A7651" t="s">
        <v>79</v>
      </c>
    </row>
    <row r="7653" spans="1:1" x14ac:dyDescent="0.3">
      <c r="A7653" t="s">
        <v>12</v>
      </c>
    </row>
    <row r="7654" spans="1:1" x14ac:dyDescent="0.3">
      <c r="A7654" t="s">
        <v>13</v>
      </c>
    </row>
    <row r="7655" spans="1:1" x14ac:dyDescent="0.3">
      <c r="A7655" t="s">
        <v>1663</v>
      </c>
    </row>
    <row r="7656" spans="1:1" x14ac:dyDescent="0.3">
      <c r="A7656" t="s">
        <v>4627</v>
      </c>
    </row>
    <row r="7657" spans="1:1" x14ac:dyDescent="0.3">
      <c r="A7657" t="s">
        <v>4628</v>
      </c>
    </row>
    <row r="7658" spans="1:1" x14ac:dyDescent="0.3">
      <c r="A7658" t="s">
        <v>4436</v>
      </c>
    </row>
    <row r="7659" spans="1:1" x14ac:dyDescent="0.3">
      <c r="A7659" t="s">
        <v>110</v>
      </c>
    </row>
    <row r="7660" spans="1:1" x14ac:dyDescent="0.3">
      <c r="A7660" t="s">
        <v>1154</v>
      </c>
    </row>
    <row r="7661" spans="1:1" x14ac:dyDescent="0.3">
      <c r="A7661" t="s">
        <v>4629</v>
      </c>
    </row>
    <row r="7662" spans="1:1" x14ac:dyDescent="0.3">
      <c r="A7662" t="s">
        <v>51</v>
      </c>
    </row>
    <row r="7663" spans="1:1" x14ac:dyDescent="0.3">
      <c r="A7663" t="s">
        <v>52</v>
      </c>
    </row>
    <row r="7664" spans="1:1" x14ac:dyDescent="0.3">
      <c r="A7664" t="s">
        <v>79</v>
      </c>
    </row>
    <row r="7666" spans="1:1" x14ac:dyDescent="0.3">
      <c r="A7666" t="s">
        <v>12</v>
      </c>
    </row>
    <row r="7667" spans="1:1" x14ac:dyDescent="0.3">
      <c r="A7667" t="s">
        <v>13</v>
      </c>
    </row>
    <row r="7668" spans="1:1" x14ac:dyDescent="0.3">
      <c r="A7668" t="s">
        <v>1671</v>
      </c>
    </row>
    <row r="7669" spans="1:1" x14ac:dyDescent="0.3">
      <c r="A7669" t="s">
        <v>4630</v>
      </c>
    </row>
    <row r="7670" spans="1:1" x14ac:dyDescent="0.3">
      <c r="A7670" t="s">
        <v>4631</v>
      </c>
    </row>
    <row r="7671" spans="1:1" x14ac:dyDescent="0.3">
      <c r="A7671" t="s">
        <v>4436</v>
      </c>
    </row>
    <row r="7672" spans="1:1" x14ac:dyDescent="0.3">
      <c r="A7672" t="s">
        <v>110</v>
      </c>
    </row>
    <row r="7673" spans="1:1" x14ac:dyDescent="0.3">
      <c r="A7673" t="s">
        <v>1154</v>
      </c>
    </row>
    <row r="7674" spans="1:1" x14ac:dyDescent="0.3">
      <c r="A7674" t="s">
        <v>4632</v>
      </c>
    </row>
    <row r="7675" spans="1:1" x14ac:dyDescent="0.3">
      <c r="A7675" t="s">
        <v>51</v>
      </c>
    </row>
    <row r="7676" spans="1:1" x14ac:dyDescent="0.3">
      <c r="A7676" t="s">
        <v>52</v>
      </c>
    </row>
    <row r="7677" spans="1:1" x14ac:dyDescent="0.3">
      <c r="A7677" t="s">
        <v>79</v>
      </c>
    </row>
    <row r="7678" spans="1:1" x14ac:dyDescent="0.3">
      <c r="A7678" t="s">
        <v>98</v>
      </c>
    </row>
    <row r="7679" spans="1:1" x14ac:dyDescent="0.3">
      <c r="A7679" t="s">
        <v>13</v>
      </c>
    </row>
    <row r="7680" spans="1:1" x14ac:dyDescent="0.3">
      <c r="A7680" t="s">
        <v>105</v>
      </c>
    </row>
    <row r="7681" spans="1:1" x14ac:dyDescent="0.3">
      <c r="A7681" t="s">
        <v>4633</v>
      </c>
    </row>
    <row r="7682" spans="1:1" x14ac:dyDescent="0.3">
      <c r="A7682" t="s">
        <v>1157</v>
      </c>
    </row>
    <row r="7683" spans="1:1" x14ac:dyDescent="0.3">
      <c r="A7683" t="s">
        <v>4634</v>
      </c>
    </row>
    <row r="7684" spans="1:1" x14ac:dyDescent="0.3">
      <c r="A7684" t="s">
        <v>12</v>
      </c>
    </row>
    <row r="7685" spans="1:1" x14ac:dyDescent="0.3">
      <c r="A7685" t="s">
        <v>13</v>
      </c>
    </row>
    <row r="7686" spans="1:1" x14ac:dyDescent="0.3">
      <c r="A7686" t="s">
        <v>106</v>
      </c>
    </row>
    <row r="7687" spans="1:1" x14ac:dyDescent="0.3">
      <c r="A7687" t="s">
        <v>4635</v>
      </c>
    </row>
    <row r="7688" spans="1:1" x14ac:dyDescent="0.3">
      <c r="A7688" t="s">
        <v>1157</v>
      </c>
    </row>
    <row r="7689" spans="1:1" x14ac:dyDescent="0.3">
      <c r="A7689" t="s">
        <v>4636</v>
      </c>
    </row>
    <row r="7690" spans="1:1" x14ac:dyDescent="0.3">
      <c r="A7690" t="s">
        <v>12</v>
      </c>
    </row>
    <row r="7691" spans="1:1" x14ac:dyDescent="0.3">
      <c r="A7691" t="s">
        <v>40</v>
      </c>
    </row>
    <row r="7693" spans="1:1" x14ac:dyDescent="0.3">
      <c r="A7693" t="s">
        <v>12</v>
      </c>
    </row>
    <row r="7694" spans="1:1" x14ac:dyDescent="0.3">
      <c r="A7694" t="s">
        <v>13</v>
      </c>
    </row>
    <row r="7695" spans="1:1" x14ac:dyDescent="0.3">
      <c r="A7695" t="s">
        <v>1676</v>
      </c>
    </row>
    <row r="7696" spans="1:1" x14ac:dyDescent="0.3">
      <c r="A7696" t="s">
        <v>4637</v>
      </c>
    </row>
    <row r="7697" spans="1:1" x14ac:dyDescent="0.3">
      <c r="A7697" t="s">
        <v>4638</v>
      </c>
    </row>
    <row r="7698" spans="1:1" x14ac:dyDescent="0.3">
      <c r="A7698" t="s">
        <v>4436</v>
      </c>
    </row>
    <row r="7699" spans="1:1" x14ac:dyDescent="0.3">
      <c r="A7699" t="s">
        <v>110</v>
      </c>
    </row>
    <row r="7700" spans="1:1" x14ac:dyDescent="0.3">
      <c r="A7700" t="s">
        <v>1154</v>
      </c>
    </row>
    <row r="7701" spans="1:1" x14ac:dyDescent="0.3">
      <c r="A7701" t="s">
        <v>4639</v>
      </c>
    </row>
    <row r="7702" spans="1:1" x14ac:dyDescent="0.3">
      <c r="A7702" t="s">
        <v>51</v>
      </c>
    </row>
    <row r="7703" spans="1:1" x14ac:dyDescent="0.3">
      <c r="A7703" t="s">
        <v>52</v>
      </c>
    </row>
    <row r="7704" spans="1:1" x14ac:dyDescent="0.3">
      <c r="A7704" t="s">
        <v>79</v>
      </c>
    </row>
    <row r="7706" spans="1:1" x14ac:dyDescent="0.3">
      <c r="A7706" t="s">
        <v>12</v>
      </c>
    </row>
    <row r="7707" spans="1:1" x14ac:dyDescent="0.3">
      <c r="A7707" t="s">
        <v>13</v>
      </c>
    </row>
    <row r="7708" spans="1:1" x14ac:dyDescent="0.3">
      <c r="A7708" t="s">
        <v>1680</v>
      </c>
    </row>
    <row r="7709" spans="1:1" x14ac:dyDescent="0.3">
      <c r="A7709" t="s">
        <v>4640</v>
      </c>
    </row>
    <row r="7710" spans="1:1" x14ac:dyDescent="0.3">
      <c r="A7710" t="s">
        <v>4641</v>
      </c>
    </row>
    <row r="7711" spans="1:1" x14ac:dyDescent="0.3">
      <c r="A7711" t="s">
        <v>4436</v>
      </c>
    </row>
    <row r="7712" spans="1:1" x14ac:dyDescent="0.3">
      <c r="A7712" t="s">
        <v>110</v>
      </c>
    </row>
    <row r="7713" spans="1:1" x14ac:dyDescent="0.3">
      <c r="A7713" t="s">
        <v>1154</v>
      </c>
    </row>
    <row r="7714" spans="1:1" x14ac:dyDescent="0.3">
      <c r="A7714" t="s">
        <v>4642</v>
      </c>
    </row>
    <row r="7715" spans="1:1" x14ac:dyDescent="0.3">
      <c r="A7715" t="s">
        <v>51</v>
      </c>
    </row>
    <row r="7716" spans="1:1" x14ac:dyDescent="0.3">
      <c r="A7716" t="s">
        <v>52</v>
      </c>
    </row>
    <row r="7717" spans="1:1" x14ac:dyDescent="0.3">
      <c r="A7717" t="s">
        <v>79</v>
      </c>
    </row>
    <row r="7718" spans="1:1" x14ac:dyDescent="0.3">
      <c r="A7718" t="s">
        <v>98</v>
      </c>
    </row>
    <row r="7719" spans="1:1" x14ac:dyDescent="0.3">
      <c r="A7719" t="s">
        <v>13</v>
      </c>
    </row>
    <row r="7720" spans="1:1" x14ac:dyDescent="0.3">
      <c r="A7720" t="s">
        <v>105</v>
      </c>
    </row>
    <row r="7721" spans="1:1" x14ac:dyDescent="0.3">
      <c r="A7721" t="s">
        <v>4643</v>
      </c>
    </row>
    <row r="7722" spans="1:1" x14ac:dyDescent="0.3">
      <c r="A7722" t="s">
        <v>1157</v>
      </c>
    </row>
    <row r="7723" spans="1:1" x14ac:dyDescent="0.3">
      <c r="A7723" t="s">
        <v>4644</v>
      </c>
    </row>
    <row r="7724" spans="1:1" x14ac:dyDescent="0.3">
      <c r="A7724" t="s">
        <v>12</v>
      </c>
    </row>
    <row r="7725" spans="1:1" x14ac:dyDescent="0.3">
      <c r="A7725" t="s">
        <v>13</v>
      </c>
    </row>
    <row r="7726" spans="1:1" x14ac:dyDescent="0.3">
      <c r="A7726" t="s">
        <v>106</v>
      </c>
    </row>
    <row r="7727" spans="1:1" x14ac:dyDescent="0.3">
      <c r="A7727" t="s">
        <v>4645</v>
      </c>
    </row>
    <row r="7728" spans="1:1" x14ac:dyDescent="0.3">
      <c r="A7728" t="s">
        <v>1157</v>
      </c>
    </row>
    <row r="7729" spans="1:1" x14ac:dyDescent="0.3">
      <c r="A7729" t="s">
        <v>4646</v>
      </c>
    </row>
    <row r="7730" spans="1:1" x14ac:dyDescent="0.3">
      <c r="A7730" t="s">
        <v>12</v>
      </c>
    </row>
    <row r="7731" spans="1:1" x14ac:dyDescent="0.3">
      <c r="A7731" t="s">
        <v>40</v>
      </c>
    </row>
    <row r="7733" spans="1:1" x14ac:dyDescent="0.3">
      <c r="A7733" t="s">
        <v>12</v>
      </c>
    </row>
    <row r="7734" spans="1:1" x14ac:dyDescent="0.3">
      <c r="A7734" t="s">
        <v>13</v>
      </c>
    </row>
    <row r="7735" spans="1:1" x14ac:dyDescent="0.3">
      <c r="A7735" t="s">
        <v>1687</v>
      </c>
    </row>
    <row r="7736" spans="1:1" x14ac:dyDescent="0.3">
      <c r="A7736" t="s">
        <v>4647</v>
      </c>
    </row>
    <row r="7737" spans="1:1" x14ac:dyDescent="0.3">
      <c r="A7737" t="s">
        <v>4648</v>
      </c>
    </row>
    <row r="7738" spans="1:1" x14ac:dyDescent="0.3">
      <c r="A7738" t="s">
        <v>4436</v>
      </c>
    </row>
    <row r="7739" spans="1:1" x14ac:dyDescent="0.3">
      <c r="A7739" t="s">
        <v>110</v>
      </c>
    </row>
    <row r="7740" spans="1:1" x14ac:dyDescent="0.3">
      <c r="A7740" t="s">
        <v>1154</v>
      </c>
    </row>
    <row r="7741" spans="1:1" x14ac:dyDescent="0.3">
      <c r="A7741" t="s">
        <v>4649</v>
      </c>
    </row>
    <row r="7742" spans="1:1" x14ac:dyDescent="0.3">
      <c r="A7742" t="s">
        <v>51</v>
      </c>
    </row>
    <row r="7743" spans="1:1" x14ac:dyDescent="0.3">
      <c r="A7743" t="s">
        <v>52</v>
      </c>
    </row>
    <row r="7744" spans="1:1" x14ac:dyDescent="0.3">
      <c r="A7744" t="s">
        <v>79</v>
      </c>
    </row>
    <row r="7745" spans="1:1" x14ac:dyDescent="0.3">
      <c r="A7745" t="s">
        <v>98</v>
      </c>
    </row>
    <row r="7746" spans="1:1" x14ac:dyDescent="0.3">
      <c r="A7746" t="s">
        <v>13</v>
      </c>
    </row>
    <row r="7747" spans="1:1" x14ac:dyDescent="0.3">
      <c r="A7747" t="s">
        <v>105</v>
      </c>
    </row>
    <row r="7748" spans="1:1" x14ac:dyDescent="0.3">
      <c r="A7748" t="s">
        <v>4650</v>
      </c>
    </row>
    <row r="7749" spans="1:1" x14ac:dyDescent="0.3">
      <c r="A7749" t="s">
        <v>1157</v>
      </c>
    </row>
    <row r="7750" spans="1:1" x14ac:dyDescent="0.3">
      <c r="A7750" t="s">
        <v>4651</v>
      </c>
    </row>
    <row r="7751" spans="1:1" x14ac:dyDescent="0.3">
      <c r="A7751" t="s">
        <v>12</v>
      </c>
    </row>
    <row r="7752" spans="1:1" x14ac:dyDescent="0.3">
      <c r="A7752" t="s">
        <v>13</v>
      </c>
    </row>
    <row r="7753" spans="1:1" x14ac:dyDescent="0.3">
      <c r="A7753" t="s">
        <v>106</v>
      </c>
    </row>
    <row r="7754" spans="1:1" x14ac:dyDescent="0.3">
      <c r="A7754" t="s">
        <v>4652</v>
      </c>
    </row>
    <row r="7755" spans="1:1" x14ac:dyDescent="0.3">
      <c r="A7755" t="s">
        <v>1157</v>
      </c>
    </row>
    <row r="7756" spans="1:1" x14ac:dyDescent="0.3">
      <c r="A7756" t="s">
        <v>4653</v>
      </c>
    </row>
    <row r="7757" spans="1:1" x14ac:dyDescent="0.3">
      <c r="A7757" t="s">
        <v>12</v>
      </c>
    </row>
    <row r="7758" spans="1:1" x14ac:dyDescent="0.3">
      <c r="A7758" t="s">
        <v>40</v>
      </c>
    </row>
    <row r="7760" spans="1:1" x14ac:dyDescent="0.3">
      <c r="A7760" t="s">
        <v>12</v>
      </c>
    </row>
    <row r="7761" spans="1:1" x14ac:dyDescent="0.3">
      <c r="A7761" t="s">
        <v>13</v>
      </c>
    </row>
    <row r="7762" spans="1:1" x14ac:dyDescent="0.3">
      <c r="A7762" t="s">
        <v>1691</v>
      </c>
    </row>
    <row r="7763" spans="1:1" x14ac:dyDescent="0.3">
      <c r="A7763" t="s">
        <v>4654</v>
      </c>
    </row>
    <row r="7764" spans="1:1" x14ac:dyDescent="0.3">
      <c r="A7764" t="s">
        <v>4655</v>
      </c>
    </row>
    <row r="7765" spans="1:1" x14ac:dyDescent="0.3">
      <c r="A7765" t="s">
        <v>4436</v>
      </c>
    </row>
    <row r="7766" spans="1:1" x14ac:dyDescent="0.3">
      <c r="A7766" t="s">
        <v>110</v>
      </c>
    </row>
    <row r="7767" spans="1:1" x14ac:dyDescent="0.3">
      <c r="A7767" t="s">
        <v>1154</v>
      </c>
    </row>
    <row r="7768" spans="1:1" x14ac:dyDescent="0.3">
      <c r="A7768" t="s">
        <v>4656</v>
      </c>
    </row>
    <row r="7769" spans="1:1" x14ac:dyDescent="0.3">
      <c r="A7769" t="s">
        <v>51</v>
      </c>
    </row>
    <row r="7770" spans="1:1" x14ac:dyDescent="0.3">
      <c r="A7770" t="s">
        <v>52</v>
      </c>
    </row>
    <row r="7771" spans="1:1" x14ac:dyDescent="0.3">
      <c r="A7771" t="s">
        <v>79</v>
      </c>
    </row>
    <row r="7772" spans="1:1" x14ac:dyDescent="0.3">
      <c r="A7772" t="s">
        <v>98</v>
      </c>
    </row>
    <row r="7773" spans="1:1" x14ac:dyDescent="0.3">
      <c r="A7773" t="s">
        <v>13</v>
      </c>
    </row>
    <row r="7774" spans="1:1" x14ac:dyDescent="0.3">
      <c r="A7774" t="s">
        <v>105</v>
      </c>
    </row>
    <row r="7775" spans="1:1" x14ac:dyDescent="0.3">
      <c r="A7775" t="s">
        <v>4657</v>
      </c>
    </row>
    <row r="7776" spans="1:1" x14ac:dyDescent="0.3">
      <c r="A7776" t="s">
        <v>1157</v>
      </c>
    </row>
    <row r="7777" spans="1:1" x14ac:dyDescent="0.3">
      <c r="A7777" t="s">
        <v>4651</v>
      </c>
    </row>
    <row r="7778" spans="1:1" x14ac:dyDescent="0.3">
      <c r="A7778" t="s">
        <v>12</v>
      </c>
    </row>
    <row r="7779" spans="1:1" x14ac:dyDescent="0.3">
      <c r="A7779" t="s">
        <v>13</v>
      </c>
    </row>
    <row r="7780" spans="1:1" x14ac:dyDescent="0.3">
      <c r="A7780" t="s">
        <v>106</v>
      </c>
    </row>
    <row r="7781" spans="1:1" x14ac:dyDescent="0.3">
      <c r="A7781" t="s">
        <v>4658</v>
      </c>
    </row>
    <row r="7782" spans="1:1" x14ac:dyDescent="0.3">
      <c r="A7782" t="s">
        <v>1157</v>
      </c>
    </row>
    <row r="7783" spans="1:1" x14ac:dyDescent="0.3">
      <c r="A7783" t="s">
        <v>4659</v>
      </c>
    </row>
    <row r="7784" spans="1:1" x14ac:dyDescent="0.3">
      <c r="A7784" t="s">
        <v>12</v>
      </c>
    </row>
    <row r="7785" spans="1:1" x14ac:dyDescent="0.3">
      <c r="A7785" t="s">
        <v>40</v>
      </c>
    </row>
    <row r="7787" spans="1:1" x14ac:dyDescent="0.3">
      <c r="A7787" t="s">
        <v>12</v>
      </c>
    </row>
    <row r="7788" spans="1:1" x14ac:dyDescent="0.3">
      <c r="A7788" t="s">
        <v>13</v>
      </c>
    </row>
    <row r="7789" spans="1:1" x14ac:dyDescent="0.3">
      <c r="A7789" t="s">
        <v>1937</v>
      </c>
    </row>
    <row r="7790" spans="1:1" x14ac:dyDescent="0.3">
      <c r="A7790" t="s">
        <v>4660</v>
      </c>
    </row>
    <row r="7791" spans="1:1" x14ac:dyDescent="0.3">
      <c r="A7791" t="s">
        <v>4661</v>
      </c>
    </row>
    <row r="7792" spans="1:1" x14ac:dyDescent="0.3">
      <c r="A7792" t="s">
        <v>4436</v>
      </c>
    </row>
    <row r="7793" spans="1:1" x14ac:dyDescent="0.3">
      <c r="A7793" t="s">
        <v>110</v>
      </c>
    </row>
    <row r="7794" spans="1:1" x14ac:dyDescent="0.3">
      <c r="A7794" t="s">
        <v>1154</v>
      </c>
    </row>
    <row r="7795" spans="1:1" x14ac:dyDescent="0.3">
      <c r="A7795" t="s">
        <v>4662</v>
      </c>
    </row>
    <row r="7796" spans="1:1" x14ac:dyDescent="0.3">
      <c r="A7796" t="s">
        <v>51</v>
      </c>
    </row>
    <row r="7797" spans="1:1" x14ac:dyDescent="0.3">
      <c r="A7797" t="s">
        <v>52</v>
      </c>
    </row>
    <row r="7798" spans="1:1" x14ac:dyDescent="0.3">
      <c r="A7798" t="s">
        <v>79</v>
      </c>
    </row>
    <row r="7799" spans="1:1" x14ac:dyDescent="0.3">
      <c r="A7799" t="s">
        <v>98</v>
      </c>
    </row>
    <row r="7800" spans="1:1" x14ac:dyDescent="0.3">
      <c r="A7800" t="s">
        <v>13</v>
      </c>
    </row>
    <row r="7801" spans="1:1" x14ac:dyDescent="0.3">
      <c r="A7801" t="s">
        <v>105</v>
      </c>
    </row>
    <row r="7802" spans="1:1" x14ac:dyDescent="0.3">
      <c r="A7802" t="s">
        <v>4663</v>
      </c>
    </row>
    <row r="7803" spans="1:1" x14ac:dyDescent="0.3">
      <c r="A7803" t="s">
        <v>1157</v>
      </c>
    </row>
    <row r="7804" spans="1:1" x14ac:dyDescent="0.3">
      <c r="A7804" t="s">
        <v>4664</v>
      </c>
    </row>
    <row r="7805" spans="1:1" x14ac:dyDescent="0.3">
      <c r="A7805" t="s">
        <v>12</v>
      </c>
    </row>
    <row r="7806" spans="1:1" x14ac:dyDescent="0.3">
      <c r="A7806" t="s">
        <v>13</v>
      </c>
    </row>
    <row r="7807" spans="1:1" x14ac:dyDescent="0.3">
      <c r="A7807" t="s">
        <v>106</v>
      </c>
    </row>
    <row r="7808" spans="1:1" x14ac:dyDescent="0.3">
      <c r="A7808" t="s">
        <v>4665</v>
      </c>
    </row>
    <row r="7809" spans="1:1" x14ac:dyDescent="0.3">
      <c r="A7809" t="s">
        <v>1157</v>
      </c>
    </row>
    <row r="7810" spans="1:1" x14ac:dyDescent="0.3">
      <c r="A7810" t="s">
        <v>4666</v>
      </c>
    </row>
    <row r="7811" spans="1:1" x14ac:dyDescent="0.3">
      <c r="A7811" t="s">
        <v>12</v>
      </c>
    </row>
    <row r="7812" spans="1:1" x14ac:dyDescent="0.3">
      <c r="A7812" t="s">
        <v>40</v>
      </c>
    </row>
    <row r="7814" spans="1:1" x14ac:dyDescent="0.3">
      <c r="A7814" t="s">
        <v>12</v>
      </c>
    </row>
    <row r="7815" spans="1:1" x14ac:dyDescent="0.3">
      <c r="A7815" t="s">
        <v>40</v>
      </c>
    </row>
    <row r="7816" spans="1:1" x14ac:dyDescent="0.3">
      <c r="A7816" t="s">
        <v>12</v>
      </c>
    </row>
    <row r="7817" spans="1:1" x14ac:dyDescent="0.3">
      <c r="A7817" t="s">
        <v>13</v>
      </c>
    </row>
    <row r="7818" spans="1:1" x14ac:dyDescent="0.3">
      <c r="A7818" t="s">
        <v>4667</v>
      </c>
    </row>
    <row r="7819" spans="1:1" x14ac:dyDescent="0.3">
      <c r="A7819" t="s">
        <v>4668</v>
      </c>
    </row>
    <row r="7820" spans="1:1" x14ac:dyDescent="0.3">
      <c r="A7820" t="s">
        <v>39</v>
      </c>
    </row>
    <row r="7821" spans="1:1" x14ac:dyDescent="0.3">
      <c r="A7821" t="s">
        <v>13</v>
      </c>
    </row>
    <row r="7822" spans="1:1" x14ac:dyDescent="0.3">
      <c r="A7822" t="s">
        <v>50</v>
      </c>
    </row>
    <row r="7823" spans="1:1" x14ac:dyDescent="0.3">
      <c r="A7823" t="s">
        <v>4669</v>
      </c>
    </row>
    <row r="7824" spans="1:1" x14ac:dyDescent="0.3">
      <c r="A7824" t="s">
        <v>4670</v>
      </c>
    </row>
    <row r="7825" spans="1:1" x14ac:dyDescent="0.3">
      <c r="A7825" t="s">
        <v>4436</v>
      </c>
    </row>
    <row r="7826" spans="1:1" x14ac:dyDescent="0.3">
      <c r="A7826" t="s">
        <v>110</v>
      </c>
    </row>
    <row r="7827" spans="1:1" x14ac:dyDescent="0.3">
      <c r="A7827" t="s">
        <v>1154</v>
      </c>
    </row>
    <row r="7828" spans="1:1" x14ac:dyDescent="0.3">
      <c r="A7828" t="s">
        <v>4671</v>
      </c>
    </row>
    <row r="7829" spans="1:1" x14ac:dyDescent="0.3">
      <c r="A7829" t="s">
        <v>51</v>
      </c>
    </row>
    <row r="7830" spans="1:1" x14ac:dyDescent="0.3">
      <c r="A7830" t="s">
        <v>52</v>
      </c>
    </row>
    <row r="7831" spans="1:1" x14ac:dyDescent="0.3">
      <c r="A7831" t="s">
        <v>79</v>
      </c>
    </row>
    <row r="7832" spans="1:1" x14ac:dyDescent="0.3">
      <c r="A7832" t="s">
        <v>98</v>
      </c>
    </row>
    <row r="7833" spans="1:1" x14ac:dyDescent="0.3">
      <c r="A7833" t="s">
        <v>13</v>
      </c>
    </row>
    <row r="7834" spans="1:1" x14ac:dyDescent="0.3">
      <c r="A7834" t="s">
        <v>105</v>
      </c>
    </row>
    <row r="7835" spans="1:1" x14ac:dyDescent="0.3">
      <c r="A7835" t="s">
        <v>4672</v>
      </c>
    </row>
    <row r="7836" spans="1:1" x14ac:dyDescent="0.3">
      <c r="A7836" t="s">
        <v>1157</v>
      </c>
    </row>
    <row r="7837" spans="1:1" x14ac:dyDescent="0.3">
      <c r="A7837" t="s">
        <v>4673</v>
      </c>
    </row>
    <row r="7838" spans="1:1" x14ac:dyDescent="0.3">
      <c r="A7838" t="s">
        <v>12</v>
      </c>
    </row>
    <row r="7839" spans="1:1" x14ac:dyDescent="0.3">
      <c r="A7839" t="s">
        <v>13</v>
      </c>
    </row>
    <row r="7840" spans="1:1" x14ac:dyDescent="0.3">
      <c r="A7840" t="s">
        <v>106</v>
      </c>
    </row>
    <row r="7841" spans="1:1" x14ac:dyDescent="0.3">
      <c r="A7841" t="s">
        <v>4674</v>
      </c>
    </row>
    <row r="7842" spans="1:1" x14ac:dyDescent="0.3">
      <c r="A7842" t="s">
        <v>1157</v>
      </c>
    </row>
    <row r="7843" spans="1:1" x14ac:dyDescent="0.3">
      <c r="A7843" t="s">
        <v>4675</v>
      </c>
    </row>
    <row r="7844" spans="1:1" x14ac:dyDescent="0.3">
      <c r="A7844" t="s">
        <v>12</v>
      </c>
    </row>
    <row r="7845" spans="1:1" x14ac:dyDescent="0.3">
      <c r="A7845" t="s">
        <v>40</v>
      </c>
    </row>
    <row r="7847" spans="1:1" x14ac:dyDescent="0.3">
      <c r="A7847" t="s">
        <v>12</v>
      </c>
    </row>
    <row r="7848" spans="1:1" x14ac:dyDescent="0.3">
      <c r="A7848" t="s">
        <v>13</v>
      </c>
    </row>
    <row r="7849" spans="1:1" x14ac:dyDescent="0.3">
      <c r="A7849" t="s">
        <v>53</v>
      </c>
    </row>
    <row r="7850" spans="1:1" x14ac:dyDescent="0.3">
      <c r="A7850" t="s">
        <v>4676</v>
      </c>
    </row>
    <row r="7851" spans="1:1" x14ac:dyDescent="0.3">
      <c r="A7851" t="s">
        <v>4677</v>
      </c>
    </row>
    <row r="7852" spans="1:1" x14ac:dyDescent="0.3">
      <c r="A7852" t="s">
        <v>4436</v>
      </c>
    </row>
    <row r="7853" spans="1:1" x14ac:dyDescent="0.3">
      <c r="A7853" t="s">
        <v>110</v>
      </c>
    </row>
    <row r="7854" spans="1:1" x14ac:dyDescent="0.3">
      <c r="A7854" t="s">
        <v>1154</v>
      </c>
    </row>
    <row r="7855" spans="1:1" x14ac:dyDescent="0.3">
      <c r="A7855" t="s">
        <v>4678</v>
      </c>
    </row>
    <row r="7856" spans="1:1" x14ac:dyDescent="0.3">
      <c r="A7856" t="s">
        <v>51</v>
      </c>
    </row>
    <row r="7857" spans="1:1" x14ac:dyDescent="0.3">
      <c r="A7857" t="s">
        <v>52</v>
      </c>
    </row>
    <row r="7858" spans="1:1" x14ac:dyDescent="0.3">
      <c r="A7858" t="s">
        <v>79</v>
      </c>
    </row>
    <row r="7859" spans="1:1" x14ac:dyDescent="0.3">
      <c r="A7859" t="s">
        <v>98</v>
      </c>
    </row>
    <row r="7860" spans="1:1" x14ac:dyDescent="0.3">
      <c r="A7860" t="s">
        <v>13</v>
      </c>
    </row>
    <row r="7861" spans="1:1" x14ac:dyDescent="0.3">
      <c r="A7861" t="s">
        <v>105</v>
      </c>
    </row>
    <row r="7862" spans="1:1" x14ac:dyDescent="0.3">
      <c r="A7862" t="s">
        <v>4679</v>
      </c>
    </row>
    <row r="7863" spans="1:1" x14ac:dyDescent="0.3">
      <c r="A7863" t="s">
        <v>1157</v>
      </c>
    </row>
    <row r="7864" spans="1:1" x14ac:dyDescent="0.3">
      <c r="A7864" t="s">
        <v>4680</v>
      </c>
    </row>
    <row r="7865" spans="1:1" x14ac:dyDescent="0.3">
      <c r="A7865" t="s">
        <v>12</v>
      </c>
    </row>
    <row r="7866" spans="1:1" x14ac:dyDescent="0.3">
      <c r="A7866" t="s">
        <v>13</v>
      </c>
    </row>
    <row r="7867" spans="1:1" x14ac:dyDescent="0.3">
      <c r="A7867" t="s">
        <v>106</v>
      </c>
    </row>
    <row r="7868" spans="1:1" x14ac:dyDescent="0.3">
      <c r="A7868" t="s">
        <v>4681</v>
      </c>
    </row>
    <row r="7869" spans="1:1" x14ac:dyDescent="0.3">
      <c r="A7869" t="s">
        <v>1157</v>
      </c>
    </row>
    <row r="7870" spans="1:1" x14ac:dyDescent="0.3">
      <c r="A7870" t="s">
        <v>4682</v>
      </c>
    </row>
    <row r="7871" spans="1:1" x14ac:dyDescent="0.3">
      <c r="A7871" t="s">
        <v>12</v>
      </c>
    </row>
    <row r="7872" spans="1:1" x14ac:dyDescent="0.3">
      <c r="A7872" t="s">
        <v>40</v>
      </c>
    </row>
    <row r="7874" spans="1:1" x14ac:dyDescent="0.3">
      <c r="A7874" t="s">
        <v>12</v>
      </c>
    </row>
    <row r="7875" spans="1:1" x14ac:dyDescent="0.3">
      <c r="A7875" t="s">
        <v>13</v>
      </c>
    </row>
    <row r="7876" spans="1:1" x14ac:dyDescent="0.3">
      <c r="A7876" t="s">
        <v>54</v>
      </c>
    </row>
    <row r="7877" spans="1:1" x14ac:dyDescent="0.3">
      <c r="A7877" t="s">
        <v>4683</v>
      </c>
    </row>
    <row r="7878" spans="1:1" x14ac:dyDescent="0.3">
      <c r="A7878" t="s">
        <v>4684</v>
      </c>
    </row>
    <row r="7879" spans="1:1" x14ac:dyDescent="0.3">
      <c r="A7879" t="s">
        <v>4436</v>
      </c>
    </row>
    <row r="7880" spans="1:1" x14ac:dyDescent="0.3">
      <c r="A7880" t="s">
        <v>110</v>
      </c>
    </row>
    <row r="7881" spans="1:1" x14ac:dyDescent="0.3">
      <c r="A7881" t="s">
        <v>1154</v>
      </c>
    </row>
    <row r="7882" spans="1:1" x14ac:dyDescent="0.3">
      <c r="A7882" t="s">
        <v>4685</v>
      </c>
    </row>
    <row r="7883" spans="1:1" x14ac:dyDescent="0.3">
      <c r="A7883" t="s">
        <v>51</v>
      </c>
    </row>
    <row r="7884" spans="1:1" x14ac:dyDescent="0.3">
      <c r="A7884" t="s">
        <v>52</v>
      </c>
    </row>
    <row r="7885" spans="1:1" x14ac:dyDescent="0.3">
      <c r="A7885" t="s">
        <v>79</v>
      </c>
    </row>
    <row r="7886" spans="1:1" x14ac:dyDescent="0.3">
      <c r="A7886" t="s">
        <v>98</v>
      </c>
    </row>
    <row r="7887" spans="1:1" x14ac:dyDescent="0.3">
      <c r="A7887" t="s">
        <v>13</v>
      </c>
    </row>
    <row r="7888" spans="1:1" x14ac:dyDescent="0.3">
      <c r="A7888" t="s">
        <v>105</v>
      </c>
    </row>
    <row r="7889" spans="1:1" x14ac:dyDescent="0.3">
      <c r="A7889" t="s">
        <v>4686</v>
      </c>
    </row>
    <row r="7890" spans="1:1" x14ac:dyDescent="0.3">
      <c r="A7890" t="s">
        <v>1157</v>
      </c>
    </row>
    <row r="7891" spans="1:1" x14ac:dyDescent="0.3">
      <c r="A7891" t="s">
        <v>4687</v>
      </c>
    </row>
    <row r="7892" spans="1:1" x14ac:dyDescent="0.3">
      <c r="A7892" t="s">
        <v>12</v>
      </c>
    </row>
    <row r="7893" spans="1:1" x14ac:dyDescent="0.3">
      <c r="A7893" t="s">
        <v>13</v>
      </c>
    </row>
    <row r="7894" spans="1:1" x14ac:dyDescent="0.3">
      <c r="A7894" t="s">
        <v>106</v>
      </c>
    </row>
    <row r="7895" spans="1:1" x14ac:dyDescent="0.3">
      <c r="A7895" t="s">
        <v>4688</v>
      </c>
    </row>
    <row r="7896" spans="1:1" x14ac:dyDescent="0.3">
      <c r="A7896" t="s">
        <v>1157</v>
      </c>
    </row>
    <row r="7897" spans="1:1" x14ac:dyDescent="0.3">
      <c r="A7897" t="s">
        <v>4689</v>
      </c>
    </row>
    <row r="7898" spans="1:1" x14ac:dyDescent="0.3">
      <c r="A7898" t="s">
        <v>12</v>
      </c>
    </row>
    <row r="7899" spans="1:1" x14ac:dyDescent="0.3">
      <c r="A7899" t="s">
        <v>40</v>
      </c>
    </row>
    <row r="7901" spans="1:1" x14ac:dyDescent="0.3">
      <c r="A7901" t="s">
        <v>12</v>
      </c>
    </row>
    <row r="7902" spans="1:1" x14ac:dyDescent="0.3">
      <c r="A7902" t="s">
        <v>13</v>
      </c>
    </row>
    <row r="7903" spans="1:1" x14ac:dyDescent="0.3">
      <c r="A7903" t="s">
        <v>107</v>
      </c>
    </row>
    <row r="7904" spans="1:1" x14ac:dyDescent="0.3">
      <c r="A7904" t="s">
        <v>4690</v>
      </c>
    </row>
    <row r="7905" spans="1:1" x14ac:dyDescent="0.3">
      <c r="A7905" t="s">
        <v>4691</v>
      </c>
    </row>
    <row r="7906" spans="1:1" x14ac:dyDescent="0.3">
      <c r="A7906" t="s">
        <v>4436</v>
      </c>
    </row>
    <row r="7907" spans="1:1" x14ac:dyDescent="0.3">
      <c r="A7907" t="s">
        <v>110</v>
      </c>
    </row>
    <row r="7908" spans="1:1" x14ac:dyDescent="0.3">
      <c r="A7908" t="s">
        <v>1154</v>
      </c>
    </row>
    <row r="7909" spans="1:1" x14ac:dyDescent="0.3">
      <c r="A7909" t="s">
        <v>4692</v>
      </c>
    </row>
    <row r="7910" spans="1:1" x14ac:dyDescent="0.3">
      <c r="A7910" t="s">
        <v>51</v>
      </c>
    </row>
    <row r="7911" spans="1:1" x14ac:dyDescent="0.3">
      <c r="A7911" t="s">
        <v>52</v>
      </c>
    </row>
    <row r="7912" spans="1:1" x14ac:dyDescent="0.3">
      <c r="A7912" t="s">
        <v>79</v>
      </c>
    </row>
    <row r="7913" spans="1:1" x14ac:dyDescent="0.3">
      <c r="A7913" t="s">
        <v>98</v>
      </c>
    </row>
    <row r="7914" spans="1:1" x14ac:dyDescent="0.3">
      <c r="A7914" t="s">
        <v>13</v>
      </c>
    </row>
    <row r="7915" spans="1:1" x14ac:dyDescent="0.3">
      <c r="A7915" t="s">
        <v>105</v>
      </c>
    </row>
    <row r="7916" spans="1:1" x14ac:dyDescent="0.3">
      <c r="A7916" t="s">
        <v>4693</v>
      </c>
    </row>
    <row r="7917" spans="1:1" x14ac:dyDescent="0.3">
      <c r="A7917" t="s">
        <v>1157</v>
      </c>
    </row>
    <row r="7918" spans="1:1" x14ac:dyDescent="0.3">
      <c r="A7918" t="s">
        <v>4694</v>
      </c>
    </row>
    <row r="7919" spans="1:1" x14ac:dyDescent="0.3">
      <c r="A7919" t="s">
        <v>12</v>
      </c>
    </row>
    <row r="7920" spans="1:1" x14ac:dyDescent="0.3">
      <c r="A7920" t="s">
        <v>13</v>
      </c>
    </row>
    <row r="7921" spans="1:1" x14ac:dyDescent="0.3">
      <c r="A7921" t="s">
        <v>106</v>
      </c>
    </row>
    <row r="7922" spans="1:1" x14ac:dyDescent="0.3">
      <c r="A7922" t="s">
        <v>4695</v>
      </c>
    </row>
    <row r="7923" spans="1:1" x14ac:dyDescent="0.3">
      <c r="A7923" t="s">
        <v>1157</v>
      </c>
    </row>
    <row r="7924" spans="1:1" x14ac:dyDescent="0.3">
      <c r="A7924" t="s">
        <v>4696</v>
      </c>
    </row>
    <row r="7925" spans="1:1" x14ac:dyDescent="0.3">
      <c r="A7925" t="s">
        <v>12</v>
      </c>
    </row>
    <row r="7926" spans="1:1" x14ac:dyDescent="0.3">
      <c r="A7926" t="s">
        <v>40</v>
      </c>
    </row>
    <row r="7928" spans="1:1" x14ac:dyDescent="0.3">
      <c r="A7928" t="s">
        <v>12</v>
      </c>
    </row>
    <row r="7929" spans="1:1" x14ac:dyDescent="0.3">
      <c r="A7929" t="s">
        <v>13</v>
      </c>
    </row>
    <row r="7930" spans="1:1" x14ac:dyDescent="0.3">
      <c r="A7930" t="s">
        <v>108</v>
      </c>
    </row>
    <row r="7931" spans="1:1" x14ac:dyDescent="0.3">
      <c r="A7931" t="s">
        <v>4697</v>
      </c>
    </row>
    <row r="7932" spans="1:1" x14ac:dyDescent="0.3">
      <c r="A7932" t="s">
        <v>4698</v>
      </c>
    </row>
    <row r="7933" spans="1:1" x14ac:dyDescent="0.3">
      <c r="A7933" t="s">
        <v>4436</v>
      </c>
    </row>
    <row r="7934" spans="1:1" x14ac:dyDescent="0.3">
      <c r="A7934" t="s">
        <v>110</v>
      </c>
    </row>
    <row r="7935" spans="1:1" x14ac:dyDescent="0.3">
      <c r="A7935" t="s">
        <v>1154</v>
      </c>
    </row>
    <row r="7936" spans="1:1" x14ac:dyDescent="0.3">
      <c r="A7936" t="s">
        <v>4699</v>
      </c>
    </row>
    <row r="7937" spans="1:1" x14ac:dyDescent="0.3">
      <c r="A7937" t="s">
        <v>51</v>
      </c>
    </row>
    <row r="7938" spans="1:1" x14ac:dyDescent="0.3">
      <c r="A7938" t="s">
        <v>52</v>
      </c>
    </row>
    <row r="7939" spans="1:1" x14ac:dyDescent="0.3">
      <c r="A7939" t="s">
        <v>79</v>
      </c>
    </row>
    <row r="7940" spans="1:1" x14ac:dyDescent="0.3">
      <c r="A7940" t="s">
        <v>98</v>
      </c>
    </row>
    <row r="7941" spans="1:1" x14ac:dyDescent="0.3">
      <c r="A7941" t="s">
        <v>13</v>
      </c>
    </row>
    <row r="7942" spans="1:1" x14ac:dyDescent="0.3">
      <c r="A7942" t="s">
        <v>105</v>
      </c>
    </row>
    <row r="7943" spans="1:1" x14ac:dyDescent="0.3">
      <c r="A7943" t="s">
        <v>4700</v>
      </c>
    </row>
    <row r="7944" spans="1:1" x14ac:dyDescent="0.3">
      <c r="A7944" t="s">
        <v>1157</v>
      </c>
    </row>
    <row r="7945" spans="1:1" x14ac:dyDescent="0.3">
      <c r="A7945" t="s">
        <v>4701</v>
      </c>
    </row>
    <row r="7946" spans="1:1" x14ac:dyDescent="0.3">
      <c r="A7946" t="s">
        <v>12</v>
      </c>
    </row>
    <row r="7947" spans="1:1" x14ac:dyDescent="0.3">
      <c r="A7947" t="s">
        <v>40</v>
      </c>
    </row>
    <row r="7949" spans="1:1" x14ac:dyDescent="0.3">
      <c r="A7949" t="s">
        <v>12</v>
      </c>
    </row>
    <row r="7950" spans="1:1" x14ac:dyDescent="0.3">
      <c r="A7950" t="s">
        <v>13</v>
      </c>
    </row>
    <row r="7951" spans="1:1" x14ac:dyDescent="0.3">
      <c r="A7951" t="s">
        <v>1184</v>
      </c>
    </row>
    <row r="7952" spans="1:1" x14ac:dyDescent="0.3">
      <c r="A7952" t="s">
        <v>4702</v>
      </c>
    </row>
    <row r="7953" spans="1:1" x14ac:dyDescent="0.3">
      <c r="A7953" t="s">
        <v>4703</v>
      </c>
    </row>
    <row r="7954" spans="1:1" x14ac:dyDescent="0.3">
      <c r="A7954" t="s">
        <v>4436</v>
      </c>
    </row>
    <row r="7955" spans="1:1" x14ac:dyDescent="0.3">
      <c r="A7955" t="s">
        <v>110</v>
      </c>
    </row>
    <row r="7956" spans="1:1" x14ac:dyDescent="0.3">
      <c r="A7956" t="s">
        <v>4704</v>
      </c>
    </row>
    <row r="7957" spans="1:1" x14ac:dyDescent="0.3">
      <c r="A7957" t="s">
        <v>4705</v>
      </c>
    </row>
    <row r="7958" spans="1:1" x14ac:dyDescent="0.3">
      <c r="A7958" t="s">
        <v>51</v>
      </c>
    </row>
    <row r="7959" spans="1:1" x14ac:dyDescent="0.3">
      <c r="A7959" t="s">
        <v>52</v>
      </c>
    </row>
    <row r="7960" spans="1:1" x14ac:dyDescent="0.3">
      <c r="A7960" t="s">
        <v>79</v>
      </c>
    </row>
    <row r="7961" spans="1:1" x14ac:dyDescent="0.3">
      <c r="A7961" t="s">
        <v>98</v>
      </c>
    </row>
    <row r="7962" spans="1:1" x14ac:dyDescent="0.3">
      <c r="A7962" t="s">
        <v>13</v>
      </c>
    </row>
    <row r="7963" spans="1:1" x14ac:dyDescent="0.3">
      <c r="A7963" t="s">
        <v>105</v>
      </c>
    </row>
    <row r="7964" spans="1:1" x14ac:dyDescent="0.3">
      <c r="A7964" t="s">
        <v>4706</v>
      </c>
    </row>
    <row r="7965" spans="1:1" x14ac:dyDescent="0.3">
      <c r="A7965" t="s">
        <v>1157</v>
      </c>
    </row>
    <row r="7966" spans="1:1" x14ac:dyDescent="0.3">
      <c r="A7966" t="s">
        <v>4707</v>
      </c>
    </row>
    <row r="7967" spans="1:1" x14ac:dyDescent="0.3">
      <c r="A7967" t="s">
        <v>12</v>
      </c>
    </row>
    <row r="7968" spans="1:1" x14ac:dyDescent="0.3">
      <c r="A7968" t="s">
        <v>13</v>
      </c>
    </row>
    <row r="7969" spans="1:1" x14ac:dyDescent="0.3">
      <c r="A7969" t="s">
        <v>106</v>
      </c>
    </row>
    <row r="7970" spans="1:1" x14ac:dyDescent="0.3">
      <c r="A7970" t="s">
        <v>4708</v>
      </c>
    </row>
    <row r="7971" spans="1:1" x14ac:dyDescent="0.3">
      <c r="A7971" t="s">
        <v>1157</v>
      </c>
    </row>
    <row r="7972" spans="1:1" x14ac:dyDescent="0.3">
      <c r="A7972" t="s">
        <v>4709</v>
      </c>
    </row>
    <row r="7973" spans="1:1" x14ac:dyDescent="0.3">
      <c r="A7973" t="s">
        <v>12</v>
      </c>
    </row>
    <row r="7974" spans="1:1" x14ac:dyDescent="0.3">
      <c r="A7974" t="s">
        <v>40</v>
      </c>
    </row>
    <row r="7976" spans="1:1" x14ac:dyDescent="0.3">
      <c r="A7976" t="s">
        <v>12</v>
      </c>
    </row>
    <row r="7977" spans="1:1" x14ac:dyDescent="0.3">
      <c r="A7977" t="s">
        <v>13</v>
      </c>
    </row>
    <row r="7978" spans="1:1" x14ac:dyDescent="0.3">
      <c r="A7978" t="s">
        <v>1187</v>
      </c>
    </row>
    <row r="7979" spans="1:1" x14ac:dyDescent="0.3">
      <c r="A7979" t="s">
        <v>4710</v>
      </c>
    </row>
    <row r="7980" spans="1:1" x14ac:dyDescent="0.3">
      <c r="A7980" t="s">
        <v>4711</v>
      </c>
    </row>
    <row r="7981" spans="1:1" x14ac:dyDescent="0.3">
      <c r="A7981" t="s">
        <v>4436</v>
      </c>
    </row>
    <row r="7982" spans="1:1" x14ac:dyDescent="0.3">
      <c r="A7982" t="s">
        <v>110</v>
      </c>
    </row>
    <row r="7983" spans="1:1" x14ac:dyDescent="0.3">
      <c r="A7983" t="s">
        <v>1154</v>
      </c>
    </row>
    <row r="7984" spans="1:1" x14ac:dyDescent="0.3">
      <c r="A7984" t="s">
        <v>4712</v>
      </c>
    </row>
    <row r="7985" spans="1:1" x14ac:dyDescent="0.3">
      <c r="A7985" t="s">
        <v>51</v>
      </c>
    </row>
    <row r="7986" spans="1:1" x14ac:dyDescent="0.3">
      <c r="A7986" t="s">
        <v>52</v>
      </c>
    </row>
    <row r="7987" spans="1:1" x14ac:dyDescent="0.3">
      <c r="A7987" t="s">
        <v>79</v>
      </c>
    </row>
    <row r="7988" spans="1:1" x14ac:dyDescent="0.3">
      <c r="A7988" t="s">
        <v>98</v>
      </c>
    </row>
    <row r="7989" spans="1:1" x14ac:dyDescent="0.3">
      <c r="A7989" t="s">
        <v>13</v>
      </c>
    </row>
    <row r="7990" spans="1:1" x14ac:dyDescent="0.3">
      <c r="A7990" t="s">
        <v>105</v>
      </c>
    </row>
    <row r="7991" spans="1:1" x14ac:dyDescent="0.3">
      <c r="A7991" t="s">
        <v>4713</v>
      </c>
    </row>
    <row r="7992" spans="1:1" x14ac:dyDescent="0.3">
      <c r="A7992" t="s">
        <v>1157</v>
      </c>
    </row>
    <row r="7993" spans="1:1" x14ac:dyDescent="0.3">
      <c r="A7993" t="s">
        <v>4714</v>
      </c>
    </row>
    <row r="7994" spans="1:1" x14ac:dyDescent="0.3">
      <c r="A7994" t="s">
        <v>12</v>
      </c>
    </row>
    <row r="7995" spans="1:1" x14ac:dyDescent="0.3">
      <c r="A7995" t="s">
        <v>13</v>
      </c>
    </row>
    <row r="7996" spans="1:1" x14ac:dyDescent="0.3">
      <c r="A7996" t="s">
        <v>106</v>
      </c>
    </row>
    <row r="7997" spans="1:1" x14ac:dyDescent="0.3">
      <c r="A7997" t="s">
        <v>4715</v>
      </c>
    </row>
    <row r="7998" spans="1:1" x14ac:dyDescent="0.3">
      <c r="A7998" t="s">
        <v>1157</v>
      </c>
    </row>
    <row r="7999" spans="1:1" x14ac:dyDescent="0.3">
      <c r="A7999" t="s">
        <v>4716</v>
      </c>
    </row>
    <row r="8000" spans="1:1" x14ac:dyDescent="0.3">
      <c r="A8000" t="s">
        <v>12</v>
      </c>
    </row>
    <row r="8001" spans="1:1" x14ac:dyDescent="0.3">
      <c r="A8001" t="s">
        <v>40</v>
      </c>
    </row>
    <row r="8003" spans="1:1" x14ac:dyDescent="0.3">
      <c r="A8003" t="s">
        <v>12</v>
      </c>
    </row>
    <row r="8004" spans="1:1" x14ac:dyDescent="0.3">
      <c r="A8004" t="s">
        <v>13</v>
      </c>
    </row>
    <row r="8005" spans="1:1" x14ac:dyDescent="0.3">
      <c r="A8005" t="s">
        <v>1190</v>
      </c>
    </row>
    <row r="8006" spans="1:1" x14ac:dyDescent="0.3">
      <c r="A8006" t="s">
        <v>4710</v>
      </c>
    </row>
    <row r="8007" spans="1:1" x14ac:dyDescent="0.3">
      <c r="A8007" t="s">
        <v>4711</v>
      </c>
    </row>
    <row r="8008" spans="1:1" x14ac:dyDescent="0.3">
      <c r="A8008" t="s">
        <v>4436</v>
      </c>
    </row>
    <row r="8009" spans="1:1" x14ac:dyDescent="0.3">
      <c r="A8009" t="s">
        <v>110</v>
      </c>
    </row>
    <row r="8010" spans="1:1" x14ac:dyDescent="0.3">
      <c r="A8010" t="s">
        <v>1154</v>
      </c>
    </row>
    <row r="8011" spans="1:1" x14ac:dyDescent="0.3">
      <c r="A8011" t="s">
        <v>4712</v>
      </c>
    </row>
    <row r="8012" spans="1:1" x14ac:dyDescent="0.3">
      <c r="A8012" t="s">
        <v>51</v>
      </c>
    </row>
    <row r="8013" spans="1:1" x14ac:dyDescent="0.3">
      <c r="A8013" t="s">
        <v>52</v>
      </c>
    </row>
    <row r="8014" spans="1:1" x14ac:dyDescent="0.3">
      <c r="A8014" t="s">
        <v>79</v>
      </c>
    </row>
    <row r="8015" spans="1:1" x14ac:dyDescent="0.3">
      <c r="A8015" t="s">
        <v>98</v>
      </c>
    </row>
    <row r="8016" spans="1:1" x14ac:dyDescent="0.3">
      <c r="A8016" t="s">
        <v>13</v>
      </c>
    </row>
    <row r="8017" spans="1:1" x14ac:dyDescent="0.3">
      <c r="A8017" t="s">
        <v>105</v>
      </c>
    </row>
    <row r="8018" spans="1:1" x14ac:dyDescent="0.3">
      <c r="A8018" t="s">
        <v>4713</v>
      </c>
    </row>
    <row r="8019" spans="1:1" x14ac:dyDescent="0.3">
      <c r="A8019" t="s">
        <v>1157</v>
      </c>
    </row>
    <row r="8020" spans="1:1" x14ac:dyDescent="0.3">
      <c r="A8020" t="s">
        <v>4714</v>
      </c>
    </row>
    <row r="8021" spans="1:1" x14ac:dyDescent="0.3">
      <c r="A8021" t="s">
        <v>12</v>
      </c>
    </row>
    <row r="8022" spans="1:1" x14ac:dyDescent="0.3">
      <c r="A8022" t="s">
        <v>13</v>
      </c>
    </row>
    <row r="8023" spans="1:1" x14ac:dyDescent="0.3">
      <c r="A8023" t="s">
        <v>106</v>
      </c>
    </row>
    <row r="8024" spans="1:1" x14ac:dyDescent="0.3">
      <c r="A8024" t="s">
        <v>4715</v>
      </c>
    </row>
    <row r="8025" spans="1:1" x14ac:dyDescent="0.3">
      <c r="A8025" t="s">
        <v>1157</v>
      </c>
    </row>
    <row r="8026" spans="1:1" x14ac:dyDescent="0.3">
      <c r="A8026" t="s">
        <v>4716</v>
      </c>
    </row>
    <row r="8027" spans="1:1" x14ac:dyDescent="0.3">
      <c r="A8027" t="s">
        <v>12</v>
      </c>
    </row>
    <row r="8028" spans="1:1" x14ac:dyDescent="0.3">
      <c r="A8028" t="s">
        <v>40</v>
      </c>
    </row>
    <row r="8030" spans="1:1" x14ac:dyDescent="0.3">
      <c r="A8030" t="s">
        <v>12</v>
      </c>
    </row>
    <row r="8031" spans="1:1" x14ac:dyDescent="0.3">
      <c r="A8031" t="s">
        <v>13</v>
      </c>
    </row>
    <row r="8032" spans="1:1" x14ac:dyDescent="0.3">
      <c r="A8032" t="s">
        <v>1193</v>
      </c>
    </row>
    <row r="8033" spans="1:1" x14ac:dyDescent="0.3">
      <c r="A8033" t="s">
        <v>4717</v>
      </c>
    </row>
    <row r="8034" spans="1:1" x14ac:dyDescent="0.3">
      <c r="A8034" t="s">
        <v>4718</v>
      </c>
    </row>
    <row r="8035" spans="1:1" x14ac:dyDescent="0.3">
      <c r="A8035" t="s">
        <v>4436</v>
      </c>
    </row>
    <row r="8036" spans="1:1" x14ac:dyDescent="0.3">
      <c r="A8036" t="s">
        <v>110</v>
      </c>
    </row>
    <row r="8037" spans="1:1" x14ac:dyDescent="0.3">
      <c r="A8037" t="s">
        <v>4719</v>
      </c>
    </row>
    <row r="8038" spans="1:1" x14ac:dyDescent="0.3">
      <c r="A8038" t="s">
        <v>4720</v>
      </c>
    </row>
    <row r="8039" spans="1:1" x14ac:dyDescent="0.3">
      <c r="A8039" t="s">
        <v>51</v>
      </c>
    </row>
    <row r="8040" spans="1:1" x14ac:dyDescent="0.3">
      <c r="A8040" t="s">
        <v>52</v>
      </c>
    </row>
    <row r="8041" spans="1:1" x14ac:dyDescent="0.3">
      <c r="A8041" t="s">
        <v>79</v>
      </c>
    </row>
    <row r="8042" spans="1:1" x14ac:dyDescent="0.3">
      <c r="A8042" t="s">
        <v>98</v>
      </c>
    </row>
    <row r="8043" spans="1:1" x14ac:dyDescent="0.3">
      <c r="A8043" t="s">
        <v>13</v>
      </c>
    </row>
    <row r="8044" spans="1:1" x14ac:dyDescent="0.3">
      <c r="A8044" t="s">
        <v>105</v>
      </c>
    </row>
    <row r="8045" spans="1:1" x14ac:dyDescent="0.3">
      <c r="A8045" t="s">
        <v>4721</v>
      </c>
    </row>
    <row r="8046" spans="1:1" x14ac:dyDescent="0.3">
      <c r="A8046" t="s">
        <v>1157</v>
      </c>
    </row>
    <row r="8047" spans="1:1" x14ac:dyDescent="0.3">
      <c r="A8047" t="s">
        <v>4722</v>
      </c>
    </row>
    <row r="8048" spans="1:1" x14ac:dyDescent="0.3">
      <c r="A8048" t="s">
        <v>12</v>
      </c>
    </row>
    <row r="8049" spans="1:1" x14ac:dyDescent="0.3">
      <c r="A8049" t="s">
        <v>13</v>
      </c>
    </row>
    <row r="8050" spans="1:1" x14ac:dyDescent="0.3">
      <c r="A8050" t="s">
        <v>106</v>
      </c>
    </row>
    <row r="8051" spans="1:1" x14ac:dyDescent="0.3">
      <c r="A8051" t="s">
        <v>4723</v>
      </c>
    </row>
    <row r="8052" spans="1:1" x14ac:dyDescent="0.3">
      <c r="A8052" t="s">
        <v>1157</v>
      </c>
    </row>
    <row r="8053" spans="1:1" x14ac:dyDescent="0.3">
      <c r="A8053" t="s">
        <v>4724</v>
      </c>
    </row>
    <row r="8054" spans="1:1" x14ac:dyDescent="0.3">
      <c r="A8054" t="s">
        <v>12</v>
      </c>
    </row>
    <row r="8055" spans="1:1" x14ac:dyDescent="0.3">
      <c r="A8055" t="s">
        <v>40</v>
      </c>
    </row>
    <row r="8057" spans="1:1" x14ac:dyDescent="0.3">
      <c r="A8057" t="s">
        <v>12</v>
      </c>
    </row>
    <row r="8058" spans="1:1" x14ac:dyDescent="0.3">
      <c r="A8058" t="s">
        <v>13</v>
      </c>
    </row>
    <row r="8059" spans="1:1" x14ac:dyDescent="0.3">
      <c r="A8059" t="s">
        <v>1201</v>
      </c>
    </row>
    <row r="8060" spans="1:1" x14ac:dyDescent="0.3">
      <c r="A8060" t="s">
        <v>4725</v>
      </c>
    </row>
    <row r="8061" spans="1:1" x14ac:dyDescent="0.3">
      <c r="A8061" t="s">
        <v>4726</v>
      </c>
    </row>
    <row r="8062" spans="1:1" x14ac:dyDescent="0.3">
      <c r="A8062" t="s">
        <v>4436</v>
      </c>
    </row>
    <row r="8063" spans="1:1" x14ac:dyDescent="0.3">
      <c r="A8063" t="s">
        <v>110</v>
      </c>
    </row>
    <row r="8064" spans="1:1" x14ac:dyDescent="0.3">
      <c r="A8064" t="s">
        <v>1154</v>
      </c>
    </row>
    <row r="8065" spans="1:1" x14ac:dyDescent="0.3">
      <c r="A8065" t="s">
        <v>4727</v>
      </c>
    </row>
    <row r="8066" spans="1:1" x14ac:dyDescent="0.3">
      <c r="A8066" t="s">
        <v>51</v>
      </c>
    </row>
    <row r="8067" spans="1:1" x14ac:dyDescent="0.3">
      <c r="A8067" t="s">
        <v>52</v>
      </c>
    </row>
    <row r="8068" spans="1:1" x14ac:dyDescent="0.3">
      <c r="A8068" t="s">
        <v>79</v>
      </c>
    </row>
    <row r="8069" spans="1:1" x14ac:dyDescent="0.3">
      <c r="A8069" t="s">
        <v>98</v>
      </c>
    </row>
    <row r="8070" spans="1:1" x14ac:dyDescent="0.3">
      <c r="A8070" t="s">
        <v>13</v>
      </c>
    </row>
    <row r="8071" spans="1:1" x14ac:dyDescent="0.3">
      <c r="A8071" t="s">
        <v>105</v>
      </c>
    </row>
    <row r="8072" spans="1:1" x14ac:dyDescent="0.3">
      <c r="A8072" t="s">
        <v>4728</v>
      </c>
    </row>
    <row r="8073" spans="1:1" x14ac:dyDescent="0.3">
      <c r="A8073" t="s">
        <v>1157</v>
      </c>
    </row>
    <row r="8074" spans="1:1" x14ac:dyDescent="0.3">
      <c r="A8074" t="s">
        <v>4729</v>
      </c>
    </row>
    <row r="8075" spans="1:1" x14ac:dyDescent="0.3">
      <c r="A8075" t="s">
        <v>12</v>
      </c>
    </row>
    <row r="8076" spans="1:1" x14ac:dyDescent="0.3">
      <c r="A8076" t="s">
        <v>13</v>
      </c>
    </row>
    <row r="8077" spans="1:1" x14ac:dyDescent="0.3">
      <c r="A8077" t="s">
        <v>106</v>
      </c>
    </row>
    <row r="8078" spans="1:1" x14ac:dyDescent="0.3">
      <c r="A8078" t="s">
        <v>4730</v>
      </c>
    </row>
    <row r="8079" spans="1:1" x14ac:dyDescent="0.3">
      <c r="A8079" t="s">
        <v>1157</v>
      </c>
    </row>
    <row r="8080" spans="1:1" x14ac:dyDescent="0.3">
      <c r="A8080" t="s">
        <v>4731</v>
      </c>
    </row>
    <row r="8081" spans="1:1" x14ac:dyDescent="0.3">
      <c r="A8081" t="s">
        <v>12</v>
      </c>
    </row>
    <row r="8082" spans="1:1" x14ac:dyDescent="0.3">
      <c r="A8082" t="s">
        <v>40</v>
      </c>
    </row>
    <row r="8084" spans="1:1" x14ac:dyDescent="0.3">
      <c r="A8084" t="s">
        <v>12</v>
      </c>
    </row>
    <row r="8085" spans="1:1" x14ac:dyDescent="0.3">
      <c r="A8085" t="s">
        <v>13</v>
      </c>
    </row>
    <row r="8086" spans="1:1" x14ac:dyDescent="0.3">
      <c r="A8086" t="s">
        <v>1204</v>
      </c>
    </row>
    <row r="8087" spans="1:1" x14ac:dyDescent="0.3">
      <c r="A8087" t="s">
        <v>4732</v>
      </c>
    </row>
    <row r="8088" spans="1:1" x14ac:dyDescent="0.3">
      <c r="A8088" t="s">
        <v>4733</v>
      </c>
    </row>
    <row r="8089" spans="1:1" x14ac:dyDescent="0.3">
      <c r="A8089" t="s">
        <v>4436</v>
      </c>
    </row>
    <row r="8090" spans="1:1" x14ac:dyDescent="0.3">
      <c r="A8090" t="s">
        <v>110</v>
      </c>
    </row>
    <row r="8091" spans="1:1" x14ac:dyDescent="0.3">
      <c r="A8091" t="s">
        <v>4734</v>
      </c>
    </row>
    <row r="8092" spans="1:1" x14ac:dyDescent="0.3">
      <c r="A8092" t="s">
        <v>4735</v>
      </c>
    </row>
    <row r="8093" spans="1:1" x14ac:dyDescent="0.3">
      <c r="A8093" t="s">
        <v>51</v>
      </c>
    </row>
    <row r="8094" spans="1:1" x14ac:dyDescent="0.3">
      <c r="A8094" t="s">
        <v>52</v>
      </c>
    </row>
    <row r="8095" spans="1:1" x14ac:dyDescent="0.3">
      <c r="A8095" t="s">
        <v>79</v>
      </c>
    </row>
    <row r="8096" spans="1:1" x14ac:dyDescent="0.3">
      <c r="A8096" t="s">
        <v>98</v>
      </c>
    </row>
    <row r="8097" spans="1:1" x14ac:dyDescent="0.3">
      <c r="A8097" t="s">
        <v>13</v>
      </c>
    </row>
    <row r="8098" spans="1:1" x14ac:dyDescent="0.3">
      <c r="A8098" t="s">
        <v>105</v>
      </c>
    </row>
    <row r="8099" spans="1:1" x14ac:dyDescent="0.3">
      <c r="A8099" t="s">
        <v>4736</v>
      </c>
    </row>
    <row r="8100" spans="1:1" x14ac:dyDescent="0.3">
      <c r="A8100" t="s">
        <v>1157</v>
      </c>
    </row>
    <row r="8101" spans="1:1" x14ac:dyDescent="0.3">
      <c r="A8101" t="s">
        <v>4737</v>
      </c>
    </row>
    <row r="8102" spans="1:1" x14ac:dyDescent="0.3">
      <c r="A8102" t="s">
        <v>12</v>
      </c>
    </row>
    <row r="8103" spans="1:1" x14ac:dyDescent="0.3">
      <c r="A8103" t="s">
        <v>13</v>
      </c>
    </row>
    <row r="8104" spans="1:1" x14ac:dyDescent="0.3">
      <c r="A8104" t="s">
        <v>106</v>
      </c>
    </row>
    <row r="8105" spans="1:1" x14ac:dyDescent="0.3">
      <c r="A8105" t="s">
        <v>4738</v>
      </c>
    </row>
    <row r="8106" spans="1:1" x14ac:dyDescent="0.3">
      <c r="A8106" t="s">
        <v>1157</v>
      </c>
    </row>
    <row r="8107" spans="1:1" x14ac:dyDescent="0.3">
      <c r="A8107" t="s">
        <v>4739</v>
      </c>
    </row>
    <row r="8108" spans="1:1" x14ac:dyDescent="0.3">
      <c r="A8108" t="s">
        <v>12</v>
      </c>
    </row>
    <row r="8109" spans="1:1" x14ac:dyDescent="0.3">
      <c r="A8109" t="s">
        <v>40</v>
      </c>
    </row>
    <row r="8111" spans="1:1" x14ac:dyDescent="0.3">
      <c r="A8111" t="s">
        <v>12</v>
      </c>
    </row>
    <row r="8112" spans="1:1" x14ac:dyDescent="0.3">
      <c r="A8112" t="s">
        <v>13</v>
      </c>
    </row>
    <row r="8113" spans="1:1" x14ac:dyDescent="0.3">
      <c r="A8113" t="s">
        <v>1212</v>
      </c>
    </row>
    <row r="8114" spans="1:1" x14ac:dyDescent="0.3">
      <c r="A8114" t="s">
        <v>4740</v>
      </c>
    </row>
    <row r="8115" spans="1:1" x14ac:dyDescent="0.3">
      <c r="A8115" t="s">
        <v>4741</v>
      </c>
    </row>
    <row r="8116" spans="1:1" x14ac:dyDescent="0.3">
      <c r="A8116" t="s">
        <v>4436</v>
      </c>
    </row>
    <row r="8117" spans="1:1" x14ac:dyDescent="0.3">
      <c r="A8117" t="s">
        <v>110</v>
      </c>
    </row>
    <row r="8118" spans="1:1" x14ac:dyDescent="0.3">
      <c r="A8118" t="s">
        <v>4742</v>
      </c>
    </row>
    <row r="8119" spans="1:1" x14ac:dyDescent="0.3">
      <c r="A8119" t="s">
        <v>4743</v>
      </c>
    </row>
    <row r="8120" spans="1:1" x14ac:dyDescent="0.3">
      <c r="A8120" t="s">
        <v>51</v>
      </c>
    </row>
    <row r="8121" spans="1:1" x14ac:dyDescent="0.3">
      <c r="A8121" t="s">
        <v>52</v>
      </c>
    </row>
    <row r="8122" spans="1:1" x14ac:dyDescent="0.3">
      <c r="A8122" t="s">
        <v>79</v>
      </c>
    </row>
    <row r="8123" spans="1:1" x14ac:dyDescent="0.3">
      <c r="A8123" t="s">
        <v>98</v>
      </c>
    </row>
    <row r="8124" spans="1:1" x14ac:dyDescent="0.3">
      <c r="A8124" t="s">
        <v>13</v>
      </c>
    </row>
    <row r="8125" spans="1:1" x14ac:dyDescent="0.3">
      <c r="A8125" t="s">
        <v>105</v>
      </c>
    </row>
    <row r="8126" spans="1:1" x14ac:dyDescent="0.3">
      <c r="A8126" t="s">
        <v>4744</v>
      </c>
    </row>
    <row r="8127" spans="1:1" x14ac:dyDescent="0.3">
      <c r="A8127" t="s">
        <v>1157</v>
      </c>
    </row>
    <row r="8128" spans="1:1" x14ac:dyDescent="0.3">
      <c r="A8128" t="s">
        <v>4745</v>
      </c>
    </row>
    <row r="8129" spans="1:1" x14ac:dyDescent="0.3">
      <c r="A8129" t="s">
        <v>12</v>
      </c>
    </row>
    <row r="8130" spans="1:1" x14ac:dyDescent="0.3">
      <c r="A8130" t="s">
        <v>13</v>
      </c>
    </row>
    <row r="8131" spans="1:1" x14ac:dyDescent="0.3">
      <c r="A8131" t="s">
        <v>106</v>
      </c>
    </row>
    <row r="8132" spans="1:1" x14ac:dyDescent="0.3">
      <c r="A8132" t="s">
        <v>4746</v>
      </c>
    </row>
    <row r="8133" spans="1:1" x14ac:dyDescent="0.3">
      <c r="A8133" t="s">
        <v>1157</v>
      </c>
    </row>
    <row r="8134" spans="1:1" x14ac:dyDescent="0.3">
      <c r="A8134" t="s">
        <v>4747</v>
      </c>
    </row>
    <row r="8135" spans="1:1" x14ac:dyDescent="0.3">
      <c r="A8135" t="s">
        <v>12</v>
      </c>
    </row>
    <row r="8136" spans="1:1" x14ac:dyDescent="0.3">
      <c r="A8136" t="s">
        <v>40</v>
      </c>
    </row>
    <row r="8138" spans="1:1" x14ac:dyDescent="0.3">
      <c r="A8138" t="s">
        <v>12</v>
      </c>
    </row>
    <row r="8139" spans="1:1" x14ac:dyDescent="0.3">
      <c r="A8139" t="s">
        <v>13</v>
      </c>
    </row>
    <row r="8140" spans="1:1" x14ac:dyDescent="0.3">
      <c r="A8140" t="s">
        <v>1220</v>
      </c>
    </row>
    <row r="8141" spans="1:1" x14ac:dyDescent="0.3">
      <c r="A8141" t="s">
        <v>4748</v>
      </c>
    </row>
    <row r="8142" spans="1:1" x14ac:dyDescent="0.3">
      <c r="A8142" t="s">
        <v>4749</v>
      </c>
    </row>
    <row r="8143" spans="1:1" x14ac:dyDescent="0.3">
      <c r="A8143" t="s">
        <v>4436</v>
      </c>
    </row>
    <row r="8144" spans="1:1" x14ac:dyDescent="0.3">
      <c r="A8144" t="s">
        <v>110</v>
      </c>
    </row>
    <row r="8145" spans="1:1" x14ac:dyDescent="0.3">
      <c r="A8145" t="s">
        <v>1154</v>
      </c>
    </row>
    <row r="8146" spans="1:1" x14ac:dyDescent="0.3">
      <c r="A8146" t="s">
        <v>4750</v>
      </c>
    </row>
    <row r="8147" spans="1:1" x14ac:dyDescent="0.3">
      <c r="A8147" t="s">
        <v>51</v>
      </c>
    </row>
    <row r="8148" spans="1:1" x14ac:dyDescent="0.3">
      <c r="A8148" t="s">
        <v>52</v>
      </c>
    </row>
    <row r="8149" spans="1:1" x14ac:dyDescent="0.3">
      <c r="A8149" t="s">
        <v>79</v>
      </c>
    </row>
    <row r="8150" spans="1:1" x14ac:dyDescent="0.3">
      <c r="A8150" t="s">
        <v>98</v>
      </c>
    </row>
    <row r="8151" spans="1:1" x14ac:dyDescent="0.3">
      <c r="A8151" t="s">
        <v>13</v>
      </c>
    </row>
    <row r="8152" spans="1:1" x14ac:dyDescent="0.3">
      <c r="A8152" t="s">
        <v>105</v>
      </c>
    </row>
    <row r="8153" spans="1:1" x14ac:dyDescent="0.3">
      <c r="A8153" t="s">
        <v>4751</v>
      </c>
    </row>
    <row r="8154" spans="1:1" x14ac:dyDescent="0.3">
      <c r="A8154" t="s">
        <v>1157</v>
      </c>
    </row>
    <row r="8155" spans="1:1" x14ac:dyDescent="0.3">
      <c r="A8155" t="s">
        <v>4752</v>
      </c>
    </row>
    <row r="8156" spans="1:1" x14ac:dyDescent="0.3">
      <c r="A8156" t="s">
        <v>12</v>
      </c>
    </row>
    <row r="8157" spans="1:1" x14ac:dyDescent="0.3">
      <c r="A8157" t="s">
        <v>13</v>
      </c>
    </row>
    <row r="8158" spans="1:1" x14ac:dyDescent="0.3">
      <c r="A8158" t="s">
        <v>106</v>
      </c>
    </row>
    <row r="8159" spans="1:1" x14ac:dyDescent="0.3">
      <c r="A8159" t="s">
        <v>4753</v>
      </c>
    </row>
    <row r="8160" spans="1:1" x14ac:dyDescent="0.3">
      <c r="A8160" t="s">
        <v>1157</v>
      </c>
    </row>
    <row r="8161" spans="1:1" x14ac:dyDescent="0.3">
      <c r="A8161" t="s">
        <v>4754</v>
      </c>
    </row>
    <row r="8162" spans="1:1" x14ac:dyDescent="0.3">
      <c r="A8162" t="s">
        <v>12</v>
      </c>
    </row>
    <row r="8163" spans="1:1" x14ac:dyDescent="0.3">
      <c r="A8163" t="s">
        <v>40</v>
      </c>
    </row>
    <row r="8165" spans="1:1" x14ac:dyDescent="0.3">
      <c r="A8165" t="s">
        <v>12</v>
      </c>
    </row>
    <row r="8166" spans="1:1" x14ac:dyDescent="0.3">
      <c r="A8166" t="s">
        <v>13</v>
      </c>
    </row>
    <row r="8167" spans="1:1" x14ac:dyDescent="0.3">
      <c r="A8167" t="s">
        <v>1228</v>
      </c>
    </row>
    <row r="8168" spans="1:1" x14ac:dyDescent="0.3">
      <c r="A8168" t="s">
        <v>4755</v>
      </c>
    </row>
    <row r="8169" spans="1:1" x14ac:dyDescent="0.3">
      <c r="A8169" t="s">
        <v>4756</v>
      </c>
    </row>
    <row r="8170" spans="1:1" x14ac:dyDescent="0.3">
      <c r="A8170" t="s">
        <v>4436</v>
      </c>
    </row>
    <row r="8171" spans="1:1" x14ac:dyDescent="0.3">
      <c r="A8171" t="s">
        <v>110</v>
      </c>
    </row>
    <row r="8172" spans="1:1" x14ac:dyDescent="0.3">
      <c r="A8172" t="s">
        <v>1154</v>
      </c>
    </row>
    <row r="8173" spans="1:1" x14ac:dyDescent="0.3">
      <c r="A8173" t="s">
        <v>4757</v>
      </c>
    </row>
    <row r="8174" spans="1:1" x14ac:dyDescent="0.3">
      <c r="A8174" t="s">
        <v>51</v>
      </c>
    </row>
    <row r="8175" spans="1:1" x14ac:dyDescent="0.3">
      <c r="A8175" t="s">
        <v>52</v>
      </c>
    </row>
    <row r="8176" spans="1:1" x14ac:dyDescent="0.3">
      <c r="A8176" t="s">
        <v>79</v>
      </c>
    </row>
    <row r="8177" spans="1:1" x14ac:dyDescent="0.3">
      <c r="A8177" t="s">
        <v>98</v>
      </c>
    </row>
    <row r="8178" spans="1:1" x14ac:dyDescent="0.3">
      <c r="A8178" t="s">
        <v>13</v>
      </c>
    </row>
    <row r="8179" spans="1:1" x14ac:dyDescent="0.3">
      <c r="A8179" t="s">
        <v>105</v>
      </c>
    </row>
    <row r="8180" spans="1:1" x14ac:dyDescent="0.3">
      <c r="A8180" t="s">
        <v>4758</v>
      </c>
    </row>
    <row r="8181" spans="1:1" x14ac:dyDescent="0.3">
      <c r="A8181" t="s">
        <v>1157</v>
      </c>
    </row>
    <row r="8182" spans="1:1" x14ac:dyDescent="0.3">
      <c r="A8182" t="s">
        <v>4759</v>
      </c>
    </row>
    <row r="8183" spans="1:1" x14ac:dyDescent="0.3">
      <c r="A8183" t="s">
        <v>12</v>
      </c>
    </row>
    <row r="8184" spans="1:1" x14ac:dyDescent="0.3">
      <c r="A8184" t="s">
        <v>13</v>
      </c>
    </row>
    <row r="8185" spans="1:1" x14ac:dyDescent="0.3">
      <c r="A8185" t="s">
        <v>106</v>
      </c>
    </row>
    <row r="8186" spans="1:1" x14ac:dyDescent="0.3">
      <c r="A8186" t="s">
        <v>4760</v>
      </c>
    </row>
    <row r="8187" spans="1:1" x14ac:dyDescent="0.3">
      <c r="A8187" t="s">
        <v>1157</v>
      </c>
    </row>
    <row r="8188" spans="1:1" x14ac:dyDescent="0.3">
      <c r="A8188" t="s">
        <v>4761</v>
      </c>
    </row>
    <row r="8189" spans="1:1" x14ac:dyDescent="0.3">
      <c r="A8189" t="s">
        <v>12</v>
      </c>
    </row>
    <row r="8190" spans="1:1" x14ac:dyDescent="0.3">
      <c r="A8190" t="s">
        <v>40</v>
      </c>
    </row>
    <row r="8192" spans="1:1" x14ac:dyDescent="0.3">
      <c r="A8192" t="s">
        <v>12</v>
      </c>
    </row>
    <row r="8193" spans="1:1" x14ac:dyDescent="0.3">
      <c r="A8193" t="s">
        <v>13</v>
      </c>
    </row>
    <row r="8194" spans="1:1" x14ac:dyDescent="0.3">
      <c r="A8194" t="s">
        <v>1236</v>
      </c>
    </row>
    <row r="8195" spans="1:1" x14ac:dyDescent="0.3">
      <c r="A8195" t="s">
        <v>4762</v>
      </c>
    </row>
    <row r="8196" spans="1:1" x14ac:dyDescent="0.3">
      <c r="A8196" t="s">
        <v>4763</v>
      </c>
    </row>
    <row r="8197" spans="1:1" x14ac:dyDescent="0.3">
      <c r="A8197" t="s">
        <v>4436</v>
      </c>
    </row>
    <row r="8198" spans="1:1" x14ac:dyDescent="0.3">
      <c r="A8198" t="s">
        <v>110</v>
      </c>
    </row>
    <row r="8199" spans="1:1" x14ac:dyDescent="0.3">
      <c r="A8199" t="s">
        <v>4764</v>
      </c>
    </row>
    <row r="8200" spans="1:1" x14ac:dyDescent="0.3">
      <c r="A8200" t="s">
        <v>4765</v>
      </c>
    </row>
    <row r="8201" spans="1:1" x14ac:dyDescent="0.3">
      <c r="A8201" t="s">
        <v>51</v>
      </c>
    </row>
    <row r="8202" spans="1:1" x14ac:dyDescent="0.3">
      <c r="A8202" t="s">
        <v>52</v>
      </c>
    </row>
    <row r="8203" spans="1:1" x14ac:dyDescent="0.3">
      <c r="A8203" t="s">
        <v>79</v>
      </c>
    </row>
    <row r="8204" spans="1:1" x14ac:dyDescent="0.3">
      <c r="A8204" t="s">
        <v>98</v>
      </c>
    </row>
    <row r="8205" spans="1:1" x14ac:dyDescent="0.3">
      <c r="A8205" t="s">
        <v>13</v>
      </c>
    </row>
    <row r="8206" spans="1:1" x14ac:dyDescent="0.3">
      <c r="A8206" t="s">
        <v>105</v>
      </c>
    </row>
    <row r="8207" spans="1:1" x14ac:dyDescent="0.3">
      <c r="A8207" t="s">
        <v>4766</v>
      </c>
    </row>
    <row r="8208" spans="1:1" x14ac:dyDescent="0.3">
      <c r="A8208" t="s">
        <v>1157</v>
      </c>
    </row>
    <row r="8209" spans="1:1" x14ac:dyDescent="0.3">
      <c r="A8209" t="s">
        <v>4767</v>
      </c>
    </row>
    <row r="8210" spans="1:1" x14ac:dyDescent="0.3">
      <c r="A8210" t="s">
        <v>12</v>
      </c>
    </row>
    <row r="8211" spans="1:1" x14ac:dyDescent="0.3">
      <c r="A8211" t="s">
        <v>13</v>
      </c>
    </row>
    <row r="8212" spans="1:1" x14ac:dyDescent="0.3">
      <c r="A8212" t="s">
        <v>106</v>
      </c>
    </row>
    <row r="8213" spans="1:1" x14ac:dyDescent="0.3">
      <c r="A8213" t="s">
        <v>4768</v>
      </c>
    </row>
    <row r="8214" spans="1:1" x14ac:dyDescent="0.3">
      <c r="A8214" t="s">
        <v>1157</v>
      </c>
    </row>
    <row r="8215" spans="1:1" x14ac:dyDescent="0.3">
      <c r="A8215" t="s">
        <v>4769</v>
      </c>
    </row>
    <row r="8216" spans="1:1" x14ac:dyDescent="0.3">
      <c r="A8216" t="s">
        <v>12</v>
      </c>
    </row>
    <row r="8217" spans="1:1" x14ac:dyDescent="0.3">
      <c r="A8217" t="s">
        <v>40</v>
      </c>
    </row>
    <row r="8219" spans="1:1" x14ac:dyDescent="0.3">
      <c r="A8219" t="s">
        <v>12</v>
      </c>
    </row>
    <row r="8220" spans="1:1" x14ac:dyDescent="0.3">
      <c r="A8220" t="s">
        <v>13</v>
      </c>
    </row>
    <row r="8221" spans="1:1" x14ac:dyDescent="0.3">
      <c r="A8221" t="s">
        <v>1244</v>
      </c>
    </row>
    <row r="8222" spans="1:1" x14ac:dyDescent="0.3">
      <c r="A8222" t="s">
        <v>4770</v>
      </c>
    </row>
    <row r="8223" spans="1:1" x14ac:dyDescent="0.3">
      <c r="A8223" t="s">
        <v>4771</v>
      </c>
    </row>
    <row r="8224" spans="1:1" x14ac:dyDescent="0.3">
      <c r="A8224" t="s">
        <v>4436</v>
      </c>
    </row>
    <row r="8225" spans="1:1" x14ac:dyDescent="0.3">
      <c r="A8225" t="s">
        <v>110</v>
      </c>
    </row>
    <row r="8226" spans="1:1" x14ac:dyDescent="0.3">
      <c r="A8226" t="s">
        <v>1154</v>
      </c>
    </row>
    <row r="8227" spans="1:1" x14ac:dyDescent="0.3">
      <c r="A8227" t="s">
        <v>4772</v>
      </c>
    </row>
    <row r="8228" spans="1:1" x14ac:dyDescent="0.3">
      <c r="A8228" t="s">
        <v>51</v>
      </c>
    </row>
    <row r="8229" spans="1:1" x14ac:dyDescent="0.3">
      <c r="A8229" t="s">
        <v>52</v>
      </c>
    </row>
    <row r="8230" spans="1:1" x14ac:dyDescent="0.3">
      <c r="A8230" t="s">
        <v>79</v>
      </c>
    </row>
    <row r="8231" spans="1:1" x14ac:dyDescent="0.3">
      <c r="A8231" t="s">
        <v>98</v>
      </c>
    </row>
    <row r="8232" spans="1:1" x14ac:dyDescent="0.3">
      <c r="A8232" t="s">
        <v>13</v>
      </c>
    </row>
    <row r="8233" spans="1:1" x14ac:dyDescent="0.3">
      <c r="A8233" t="s">
        <v>105</v>
      </c>
    </row>
    <row r="8234" spans="1:1" x14ac:dyDescent="0.3">
      <c r="A8234" t="s">
        <v>4773</v>
      </c>
    </row>
    <row r="8235" spans="1:1" x14ac:dyDescent="0.3">
      <c r="A8235" t="s">
        <v>1157</v>
      </c>
    </row>
    <row r="8236" spans="1:1" x14ac:dyDescent="0.3">
      <c r="A8236" t="s">
        <v>4774</v>
      </c>
    </row>
    <row r="8237" spans="1:1" x14ac:dyDescent="0.3">
      <c r="A8237" t="s">
        <v>12</v>
      </c>
    </row>
    <row r="8238" spans="1:1" x14ac:dyDescent="0.3">
      <c r="A8238" t="s">
        <v>13</v>
      </c>
    </row>
    <row r="8239" spans="1:1" x14ac:dyDescent="0.3">
      <c r="A8239" t="s">
        <v>106</v>
      </c>
    </row>
    <row r="8240" spans="1:1" x14ac:dyDescent="0.3">
      <c r="A8240" t="s">
        <v>4775</v>
      </c>
    </row>
    <row r="8241" spans="1:1" x14ac:dyDescent="0.3">
      <c r="A8241" t="s">
        <v>1157</v>
      </c>
    </row>
    <row r="8242" spans="1:1" x14ac:dyDescent="0.3">
      <c r="A8242" t="s">
        <v>4776</v>
      </c>
    </row>
    <row r="8243" spans="1:1" x14ac:dyDescent="0.3">
      <c r="A8243" t="s">
        <v>12</v>
      </c>
    </row>
    <row r="8244" spans="1:1" x14ac:dyDescent="0.3">
      <c r="A8244" t="s">
        <v>40</v>
      </c>
    </row>
    <row r="8246" spans="1:1" x14ac:dyDescent="0.3">
      <c r="A8246" t="s">
        <v>12</v>
      </c>
    </row>
    <row r="8247" spans="1:1" x14ac:dyDescent="0.3">
      <c r="A8247" t="s">
        <v>13</v>
      </c>
    </row>
    <row r="8248" spans="1:1" x14ac:dyDescent="0.3">
      <c r="A8248" t="s">
        <v>1252</v>
      </c>
    </row>
    <row r="8249" spans="1:1" x14ac:dyDescent="0.3">
      <c r="A8249" t="s">
        <v>4777</v>
      </c>
    </row>
    <row r="8250" spans="1:1" x14ac:dyDescent="0.3">
      <c r="A8250" t="s">
        <v>4778</v>
      </c>
    </row>
    <row r="8251" spans="1:1" x14ac:dyDescent="0.3">
      <c r="A8251" t="s">
        <v>4436</v>
      </c>
    </row>
    <row r="8252" spans="1:1" x14ac:dyDescent="0.3">
      <c r="A8252" t="s">
        <v>110</v>
      </c>
    </row>
    <row r="8253" spans="1:1" x14ac:dyDescent="0.3">
      <c r="A8253" t="s">
        <v>1154</v>
      </c>
    </row>
    <row r="8254" spans="1:1" x14ac:dyDescent="0.3">
      <c r="A8254" t="s">
        <v>4779</v>
      </c>
    </row>
    <row r="8255" spans="1:1" x14ac:dyDescent="0.3">
      <c r="A8255" t="s">
        <v>51</v>
      </c>
    </row>
    <row r="8256" spans="1:1" x14ac:dyDescent="0.3">
      <c r="A8256" t="s">
        <v>52</v>
      </c>
    </row>
    <row r="8257" spans="1:1" x14ac:dyDescent="0.3">
      <c r="A8257" t="s">
        <v>79</v>
      </c>
    </row>
    <row r="8258" spans="1:1" x14ac:dyDescent="0.3">
      <c r="A8258" t="s">
        <v>98</v>
      </c>
    </row>
    <row r="8259" spans="1:1" x14ac:dyDescent="0.3">
      <c r="A8259" t="s">
        <v>13</v>
      </c>
    </row>
    <row r="8260" spans="1:1" x14ac:dyDescent="0.3">
      <c r="A8260" t="s">
        <v>105</v>
      </c>
    </row>
    <row r="8261" spans="1:1" x14ac:dyDescent="0.3">
      <c r="A8261" t="s">
        <v>4780</v>
      </c>
    </row>
    <row r="8262" spans="1:1" x14ac:dyDescent="0.3">
      <c r="A8262" t="s">
        <v>1157</v>
      </c>
    </row>
    <row r="8263" spans="1:1" x14ac:dyDescent="0.3">
      <c r="A8263" t="s">
        <v>4781</v>
      </c>
    </row>
    <row r="8264" spans="1:1" x14ac:dyDescent="0.3">
      <c r="A8264" t="s">
        <v>12</v>
      </c>
    </row>
    <row r="8265" spans="1:1" x14ac:dyDescent="0.3">
      <c r="A8265" t="s">
        <v>13</v>
      </c>
    </row>
    <row r="8266" spans="1:1" x14ac:dyDescent="0.3">
      <c r="A8266" t="s">
        <v>106</v>
      </c>
    </row>
    <row r="8267" spans="1:1" x14ac:dyDescent="0.3">
      <c r="A8267" t="s">
        <v>4782</v>
      </c>
    </row>
    <row r="8268" spans="1:1" x14ac:dyDescent="0.3">
      <c r="A8268" t="s">
        <v>1157</v>
      </c>
    </row>
    <row r="8269" spans="1:1" x14ac:dyDescent="0.3">
      <c r="A8269" t="s">
        <v>4783</v>
      </c>
    </row>
    <row r="8270" spans="1:1" x14ac:dyDescent="0.3">
      <c r="A8270" t="s">
        <v>12</v>
      </c>
    </row>
    <row r="8271" spans="1:1" x14ac:dyDescent="0.3">
      <c r="A8271" t="s">
        <v>40</v>
      </c>
    </row>
    <row r="8273" spans="1:1" x14ac:dyDescent="0.3">
      <c r="A8273" t="s">
        <v>12</v>
      </c>
    </row>
    <row r="8274" spans="1:1" x14ac:dyDescent="0.3">
      <c r="A8274" t="s">
        <v>13</v>
      </c>
    </row>
    <row r="8275" spans="1:1" x14ac:dyDescent="0.3">
      <c r="A8275" t="s">
        <v>1256</v>
      </c>
    </row>
    <row r="8276" spans="1:1" x14ac:dyDescent="0.3">
      <c r="A8276" t="s">
        <v>4784</v>
      </c>
    </row>
    <row r="8277" spans="1:1" x14ac:dyDescent="0.3">
      <c r="A8277" t="s">
        <v>4785</v>
      </c>
    </row>
    <row r="8278" spans="1:1" x14ac:dyDescent="0.3">
      <c r="A8278" t="s">
        <v>4436</v>
      </c>
    </row>
    <row r="8279" spans="1:1" x14ac:dyDescent="0.3">
      <c r="A8279" t="s">
        <v>110</v>
      </c>
    </row>
    <row r="8280" spans="1:1" x14ac:dyDescent="0.3">
      <c r="A8280" t="s">
        <v>1154</v>
      </c>
    </row>
    <row r="8281" spans="1:1" x14ac:dyDescent="0.3">
      <c r="A8281" t="s">
        <v>4786</v>
      </c>
    </row>
    <row r="8282" spans="1:1" x14ac:dyDescent="0.3">
      <c r="A8282" t="s">
        <v>51</v>
      </c>
    </row>
    <row r="8283" spans="1:1" x14ac:dyDescent="0.3">
      <c r="A8283" t="s">
        <v>52</v>
      </c>
    </row>
    <row r="8284" spans="1:1" x14ac:dyDescent="0.3">
      <c r="A8284" t="s">
        <v>79</v>
      </c>
    </row>
    <row r="8285" spans="1:1" x14ac:dyDescent="0.3">
      <c r="A8285" t="s">
        <v>98</v>
      </c>
    </row>
    <row r="8286" spans="1:1" x14ac:dyDescent="0.3">
      <c r="A8286" t="s">
        <v>13</v>
      </c>
    </row>
    <row r="8287" spans="1:1" x14ac:dyDescent="0.3">
      <c r="A8287" t="s">
        <v>105</v>
      </c>
    </row>
    <row r="8288" spans="1:1" x14ac:dyDescent="0.3">
      <c r="A8288" t="s">
        <v>4787</v>
      </c>
    </row>
    <row r="8289" spans="1:1" x14ac:dyDescent="0.3">
      <c r="A8289" t="s">
        <v>1157</v>
      </c>
    </row>
    <row r="8290" spans="1:1" x14ac:dyDescent="0.3">
      <c r="A8290" t="s">
        <v>4788</v>
      </c>
    </row>
    <row r="8291" spans="1:1" x14ac:dyDescent="0.3">
      <c r="A8291" t="s">
        <v>12</v>
      </c>
    </row>
    <row r="8292" spans="1:1" x14ac:dyDescent="0.3">
      <c r="A8292" t="s">
        <v>13</v>
      </c>
    </row>
    <row r="8293" spans="1:1" x14ac:dyDescent="0.3">
      <c r="A8293" t="s">
        <v>106</v>
      </c>
    </row>
    <row r="8294" spans="1:1" x14ac:dyDescent="0.3">
      <c r="A8294" t="s">
        <v>4789</v>
      </c>
    </row>
    <row r="8295" spans="1:1" x14ac:dyDescent="0.3">
      <c r="A8295" t="s">
        <v>1157</v>
      </c>
    </row>
    <row r="8296" spans="1:1" x14ac:dyDescent="0.3">
      <c r="A8296" t="s">
        <v>4790</v>
      </c>
    </row>
    <row r="8297" spans="1:1" x14ac:dyDescent="0.3">
      <c r="A8297" t="s">
        <v>12</v>
      </c>
    </row>
    <row r="8298" spans="1:1" x14ac:dyDescent="0.3">
      <c r="A8298" t="s">
        <v>40</v>
      </c>
    </row>
    <row r="8300" spans="1:1" x14ac:dyDescent="0.3">
      <c r="A8300" t="s">
        <v>12</v>
      </c>
    </row>
    <row r="8301" spans="1:1" x14ac:dyDescent="0.3">
      <c r="A8301" t="s">
        <v>13</v>
      </c>
    </row>
    <row r="8302" spans="1:1" x14ac:dyDescent="0.3">
      <c r="A8302" t="s">
        <v>1260</v>
      </c>
    </row>
    <row r="8303" spans="1:1" x14ac:dyDescent="0.3">
      <c r="A8303" t="s">
        <v>4791</v>
      </c>
    </row>
    <row r="8304" spans="1:1" x14ac:dyDescent="0.3">
      <c r="A8304" t="s">
        <v>4792</v>
      </c>
    </row>
    <row r="8305" spans="1:1" x14ac:dyDescent="0.3">
      <c r="A8305" t="s">
        <v>4436</v>
      </c>
    </row>
    <row r="8306" spans="1:1" x14ac:dyDescent="0.3">
      <c r="A8306" t="s">
        <v>110</v>
      </c>
    </row>
    <row r="8307" spans="1:1" x14ac:dyDescent="0.3">
      <c r="A8307" t="s">
        <v>4793</v>
      </c>
    </row>
    <row r="8308" spans="1:1" x14ac:dyDescent="0.3">
      <c r="A8308" t="s">
        <v>4794</v>
      </c>
    </row>
    <row r="8309" spans="1:1" x14ac:dyDescent="0.3">
      <c r="A8309" t="s">
        <v>51</v>
      </c>
    </row>
    <row r="8310" spans="1:1" x14ac:dyDescent="0.3">
      <c r="A8310" t="s">
        <v>52</v>
      </c>
    </row>
    <row r="8311" spans="1:1" x14ac:dyDescent="0.3">
      <c r="A8311" t="s">
        <v>79</v>
      </c>
    </row>
    <row r="8312" spans="1:1" x14ac:dyDescent="0.3">
      <c r="A8312" t="s">
        <v>98</v>
      </c>
    </row>
    <row r="8313" spans="1:1" x14ac:dyDescent="0.3">
      <c r="A8313" t="s">
        <v>13</v>
      </c>
    </row>
    <row r="8314" spans="1:1" x14ac:dyDescent="0.3">
      <c r="A8314" t="s">
        <v>105</v>
      </c>
    </row>
    <row r="8315" spans="1:1" x14ac:dyDescent="0.3">
      <c r="A8315" t="s">
        <v>4795</v>
      </c>
    </row>
    <row r="8316" spans="1:1" x14ac:dyDescent="0.3">
      <c r="A8316" t="s">
        <v>1157</v>
      </c>
    </row>
    <row r="8317" spans="1:1" x14ac:dyDescent="0.3">
      <c r="A8317" t="s">
        <v>4796</v>
      </c>
    </row>
    <row r="8318" spans="1:1" x14ac:dyDescent="0.3">
      <c r="A8318" t="s">
        <v>12</v>
      </c>
    </row>
    <row r="8319" spans="1:1" x14ac:dyDescent="0.3">
      <c r="A8319" t="s">
        <v>13</v>
      </c>
    </row>
    <row r="8320" spans="1:1" x14ac:dyDescent="0.3">
      <c r="A8320" t="s">
        <v>106</v>
      </c>
    </row>
    <row r="8321" spans="1:1" x14ac:dyDescent="0.3">
      <c r="A8321" t="s">
        <v>4797</v>
      </c>
    </row>
    <row r="8322" spans="1:1" x14ac:dyDescent="0.3">
      <c r="A8322" t="s">
        <v>1157</v>
      </c>
    </row>
    <row r="8323" spans="1:1" x14ac:dyDescent="0.3">
      <c r="A8323" t="s">
        <v>4798</v>
      </c>
    </row>
    <row r="8324" spans="1:1" x14ac:dyDescent="0.3">
      <c r="A8324" t="s">
        <v>12</v>
      </c>
    </row>
    <row r="8325" spans="1:1" x14ac:dyDescent="0.3">
      <c r="A8325" t="s">
        <v>40</v>
      </c>
    </row>
    <row r="8327" spans="1:1" x14ac:dyDescent="0.3">
      <c r="A8327" t="s">
        <v>12</v>
      </c>
    </row>
    <row r="8328" spans="1:1" x14ac:dyDescent="0.3">
      <c r="A8328" t="s">
        <v>13</v>
      </c>
    </row>
    <row r="8329" spans="1:1" x14ac:dyDescent="0.3">
      <c r="A8329" t="s">
        <v>1264</v>
      </c>
    </row>
    <row r="8330" spans="1:1" x14ac:dyDescent="0.3">
      <c r="A8330" t="s">
        <v>4799</v>
      </c>
    </row>
    <row r="8331" spans="1:1" x14ac:dyDescent="0.3">
      <c r="A8331" t="s">
        <v>4800</v>
      </c>
    </row>
    <row r="8332" spans="1:1" x14ac:dyDescent="0.3">
      <c r="A8332" t="s">
        <v>4436</v>
      </c>
    </row>
    <row r="8333" spans="1:1" x14ac:dyDescent="0.3">
      <c r="A8333" t="s">
        <v>110</v>
      </c>
    </row>
    <row r="8334" spans="1:1" x14ac:dyDescent="0.3">
      <c r="A8334" t="s">
        <v>1154</v>
      </c>
    </row>
    <row r="8335" spans="1:1" x14ac:dyDescent="0.3">
      <c r="A8335" t="s">
        <v>4801</v>
      </c>
    </row>
    <row r="8336" spans="1:1" x14ac:dyDescent="0.3">
      <c r="A8336" t="s">
        <v>51</v>
      </c>
    </row>
    <row r="8337" spans="1:1" x14ac:dyDescent="0.3">
      <c r="A8337" t="s">
        <v>52</v>
      </c>
    </row>
    <row r="8338" spans="1:1" x14ac:dyDescent="0.3">
      <c r="A8338" t="s">
        <v>79</v>
      </c>
    </row>
    <row r="8339" spans="1:1" x14ac:dyDescent="0.3">
      <c r="A8339" t="s">
        <v>98</v>
      </c>
    </row>
    <row r="8340" spans="1:1" x14ac:dyDescent="0.3">
      <c r="A8340" t="s">
        <v>13</v>
      </c>
    </row>
    <row r="8341" spans="1:1" x14ac:dyDescent="0.3">
      <c r="A8341" t="s">
        <v>105</v>
      </c>
    </row>
    <row r="8342" spans="1:1" x14ac:dyDescent="0.3">
      <c r="A8342" t="s">
        <v>4802</v>
      </c>
    </row>
    <row r="8343" spans="1:1" x14ac:dyDescent="0.3">
      <c r="A8343" t="s">
        <v>1157</v>
      </c>
    </row>
    <row r="8344" spans="1:1" x14ac:dyDescent="0.3">
      <c r="A8344" t="s">
        <v>4803</v>
      </c>
    </row>
    <row r="8345" spans="1:1" x14ac:dyDescent="0.3">
      <c r="A8345" t="s">
        <v>12</v>
      </c>
    </row>
    <row r="8346" spans="1:1" x14ac:dyDescent="0.3">
      <c r="A8346" t="s">
        <v>13</v>
      </c>
    </row>
    <row r="8347" spans="1:1" x14ac:dyDescent="0.3">
      <c r="A8347" t="s">
        <v>106</v>
      </c>
    </row>
    <row r="8348" spans="1:1" x14ac:dyDescent="0.3">
      <c r="A8348" t="s">
        <v>4804</v>
      </c>
    </row>
    <row r="8349" spans="1:1" x14ac:dyDescent="0.3">
      <c r="A8349" t="s">
        <v>1157</v>
      </c>
    </row>
    <row r="8350" spans="1:1" x14ac:dyDescent="0.3">
      <c r="A8350" t="s">
        <v>4805</v>
      </c>
    </row>
    <row r="8351" spans="1:1" x14ac:dyDescent="0.3">
      <c r="A8351" t="s">
        <v>12</v>
      </c>
    </row>
    <row r="8352" spans="1:1" x14ac:dyDescent="0.3">
      <c r="A8352" t="s">
        <v>40</v>
      </c>
    </row>
    <row r="8354" spans="1:1" x14ac:dyDescent="0.3">
      <c r="A8354" t="s">
        <v>12</v>
      </c>
    </row>
    <row r="8355" spans="1:1" x14ac:dyDescent="0.3">
      <c r="A8355" t="s">
        <v>13</v>
      </c>
    </row>
    <row r="8356" spans="1:1" x14ac:dyDescent="0.3">
      <c r="A8356" t="s">
        <v>1268</v>
      </c>
    </row>
    <row r="8357" spans="1:1" x14ac:dyDescent="0.3">
      <c r="A8357" t="s">
        <v>4806</v>
      </c>
    </row>
    <row r="8358" spans="1:1" x14ac:dyDescent="0.3">
      <c r="A8358" t="s">
        <v>4807</v>
      </c>
    </row>
    <row r="8359" spans="1:1" x14ac:dyDescent="0.3">
      <c r="A8359" t="s">
        <v>4436</v>
      </c>
    </row>
    <row r="8360" spans="1:1" x14ac:dyDescent="0.3">
      <c r="A8360" t="s">
        <v>110</v>
      </c>
    </row>
    <row r="8361" spans="1:1" x14ac:dyDescent="0.3">
      <c r="A8361" t="s">
        <v>1154</v>
      </c>
    </row>
    <row r="8362" spans="1:1" x14ac:dyDescent="0.3">
      <c r="A8362" t="s">
        <v>4808</v>
      </c>
    </row>
    <row r="8363" spans="1:1" x14ac:dyDescent="0.3">
      <c r="A8363" t="s">
        <v>51</v>
      </c>
    </row>
    <row r="8364" spans="1:1" x14ac:dyDescent="0.3">
      <c r="A8364" t="s">
        <v>52</v>
      </c>
    </row>
    <row r="8365" spans="1:1" x14ac:dyDescent="0.3">
      <c r="A8365" t="s">
        <v>79</v>
      </c>
    </row>
    <row r="8366" spans="1:1" x14ac:dyDescent="0.3">
      <c r="A8366" t="s">
        <v>98</v>
      </c>
    </row>
    <row r="8367" spans="1:1" x14ac:dyDescent="0.3">
      <c r="A8367" t="s">
        <v>13</v>
      </c>
    </row>
    <row r="8368" spans="1:1" x14ac:dyDescent="0.3">
      <c r="A8368" t="s">
        <v>105</v>
      </c>
    </row>
    <row r="8369" spans="1:1" x14ac:dyDescent="0.3">
      <c r="A8369" t="s">
        <v>4809</v>
      </c>
    </row>
    <row r="8370" spans="1:1" x14ac:dyDescent="0.3">
      <c r="A8370" t="s">
        <v>1157</v>
      </c>
    </row>
    <row r="8371" spans="1:1" x14ac:dyDescent="0.3">
      <c r="A8371" t="s">
        <v>4810</v>
      </c>
    </row>
    <row r="8372" spans="1:1" x14ac:dyDescent="0.3">
      <c r="A8372" t="s">
        <v>12</v>
      </c>
    </row>
    <row r="8373" spans="1:1" x14ac:dyDescent="0.3">
      <c r="A8373" t="s">
        <v>13</v>
      </c>
    </row>
    <row r="8374" spans="1:1" x14ac:dyDescent="0.3">
      <c r="A8374" t="s">
        <v>106</v>
      </c>
    </row>
    <row r="8375" spans="1:1" x14ac:dyDescent="0.3">
      <c r="A8375" t="s">
        <v>4811</v>
      </c>
    </row>
    <row r="8376" spans="1:1" x14ac:dyDescent="0.3">
      <c r="A8376" t="s">
        <v>1157</v>
      </c>
    </row>
    <row r="8377" spans="1:1" x14ac:dyDescent="0.3">
      <c r="A8377" t="s">
        <v>4812</v>
      </c>
    </row>
    <row r="8378" spans="1:1" x14ac:dyDescent="0.3">
      <c r="A8378" t="s">
        <v>12</v>
      </c>
    </row>
    <row r="8379" spans="1:1" x14ac:dyDescent="0.3">
      <c r="A8379" t="s">
        <v>40</v>
      </c>
    </row>
    <row r="8381" spans="1:1" x14ac:dyDescent="0.3">
      <c r="A8381" t="s">
        <v>12</v>
      </c>
    </row>
    <row r="8382" spans="1:1" x14ac:dyDescent="0.3">
      <c r="A8382" t="s">
        <v>13</v>
      </c>
    </row>
    <row r="8383" spans="1:1" x14ac:dyDescent="0.3">
      <c r="A8383" t="s">
        <v>1276</v>
      </c>
    </row>
    <row r="8384" spans="1:1" x14ac:dyDescent="0.3">
      <c r="A8384" t="s">
        <v>4813</v>
      </c>
    </row>
    <row r="8385" spans="1:1" x14ac:dyDescent="0.3">
      <c r="A8385" t="s">
        <v>4814</v>
      </c>
    </row>
    <row r="8386" spans="1:1" x14ac:dyDescent="0.3">
      <c r="A8386" t="s">
        <v>4436</v>
      </c>
    </row>
    <row r="8387" spans="1:1" x14ac:dyDescent="0.3">
      <c r="A8387" t="s">
        <v>110</v>
      </c>
    </row>
    <row r="8388" spans="1:1" x14ac:dyDescent="0.3">
      <c r="A8388" t="s">
        <v>4815</v>
      </c>
    </row>
    <row r="8389" spans="1:1" x14ac:dyDescent="0.3">
      <c r="A8389" t="s">
        <v>4816</v>
      </c>
    </row>
    <row r="8390" spans="1:1" x14ac:dyDescent="0.3">
      <c r="A8390" t="s">
        <v>51</v>
      </c>
    </row>
    <row r="8391" spans="1:1" x14ac:dyDescent="0.3">
      <c r="A8391" t="s">
        <v>52</v>
      </c>
    </row>
    <row r="8392" spans="1:1" x14ac:dyDescent="0.3">
      <c r="A8392" t="s">
        <v>79</v>
      </c>
    </row>
    <row r="8393" spans="1:1" x14ac:dyDescent="0.3">
      <c r="A8393" t="s">
        <v>98</v>
      </c>
    </row>
    <row r="8394" spans="1:1" x14ac:dyDescent="0.3">
      <c r="A8394" t="s">
        <v>13</v>
      </c>
    </row>
    <row r="8395" spans="1:1" x14ac:dyDescent="0.3">
      <c r="A8395" t="s">
        <v>105</v>
      </c>
    </row>
    <row r="8396" spans="1:1" x14ac:dyDescent="0.3">
      <c r="A8396" t="s">
        <v>4817</v>
      </c>
    </row>
    <row r="8397" spans="1:1" x14ac:dyDescent="0.3">
      <c r="A8397" t="s">
        <v>1157</v>
      </c>
    </row>
    <row r="8398" spans="1:1" x14ac:dyDescent="0.3">
      <c r="A8398" t="s">
        <v>4818</v>
      </c>
    </row>
    <row r="8399" spans="1:1" x14ac:dyDescent="0.3">
      <c r="A8399" t="s">
        <v>12</v>
      </c>
    </row>
    <row r="8400" spans="1:1" x14ac:dyDescent="0.3">
      <c r="A8400" t="s">
        <v>13</v>
      </c>
    </row>
    <row r="8401" spans="1:1" x14ac:dyDescent="0.3">
      <c r="A8401" t="s">
        <v>106</v>
      </c>
    </row>
    <row r="8402" spans="1:1" x14ac:dyDescent="0.3">
      <c r="A8402" t="s">
        <v>4819</v>
      </c>
    </row>
    <row r="8403" spans="1:1" x14ac:dyDescent="0.3">
      <c r="A8403" t="s">
        <v>1157</v>
      </c>
    </row>
    <row r="8404" spans="1:1" x14ac:dyDescent="0.3">
      <c r="A8404" t="s">
        <v>4820</v>
      </c>
    </row>
    <row r="8405" spans="1:1" x14ac:dyDescent="0.3">
      <c r="A8405" t="s">
        <v>12</v>
      </c>
    </row>
    <row r="8406" spans="1:1" x14ac:dyDescent="0.3">
      <c r="A8406" t="s">
        <v>40</v>
      </c>
    </row>
    <row r="8408" spans="1:1" x14ac:dyDescent="0.3">
      <c r="A8408" t="s">
        <v>12</v>
      </c>
    </row>
    <row r="8409" spans="1:1" x14ac:dyDescent="0.3">
      <c r="A8409" t="s">
        <v>13</v>
      </c>
    </row>
    <row r="8410" spans="1:1" x14ac:dyDescent="0.3">
      <c r="A8410" t="s">
        <v>1279</v>
      </c>
    </row>
    <row r="8411" spans="1:1" x14ac:dyDescent="0.3">
      <c r="A8411" t="s">
        <v>4821</v>
      </c>
    </row>
    <row r="8412" spans="1:1" x14ac:dyDescent="0.3">
      <c r="A8412" t="s">
        <v>4822</v>
      </c>
    </row>
    <row r="8413" spans="1:1" x14ac:dyDescent="0.3">
      <c r="A8413" t="s">
        <v>4436</v>
      </c>
    </row>
    <row r="8414" spans="1:1" x14ac:dyDescent="0.3">
      <c r="A8414" t="s">
        <v>110</v>
      </c>
    </row>
    <row r="8415" spans="1:1" x14ac:dyDescent="0.3">
      <c r="A8415" t="s">
        <v>4823</v>
      </c>
    </row>
    <row r="8416" spans="1:1" x14ac:dyDescent="0.3">
      <c r="A8416" t="s">
        <v>4824</v>
      </c>
    </row>
    <row r="8417" spans="1:1" x14ac:dyDescent="0.3">
      <c r="A8417" t="s">
        <v>51</v>
      </c>
    </row>
    <row r="8418" spans="1:1" x14ac:dyDescent="0.3">
      <c r="A8418" t="s">
        <v>52</v>
      </c>
    </row>
    <row r="8419" spans="1:1" x14ac:dyDescent="0.3">
      <c r="A8419" t="s">
        <v>79</v>
      </c>
    </row>
    <row r="8420" spans="1:1" x14ac:dyDescent="0.3">
      <c r="A8420" t="s">
        <v>98</v>
      </c>
    </row>
    <row r="8421" spans="1:1" x14ac:dyDescent="0.3">
      <c r="A8421" t="s">
        <v>13</v>
      </c>
    </row>
    <row r="8422" spans="1:1" x14ac:dyDescent="0.3">
      <c r="A8422" t="s">
        <v>105</v>
      </c>
    </row>
    <row r="8423" spans="1:1" x14ac:dyDescent="0.3">
      <c r="A8423" t="s">
        <v>4825</v>
      </c>
    </row>
    <row r="8424" spans="1:1" x14ac:dyDescent="0.3">
      <c r="A8424" t="s">
        <v>1157</v>
      </c>
    </row>
    <row r="8425" spans="1:1" x14ac:dyDescent="0.3">
      <c r="A8425" t="s">
        <v>4826</v>
      </c>
    </row>
    <row r="8426" spans="1:1" x14ac:dyDescent="0.3">
      <c r="A8426" t="s">
        <v>12</v>
      </c>
    </row>
    <row r="8427" spans="1:1" x14ac:dyDescent="0.3">
      <c r="A8427" t="s">
        <v>13</v>
      </c>
    </row>
    <row r="8428" spans="1:1" x14ac:dyDescent="0.3">
      <c r="A8428" t="s">
        <v>106</v>
      </c>
    </row>
    <row r="8429" spans="1:1" x14ac:dyDescent="0.3">
      <c r="A8429" t="s">
        <v>4827</v>
      </c>
    </row>
    <row r="8430" spans="1:1" x14ac:dyDescent="0.3">
      <c r="A8430" t="s">
        <v>1157</v>
      </c>
    </row>
    <row r="8431" spans="1:1" x14ac:dyDescent="0.3">
      <c r="A8431" t="s">
        <v>4828</v>
      </c>
    </row>
    <row r="8432" spans="1:1" x14ac:dyDescent="0.3">
      <c r="A8432" t="s">
        <v>12</v>
      </c>
    </row>
    <row r="8433" spans="1:1" x14ac:dyDescent="0.3">
      <c r="A8433" t="s">
        <v>40</v>
      </c>
    </row>
    <row r="8435" spans="1:1" x14ac:dyDescent="0.3">
      <c r="A8435" t="s">
        <v>12</v>
      </c>
    </row>
    <row r="8436" spans="1:1" x14ac:dyDescent="0.3">
      <c r="A8436" t="s">
        <v>13</v>
      </c>
    </row>
    <row r="8437" spans="1:1" x14ac:dyDescent="0.3">
      <c r="A8437" t="s">
        <v>1287</v>
      </c>
    </row>
    <row r="8438" spans="1:1" x14ac:dyDescent="0.3">
      <c r="A8438" t="s">
        <v>4829</v>
      </c>
    </row>
    <row r="8439" spans="1:1" x14ac:dyDescent="0.3">
      <c r="A8439" t="s">
        <v>4830</v>
      </c>
    </row>
    <row r="8440" spans="1:1" x14ac:dyDescent="0.3">
      <c r="A8440" t="s">
        <v>4436</v>
      </c>
    </row>
    <row r="8441" spans="1:1" x14ac:dyDescent="0.3">
      <c r="A8441" t="s">
        <v>110</v>
      </c>
    </row>
    <row r="8442" spans="1:1" x14ac:dyDescent="0.3">
      <c r="A8442" t="s">
        <v>4831</v>
      </c>
    </row>
    <row r="8443" spans="1:1" x14ac:dyDescent="0.3">
      <c r="A8443" t="s">
        <v>4832</v>
      </c>
    </row>
    <row r="8444" spans="1:1" x14ac:dyDescent="0.3">
      <c r="A8444" t="s">
        <v>51</v>
      </c>
    </row>
    <row r="8445" spans="1:1" x14ac:dyDescent="0.3">
      <c r="A8445" t="s">
        <v>52</v>
      </c>
    </row>
    <row r="8446" spans="1:1" x14ac:dyDescent="0.3">
      <c r="A8446" t="s">
        <v>79</v>
      </c>
    </row>
    <row r="8447" spans="1:1" x14ac:dyDescent="0.3">
      <c r="A8447" t="s">
        <v>98</v>
      </c>
    </row>
    <row r="8448" spans="1:1" x14ac:dyDescent="0.3">
      <c r="A8448" t="s">
        <v>13</v>
      </c>
    </row>
    <row r="8449" spans="1:1" x14ac:dyDescent="0.3">
      <c r="A8449" t="s">
        <v>105</v>
      </c>
    </row>
    <row r="8450" spans="1:1" x14ac:dyDescent="0.3">
      <c r="A8450" t="s">
        <v>4833</v>
      </c>
    </row>
    <row r="8451" spans="1:1" x14ac:dyDescent="0.3">
      <c r="A8451" t="s">
        <v>1157</v>
      </c>
    </row>
    <row r="8452" spans="1:1" x14ac:dyDescent="0.3">
      <c r="A8452" t="s">
        <v>4834</v>
      </c>
    </row>
    <row r="8453" spans="1:1" x14ac:dyDescent="0.3">
      <c r="A8453" t="s">
        <v>12</v>
      </c>
    </row>
    <row r="8454" spans="1:1" x14ac:dyDescent="0.3">
      <c r="A8454" t="s">
        <v>13</v>
      </c>
    </row>
    <row r="8455" spans="1:1" x14ac:dyDescent="0.3">
      <c r="A8455" t="s">
        <v>106</v>
      </c>
    </row>
    <row r="8456" spans="1:1" x14ac:dyDescent="0.3">
      <c r="A8456" t="s">
        <v>4835</v>
      </c>
    </row>
    <row r="8457" spans="1:1" x14ac:dyDescent="0.3">
      <c r="A8457" t="s">
        <v>1157</v>
      </c>
    </row>
    <row r="8458" spans="1:1" x14ac:dyDescent="0.3">
      <c r="A8458" t="s">
        <v>4836</v>
      </c>
    </row>
    <row r="8459" spans="1:1" x14ac:dyDescent="0.3">
      <c r="A8459" t="s">
        <v>12</v>
      </c>
    </row>
    <row r="8460" spans="1:1" x14ac:dyDescent="0.3">
      <c r="A8460" t="s">
        <v>40</v>
      </c>
    </row>
    <row r="8462" spans="1:1" x14ac:dyDescent="0.3">
      <c r="A8462" t="s">
        <v>12</v>
      </c>
    </row>
    <row r="8463" spans="1:1" x14ac:dyDescent="0.3">
      <c r="A8463" t="s">
        <v>13</v>
      </c>
    </row>
    <row r="8464" spans="1:1" x14ac:dyDescent="0.3">
      <c r="A8464" t="s">
        <v>1295</v>
      </c>
    </row>
    <row r="8465" spans="1:1" x14ac:dyDescent="0.3">
      <c r="A8465" t="s">
        <v>1360</v>
      </c>
    </row>
    <row r="8466" spans="1:1" x14ac:dyDescent="0.3">
      <c r="A8466" t="s">
        <v>4837</v>
      </c>
    </row>
    <row r="8467" spans="1:1" x14ac:dyDescent="0.3">
      <c r="A8467" t="s">
        <v>4436</v>
      </c>
    </row>
    <row r="8468" spans="1:1" x14ac:dyDescent="0.3">
      <c r="A8468" t="s">
        <v>110</v>
      </c>
    </row>
    <row r="8469" spans="1:1" x14ac:dyDescent="0.3">
      <c r="A8469" t="s">
        <v>1154</v>
      </c>
    </row>
    <row r="8470" spans="1:1" x14ac:dyDescent="0.3">
      <c r="A8470" t="s">
        <v>4838</v>
      </c>
    </row>
    <row r="8471" spans="1:1" x14ac:dyDescent="0.3">
      <c r="A8471" t="s">
        <v>51</v>
      </c>
    </row>
    <row r="8472" spans="1:1" x14ac:dyDescent="0.3">
      <c r="A8472" t="s">
        <v>52</v>
      </c>
    </row>
    <row r="8473" spans="1:1" x14ac:dyDescent="0.3">
      <c r="A8473" t="s">
        <v>79</v>
      </c>
    </row>
    <row r="8474" spans="1:1" x14ac:dyDescent="0.3">
      <c r="A8474" t="s">
        <v>98</v>
      </c>
    </row>
    <row r="8475" spans="1:1" x14ac:dyDescent="0.3">
      <c r="A8475" t="s">
        <v>13</v>
      </c>
    </row>
    <row r="8476" spans="1:1" x14ac:dyDescent="0.3">
      <c r="A8476" t="s">
        <v>105</v>
      </c>
    </row>
    <row r="8477" spans="1:1" x14ac:dyDescent="0.3">
      <c r="A8477" t="s">
        <v>4839</v>
      </c>
    </row>
    <row r="8478" spans="1:1" x14ac:dyDescent="0.3">
      <c r="A8478" t="s">
        <v>1157</v>
      </c>
    </row>
    <row r="8479" spans="1:1" x14ac:dyDescent="0.3">
      <c r="A8479" t="s">
        <v>4840</v>
      </c>
    </row>
    <row r="8480" spans="1:1" x14ac:dyDescent="0.3">
      <c r="A8480" t="s">
        <v>12</v>
      </c>
    </row>
    <row r="8481" spans="1:1" x14ac:dyDescent="0.3">
      <c r="A8481" t="s">
        <v>13</v>
      </c>
    </row>
    <row r="8482" spans="1:1" x14ac:dyDescent="0.3">
      <c r="A8482" t="s">
        <v>106</v>
      </c>
    </row>
    <row r="8483" spans="1:1" x14ac:dyDescent="0.3">
      <c r="A8483" t="s">
        <v>4841</v>
      </c>
    </row>
    <row r="8484" spans="1:1" x14ac:dyDescent="0.3">
      <c r="A8484" t="s">
        <v>1157</v>
      </c>
    </row>
    <row r="8485" spans="1:1" x14ac:dyDescent="0.3">
      <c r="A8485" t="s">
        <v>4842</v>
      </c>
    </row>
    <row r="8486" spans="1:1" x14ac:dyDescent="0.3">
      <c r="A8486" t="s">
        <v>12</v>
      </c>
    </row>
    <row r="8487" spans="1:1" x14ac:dyDescent="0.3">
      <c r="A8487" t="s">
        <v>40</v>
      </c>
    </row>
    <row r="8489" spans="1:1" x14ac:dyDescent="0.3">
      <c r="A8489" t="s">
        <v>12</v>
      </c>
    </row>
    <row r="8490" spans="1:1" x14ac:dyDescent="0.3">
      <c r="A8490" t="s">
        <v>13</v>
      </c>
    </row>
    <row r="8491" spans="1:1" x14ac:dyDescent="0.3">
      <c r="A8491" t="s">
        <v>1298</v>
      </c>
    </row>
    <row r="8492" spans="1:1" x14ac:dyDescent="0.3">
      <c r="A8492" t="s">
        <v>4843</v>
      </c>
    </row>
    <row r="8493" spans="1:1" x14ac:dyDescent="0.3">
      <c r="A8493" t="s">
        <v>4844</v>
      </c>
    </row>
    <row r="8494" spans="1:1" x14ac:dyDescent="0.3">
      <c r="A8494" t="s">
        <v>4436</v>
      </c>
    </row>
    <row r="8495" spans="1:1" x14ac:dyDescent="0.3">
      <c r="A8495" t="s">
        <v>110</v>
      </c>
    </row>
    <row r="8496" spans="1:1" x14ac:dyDescent="0.3">
      <c r="A8496" t="s">
        <v>1154</v>
      </c>
    </row>
    <row r="8497" spans="1:1" x14ac:dyDescent="0.3">
      <c r="A8497" t="s">
        <v>4845</v>
      </c>
    </row>
    <row r="8498" spans="1:1" x14ac:dyDescent="0.3">
      <c r="A8498" t="s">
        <v>51</v>
      </c>
    </row>
    <row r="8499" spans="1:1" x14ac:dyDescent="0.3">
      <c r="A8499" t="s">
        <v>52</v>
      </c>
    </row>
    <row r="8500" spans="1:1" x14ac:dyDescent="0.3">
      <c r="A8500" t="s">
        <v>79</v>
      </c>
    </row>
    <row r="8501" spans="1:1" x14ac:dyDescent="0.3">
      <c r="A8501" t="s">
        <v>98</v>
      </c>
    </row>
    <row r="8502" spans="1:1" x14ac:dyDescent="0.3">
      <c r="A8502" t="s">
        <v>13</v>
      </c>
    </row>
    <row r="8503" spans="1:1" x14ac:dyDescent="0.3">
      <c r="A8503" t="s">
        <v>105</v>
      </c>
    </row>
    <row r="8504" spans="1:1" x14ac:dyDescent="0.3">
      <c r="A8504" t="s">
        <v>4846</v>
      </c>
    </row>
    <row r="8505" spans="1:1" x14ac:dyDescent="0.3">
      <c r="A8505" t="s">
        <v>1157</v>
      </c>
    </row>
    <row r="8506" spans="1:1" x14ac:dyDescent="0.3">
      <c r="A8506" t="s">
        <v>4847</v>
      </c>
    </row>
    <row r="8507" spans="1:1" x14ac:dyDescent="0.3">
      <c r="A8507" t="s">
        <v>12</v>
      </c>
    </row>
    <row r="8508" spans="1:1" x14ac:dyDescent="0.3">
      <c r="A8508" t="s">
        <v>13</v>
      </c>
    </row>
    <row r="8509" spans="1:1" x14ac:dyDescent="0.3">
      <c r="A8509" t="s">
        <v>106</v>
      </c>
    </row>
    <row r="8510" spans="1:1" x14ac:dyDescent="0.3">
      <c r="A8510" t="s">
        <v>4848</v>
      </c>
    </row>
    <row r="8511" spans="1:1" x14ac:dyDescent="0.3">
      <c r="A8511" t="s">
        <v>1157</v>
      </c>
    </row>
    <row r="8512" spans="1:1" x14ac:dyDescent="0.3">
      <c r="A8512" t="s">
        <v>4849</v>
      </c>
    </row>
    <row r="8513" spans="1:1" x14ac:dyDescent="0.3">
      <c r="A8513" t="s">
        <v>12</v>
      </c>
    </row>
    <row r="8514" spans="1:1" x14ac:dyDescent="0.3">
      <c r="A8514" t="s">
        <v>40</v>
      </c>
    </row>
    <row r="8516" spans="1:1" x14ac:dyDescent="0.3">
      <c r="A8516" t="s">
        <v>12</v>
      </c>
    </row>
    <row r="8517" spans="1:1" x14ac:dyDescent="0.3">
      <c r="A8517" t="s">
        <v>13</v>
      </c>
    </row>
    <row r="8518" spans="1:1" x14ac:dyDescent="0.3">
      <c r="A8518" t="s">
        <v>1306</v>
      </c>
    </row>
    <row r="8519" spans="1:1" x14ac:dyDescent="0.3">
      <c r="A8519" t="s">
        <v>4850</v>
      </c>
    </row>
    <row r="8520" spans="1:1" x14ac:dyDescent="0.3">
      <c r="A8520" t="s">
        <v>4851</v>
      </c>
    </row>
    <row r="8521" spans="1:1" x14ac:dyDescent="0.3">
      <c r="A8521" t="s">
        <v>4436</v>
      </c>
    </row>
    <row r="8522" spans="1:1" x14ac:dyDescent="0.3">
      <c r="A8522" t="s">
        <v>110</v>
      </c>
    </row>
    <row r="8523" spans="1:1" x14ac:dyDescent="0.3">
      <c r="A8523" t="s">
        <v>4852</v>
      </c>
    </row>
    <row r="8524" spans="1:1" x14ac:dyDescent="0.3">
      <c r="A8524" t="s">
        <v>4853</v>
      </c>
    </row>
    <row r="8525" spans="1:1" x14ac:dyDescent="0.3">
      <c r="A8525" t="s">
        <v>51</v>
      </c>
    </row>
    <row r="8526" spans="1:1" x14ac:dyDescent="0.3">
      <c r="A8526" t="s">
        <v>52</v>
      </c>
    </row>
    <row r="8527" spans="1:1" x14ac:dyDescent="0.3">
      <c r="A8527" t="s">
        <v>79</v>
      </c>
    </row>
    <row r="8528" spans="1:1" x14ac:dyDescent="0.3">
      <c r="A8528" t="s">
        <v>98</v>
      </c>
    </row>
    <row r="8529" spans="1:1" x14ac:dyDescent="0.3">
      <c r="A8529" t="s">
        <v>13</v>
      </c>
    </row>
    <row r="8530" spans="1:1" x14ac:dyDescent="0.3">
      <c r="A8530" t="s">
        <v>105</v>
      </c>
    </row>
    <row r="8531" spans="1:1" x14ac:dyDescent="0.3">
      <c r="A8531" t="s">
        <v>4854</v>
      </c>
    </row>
    <row r="8532" spans="1:1" x14ac:dyDescent="0.3">
      <c r="A8532" t="s">
        <v>1157</v>
      </c>
    </row>
    <row r="8533" spans="1:1" x14ac:dyDescent="0.3">
      <c r="A8533" t="s">
        <v>4855</v>
      </c>
    </row>
    <row r="8534" spans="1:1" x14ac:dyDescent="0.3">
      <c r="A8534" t="s">
        <v>12</v>
      </c>
    </row>
    <row r="8535" spans="1:1" x14ac:dyDescent="0.3">
      <c r="A8535" t="s">
        <v>13</v>
      </c>
    </row>
    <row r="8536" spans="1:1" x14ac:dyDescent="0.3">
      <c r="A8536" t="s">
        <v>106</v>
      </c>
    </row>
    <row r="8537" spans="1:1" x14ac:dyDescent="0.3">
      <c r="A8537" t="s">
        <v>4856</v>
      </c>
    </row>
    <row r="8538" spans="1:1" x14ac:dyDescent="0.3">
      <c r="A8538" t="s">
        <v>1157</v>
      </c>
    </row>
    <row r="8539" spans="1:1" x14ac:dyDescent="0.3">
      <c r="A8539" t="s">
        <v>4857</v>
      </c>
    </row>
    <row r="8540" spans="1:1" x14ac:dyDescent="0.3">
      <c r="A8540" t="s">
        <v>12</v>
      </c>
    </row>
    <row r="8541" spans="1:1" x14ac:dyDescent="0.3">
      <c r="A8541" t="s">
        <v>40</v>
      </c>
    </row>
    <row r="8543" spans="1:1" x14ac:dyDescent="0.3">
      <c r="A8543" t="s">
        <v>12</v>
      </c>
    </row>
    <row r="8544" spans="1:1" x14ac:dyDescent="0.3">
      <c r="A8544" t="s">
        <v>13</v>
      </c>
    </row>
    <row r="8545" spans="1:1" x14ac:dyDescent="0.3">
      <c r="A8545" t="s">
        <v>1314</v>
      </c>
    </row>
    <row r="8546" spans="1:1" x14ac:dyDescent="0.3">
      <c r="A8546" t="s">
        <v>4858</v>
      </c>
    </row>
    <row r="8547" spans="1:1" x14ac:dyDescent="0.3">
      <c r="A8547" t="s">
        <v>4859</v>
      </c>
    </row>
    <row r="8548" spans="1:1" x14ac:dyDescent="0.3">
      <c r="A8548" t="s">
        <v>4436</v>
      </c>
    </row>
    <row r="8549" spans="1:1" x14ac:dyDescent="0.3">
      <c r="A8549" t="s">
        <v>110</v>
      </c>
    </row>
    <row r="8550" spans="1:1" x14ac:dyDescent="0.3">
      <c r="A8550" t="s">
        <v>1154</v>
      </c>
    </row>
    <row r="8551" spans="1:1" x14ac:dyDescent="0.3">
      <c r="A8551" t="s">
        <v>4860</v>
      </c>
    </row>
    <row r="8552" spans="1:1" x14ac:dyDescent="0.3">
      <c r="A8552" t="s">
        <v>51</v>
      </c>
    </row>
    <row r="8553" spans="1:1" x14ac:dyDescent="0.3">
      <c r="A8553" t="s">
        <v>52</v>
      </c>
    </row>
    <row r="8554" spans="1:1" x14ac:dyDescent="0.3">
      <c r="A8554" t="s">
        <v>79</v>
      </c>
    </row>
    <row r="8555" spans="1:1" x14ac:dyDescent="0.3">
      <c r="A8555" t="s">
        <v>98</v>
      </c>
    </row>
    <row r="8556" spans="1:1" x14ac:dyDescent="0.3">
      <c r="A8556" t="s">
        <v>13</v>
      </c>
    </row>
    <row r="8557" spans="1:1" x14ac:dyDescent="0.3">
      <c r="A8557" t="s">
        <v>105</v>
      </c>
    </row>
    <row r="8558" spans="1:1" x14ac:dyDescent="0.3">
      <c r="A8558" t="s">
        <v>4861</v>
      </c>
    </row>
    <row r="8559" spans="1:1" x14ac:dyDescent="0.3">
      <c r="A8559" t="s">
        <v>1157</v>
      </c>
    </row>
    <row r="8560" spans="1:1" x14ac:dyDescent="0.3">
      <c r="A8560" t="s">
        <v>4862</v>
      </c>
    </row>
    <row r="8561" spans="1:1" x14ac:dyDescent="0.3">
      <c r="A8561" t="s">
        <v>12</v>
      </c>
    </row>
    <row r="8562" spans="1:1" x14ac:dyDescent="0.3">
      <c r="A8562" t="s">
        <v>13</v>
      </c>
    </row>
    <row r="8563" spans="1:1" x14ac:dyDescent="0.3">
      <c r="A8563" t="s">
        <v>106</v>
      </c>
    </row>
    <row r="8564" spans="1:1" x14ac:dyDescent="0.3">
      <c r="A8564" t="s">
        <v>4863</v>
      </c>
    </row>
    <row r="8565" spans="1:1" x14ac:dyDescent="0.3">
      <c r="A8565" t="s">
        <v>1157</v>
      </c>
    </row>
    <row r="8566" spans="1:1" x14ac:dyDescent="0.3">
      <c r="A8566" t="s">
        <v>4864</v>
      </c>
    </row>
    <row r="8567" spans="1:1" x14ac:dyDescent="0.3">
      <c r="A8567" t="s">
        <v>12</v>
      </c>
    </row>
    <row r="8568" spans="1:1" x14ac:dyDescent="0.3">
      <c r="A8568" t="s">
        <v>40</v>
      </c>
    </row>
    <row r="8570" spans="1:1" x14ac:dyDescent="0.3">
      <c r="A8570" t="s">
        <v>12</v>
      </c>
    </row>
    <row r="8571" spans="1:1" x14ac:dyDescent="0.3">
      <c r="A8571" t="s">
        <v>13</v>
      </c>
    </row>
    <row r="8572" spans="1:1" x14ac:dyDescent="0.3">
      <c r="A8572" t="s">
        <v>1322</v>
      </c>
    </row>
    <row r="8573" spans="1:1" x14ac:dyDescent="0.3">
      <c r="A8573" t="s">
        <v>4865</v>
      </c>
    </row>
    <row r="8574" spans="1:1" x14ac:dyDescent="0.3">
      <c r="A8574" t="s">
        <v>4866</v>
      </c>
    </row>
    <row r="8575" spans="1:1" x14ac:dyDescent="0.3">
      <c r="A8575" t="s">
        <v>4436</v>
      </c>
    </row>
    <row r="8576" spans="1:1" x14ac:dyDescent="0.3">
      <c r="A8576" t="s">
        <v>110</v>
      </c>
    </row>
    <row r="8577" spans="1:1" x14ac:dyDescent="0.3">
      <c r="A8577" t="s">
        <v>1154</v>
      </c>
    </row>
    <row r="8578" spans="1:1" x14ac:dyDescent="0.3">
      <c r="A8578" t="s">
        <v>4867</v>
      </c>
    </row>
    <row r="8579" spans="1:1" x14ac:dyDescent="0.3">
      <c r="A8579" t="s">
        <v>51</v>
      </c>
    </row>
    <row r="8580" spans="1:1" x14ac:dyDescent="0.3">
      <c r="A8580" t="s">
        <v>52</v>
      </c>
    </row>
    <row r="8581" spans="1:1" x14ac:dyDescent="0.3">
      <c r="A8581" t="s">
        <v>79</v>
      </c>
    </row>
    <row r="8582" spans="1:1" x14ac:dyDescent="0.3">
      <c r="A8582" t="s">
        <v>98</v>
      </c>
    </row>
    <row r="8583" spans="1:1" x14ac:dyDescent="0.3">
      <c r="A8583" t="s">
        <v>13</v>
      </c>
    </row>
    <row r="8584" spans="1:1" x14ac:dyDescent="0.3">
      <c r="A8584" t="s">
        <v>105</v>
      </c>
    </row>
    <row r="8585" spans="1:1" x14ac:dyDescent="0.3">
      <c r="A8585" t="s">
        <v>4868</v>
      </c>
    </row>
    <row r="8586" spans="1:1" x14ac:dyDescent="0.3">
      <c r="A8586" t="s">
        <v>1157</v>
      </c>
    </row>
    <row r="8587" spans="1:1" x14ac:dyDescent="0.3">
      <c r="A8587" t="s">
        <v>4869</v>
      </c>
    </row>
    <row r="8588" spans="1:1" x14ac:dyDescent="0.3">
      <c r="A8588" t="s">
        <v>12</v>
      </c>
    </row>
    <row r="8589" spans="1:1" x14ac:dyDescent="0.3">
      <c r="A8589" t="s">
        <v>13</v>
      </c>
    </row>
    <row r="8590" spans="1:1" x14ac:dyDescent="0.3">
      <c r="A8590" t="s">
        <v>106</v>
      </c>
    </row>
    <row r="8591" spans="1:1" x14ac:dyDescent="0.3">
      <c r="A8591" t="s">
        <v>4870</v>
      </c>
    </row>
    <row r="8592" spans="1:1" x14ac:dyDescent="0.3">
      <c r="A8592" t="s">
        <v>1157</v>
      </c>
    </row>
    <row r="8593" spans="1:1" x14ac:dyDescent="0.3">
      <c r="A8593" t="s">
        <v>4871</v>
      </c>
    </row>
    <row r="8594" spans="1:1" x14ac:dyDescent="0.3">
      <c r="A8594" t="s">
        <v>12</v>
      </c>
    </row>
    <row r="8595" spans="1:1" x14ac:dyDescent="0.3">
      <c r="A8595" t="s">
        <v>40</v>
      </c>
    </row>
    <row r="8597" spans="1:1" x14ac:dyDescent="0.3">
      <c r="A8597" t="s">
        <v>12</v>
      </c>
    </row>
    <row r="8598" spans="1:1" x14ac:dyDescent="0.3">
      <c r="A8598" t="s">
        <v>13</v>
      </c>
    </row>
    <row r="8599" spans="1:1" x14ac:dyDescent="0.3">
      <c r="A8599" t="s">
        <v>1328</v>
      </c>
    </row>
    <row r="8600" spans="1:1" x14ac:dyDescent="0.3">
      <c r="A8600" t="s">
        <v>4872</v>
      </c>
    </row>
    <row r="8601" spans="1:1" x14ac:dyDescent="0.3">
      <c r="A8601" t="s">
        <v>4873</v>
      </c>
    </row>
    <row r="8602" spans="1:1" x14ac:dyDescent="0.3">
      <c r="A8602" t="s">
        <v>4436</v>
      </c>
    </row>
    <row r="8603" spans="1:1" x14ac:dyDescent="0.3">
      <c r="A8603" t="s">
        <v>110</v>
      </c>
    </row>
    <row r="8604" spans="1:1" x14ac:dyDescent="0.3">
      <c r="A8604" t="s">
        <v>1154</v>
      </c>
    </row>
    <row r="8605" spans="1:1" x14ac:dyDescent="0.3">
      <c r="A8605" t="s">
        <v>4874</v>
      </c>
    </row>
    <row r="8606" spans="1:1" x14ac:dyDescent="0.3">
      <c r="A8606" t="s">
        <v>51</v>
      </c>
    </row>
    <row r="8607" spans="1:1" x14ac:dyDescent="0.3">
      <c r="A8607" t="s">
        <v>52</v>
      </c>
    </row>
    <row r="8608" spans="1:1" x14ac:dyDescent="0.3">
      <c r="A8608" t="s">
        <v>79</v>
      </c>
    </row>
    <row r="8609" spans="1:1" x14ac:dyDescent="0.3">
      <c r="A8609" t="s">
        <v>98</v>
      </c>
    </row>
    <row r="8610" spans="1:1" x14ac:dyDescent="0.3">
      <c r="A8610" t="s">
        <v>13</v>
      </c>
    </row>
    <row r="8611" spans="1:1" x14ac:dyDescent="0.3">
      <c r="A8611" t="s">
        <v>105</v>
      </c>
    </row>
    <row r="8612" spans="1:1" x14ac:dyDescent="0.3">
      <c r="A8612" t="s">
        <v>4875</v>
      </c>
    </row>
    <row r="8613" spans="1:1" x14ac:dyDescent="0.3">
      <c r="A8613" t="s">
        <v>1157</v>
      </c>
    </row>
    <row r="8614" spans="1:1" x14ac:dyDescent="0.3">
      <c r="A8614" t="s">
        <v>4876</v>
      </c>
    </row>
    <row r="8615" spans="1:1" x14ac:dyDescent="0.3">
      <c r="A8615" t="s">
        <v>12</v>
      </c>
    </row>
    <row r="8616" spans="1:1" x14ac:dyDescent="0.3">
      <c r="A8616" t="s">
        <v>40</v>
      </c>
    </row>
    <row r="8618" spans="1:1" x14ac:dyDescent="0.3">
      <c r="A8618" t="s">
        <v>12</v>
      </c>
    </row>
    <row r="8619" spans="1:1" x14ac:dyDescent="0.3">
      <c r="A8619" t="s">
        <v>13</v>
      </c>
    </row>
    <row r="8620" spans="1:1" x14ac:dyDescent="0.3">
      <c r="A8620" t="s">
        <v>1332</v>
      </c>
    </row>
    <row r="8621" spans="1:1" x14ac:dyDescent="0.3">
      <c r="A8621" t="s">
        <v>4877</v>
      </c>
    </row>
    <row r="8622" spans="1:1" x14ac:dyDescent="0.3">
      <c r="A8622" t="s">
        <v>4878</v>
      </c>
    </row>
    <row r="8623" spans="1:1" x14ac:dyDescent="0.3">
      <c r="A8623" t="s">
        <v>4436</v>
      </c>
    </row>
    <row r="8624" spans="1:1" x14ac:dyDescent="0.3">
      <c r="A8624" t="s">
        <v>110</v>
      </c>
    </row>
    <row r="8625" spans="1:1" x14ac:dyDescent="0.3">
      <c r="A8625" t="s">
        <v>1154</v>
      </c>
    </row>
    <row r="8626" spans="1:1" x14ac:dyDescent="0.3">
      <c r="A8626" t="s">
        <v>4879</v>
      </c>
    </row>
    <row r="8627" spans="1:1" x14ac:dyDescent="0.3">
      <c r="A8627" t="s">
        <v>51</v>
      </c>
    </row>
    <row r="8628" spans="1:1" x14ac:dyDescent="0.3">
      <c r="A8628" t="s">
        <v>52</v>
      </c>
    </row>
    <row r="8629" spans="1:1" x14ac:dyDescent="0.3">
      <c r="A8629" t="s">
        <v>79</v>
      </c>
    </row>
    <row r="8630" spans="1:1" x14ac:dyDescent="0.3">
      <c r="A8630" t="s">
        <v>98</v>
      </c>
    </row>
    <row r="8631" spans="1:1" x14ac:dyDescent="0.3">
      <c r="A8631" t="s">
        <v>13</v>
      </c>
    </row>
    <row r="8632" spans="1:1" x14ac:dyDescent="0.3">
      <c r="A8632" t="s">
        <v>106</v>
      </c>
    </row>
    <row r="8633" spans="1:1" x14ac:dyDescent="0.3">
      <c r="A8633" t="s">
        <v>4880</v>
      </c>
    </row>
    <row r="8634" spans="1:1" x14ac:dyDescent="0.3">
      <c r="A8634" t="s">
        <v>1157</v>
      </c>
    </row>
    <row r="8635" spans="1:1" x14ac:dyDescent="0.3">
      <c r="A8635" t="s">
        <v>4881</v>
      </c>
    </row>
    <row r="8636" spans="1:1" x14ac:dyDescent="0.3">
      <c r="A8636" t="s">
        <v>12</v>
      </c>
    </row>
    <row r="8637" spans="1:1" x14ac:dyDescent="0.3">
      <c r="A8637" t="s">
        <v>13</v>
      </c>
    </row>
    <row r="8638" spans="1:1" x14ac:dyDescent="0.3">
      <c r="A8638" t="s">
        <v>105</v>
      </c>
    </row>
    <row r="8639" spans="1:1" x14ac:dyDescent="0.3">
      <c r="A8639" t="s">
        <v>4882</v>
      </c>
    </row>
    <row r="8640" spans="1:1" x14ac:dyDescent="0.3">
      <c r="A8640" t="s">
        <v>1157</v>
      </c>
    </row>
    <row r="8641" spans="1:1" x14ac:dyDescent="0.3">
      <c r="A8641" t="s">
        <v>4883</v>
      </c>
    </row>
    <row r="8642" spans="1:1" x14ac:dyDescent="0.3">
      <c r="A8642" t="s">
        <v>12</v>
      </c>
    </row>
    <row r="8643" spans="1:1" x14ac:dyDescent="0.3">
      <c r="A8643" t="s">
        <v>40</v>
      </c>
    </row>
    <row r="8645" spans="1:1" x14ac:dyDescent="0.3">
      <c r="A8645" t="s">
        <v>12</v>
      </c>
    </row>
    <row r="8646" spans="1:1" x14ac:dyDescent="0.3">
      <c r="A8646" t="s">
        <v>13</v>
      </c>
    </row>
    <row r="8647" spans="1:1" x14ac:dyDescent="0.3">
      <c r="A8647" t="s">
        <v>1336</v>
      </c>
    </row>
    <row r="8648" spans="1:1" x14ac:dyDescent="0.3">
      <c r="A8648" t="s">
        <v>4884</v>
      </c>
    </row>
    <row r="8649" spans="1:1" x14ac:dyDescent="0.3">
      <c r="A8649" t="s">
        <v>4885</v>
      </c>
    </row>
    <row r="8650" spans="1:1" x14ac:dyDescent="0.3">
      <c r="A8650" t="s">
        <v>4436</v>
      </c>
    </row>
    <row r="8651" spans="1:1" x14ac:dyDescent="0.3">
      <c r="A8651" t="s">
        <v>110</v>
      </c>
    </row>
    <row r="8652" spans="1:1" x14ac:dyDescent="0.3">
      <c r="A8652" t="s">
        <v>1154</v>
      </c>
    </row>
    <row r="8653" spans="1:1" x14ac:dyDescent="0.3">
      <c r="A8653" t="s">
        <v>4886</v>
      </c>
    </row>
    <row r="8654" spans="1:1" x14ac:dyDescent="0.3">
      <c r="A8654" t="s">
        <v>51</v>
      </c>
    </row>
    <row r="8655" spans="1:1" x14ac:dyDescent="0.3">
      <c r="A8655" t="s">
        <v>52</v>
      </c>
    </row>
    <row r="8656" spans="1:1" x14ac:dyDescent="0.3">
      <c r="A8656" t="s">
        <v>79</v>
      </c>
    </row>
    <row r="8657" spans="1:1" x14ac:dyDescent="0.3">
      <c r="A8657" t="s">
        <v>98</v>
      </c>
    </row>
    <row r="8658" spans="1:1" x14ac:dyDescent="0.3">
      <c r="A8658" t="s">
        <v>13</v>
      </c>
    </row>
    <row r="8659" spans="1:1" x14ac:dyDescent="0.3">
      <c r="A8659" t="s">
        <v>105</v>
      </c>
    </row>
    <row r="8660" spans="1:1" x14ac:dyDescent="0.3">
      <c r="A8660" t="s">
        <v>4887</v>
      </c>
    </row>
    <row r="8661" spans="1:1" x14ac:dyDescent="0.3">
      <c r="A8661" t="s">
        <v>1157</v>
      </c>
    </row>
    <row r="8662" spans="1:1" x14ac:dyDescent="0.3">
      <c r="A8662" t="s">
        <v>4888</v>
      </c>
    </row>
    <row r="8663" spans="1:1" x14ac:dyDescent="0.3">
      <c r="A8663" t="s">
        <v>12</v>
      </c>
    </row>
    <row r="8664" spans="1:1" x14ac:dyDescent="0.3">
      <c r="A8664" t="s">
        <v>13</v>
      </c>
    </row>
    <row r="8665" spans="1:1" x14ac:dyDescent="0.3">
      <c r="A8665" t="s">
        <v>106</v>
      </c>
    </row>
    <row r="8666" spans="1:1" x14ac:dyDescent="0.3">
      <c r="A8666" t="s">
        <v>4889</v>
      </c>
    </row>
    <row r="8667" spans="1:1" x14ac:dyDescent="0.3">
      <c r="A8667" t="s">
        <v>1157</v>
      </c>
    </row>
    <row r="8668" spans="1:1" x14ac:dyDescent="0.3">
      <c r="A8668" t="s">
        <v>4890</v>
      </c>
    </row>
    <row r="8669" spans="1:1" x14ac:dyDescent="0.3">
      <c r="A8669" t="s">
        <v>12</v>
      </c>
    </row>
    <row r="8670" spans="1:1" x14ac:dyDescent="0.3">
      <c r="A8670" t="s">
        <v>40</v>
      </c>
    </row>
    <row r="8672" spans="1:1" x14ac:dyDescent="0.3">
      <c r="A8672" t="s">
        <v>12</v>
      </c>
    </row>
    <row r="8673" spans="1:1" x14ac:dyDescent="0.3">
      <c r="A8673" t="s">
        <v>13</v>
      </c>
    </row>
    <row r="8674" spans="1:1" x14ac:dyDescent="0.3">
      <c r="A8674" t="s">
        <v>1340</v>
      </c>
    </row>
    <row r="8675" spans="1:1" x14ac:dyDescent="0.3">
      <c r="A8675" t="s">
        <v>4891</v>
      </c>
    </row>
    <row r="8676" spans="1:1" x14ac:dyDescent="0.3">
      <c r="A8676" t="s">
        <v>4892</v>
      </c>
    </row>
    <row r="8677" spans="1:1" x14ac:dyDescent="0.3">
      <c r="A8677" t="s">
        <v>4436</v>
      </c>
    </row>
    <row r="8678" spans="1:1" x14ac:dyDescent="0.3">
      <c r="A8678" t="s">
        <v>110</v>
      </c>
    </row>
    <row r="8679" spans="1:1" x14ac:dyDescent="0.3">
      <c r="A8679" t="s">
        <v>1154</v>
      </c>
    </row>
    <row r="8680" spans="1:1" x14ac:dyDescent="0.3">
      <c r="A8680" t="s">
        <v>4893</v>
      </c>
    </row>
    <row r="8681" spans="1:1" x14ac:dyDescent="0.3">
      <c r="A8681" t="s">
        <v>51</v>
      </c>
    </row>
    <row r="8682" spans="1:1" x14ac:dyDescent="0.3">
      <c r="A8682" t="s">
        <v>52</v>
      </c>
    </row>
    <row r="8683" spans="1:1" x14ac:dyDescent="0.3">
      <c r="A8683" t="s">
        <v>79</v>
      </c>
    </row>
    <row r="8684" spans="1:1" x14ac:dyDescent="0.3">
      <c r="A8684" t="s">
        <v>98</v>
      </c>
    </row>
    <row r="8685" spans="1:1" x14ac:dyDescent="0.3">
      <c r="A8685" t="s">
        <v>13</v>
      </c>
    </row>
    <row r="8686" spans="1:1" x14ac:dyDescent="0.3">
      <c r="A8686" t="s">
        <v>105</v>
      </c>
    </row>
    <row r="8687" spans="1:1" x14ac:dyDescent="0.3">
      <c r="A8687" t="s">
        <v>4894</v>
      </c>
    </row>
    <row r="8688" spans="1:1" x14ac:dyDescent="0.3">
      <c r="A8688" t="s">
        <v>1157</v>
      </c>
    </row>
    <row r="8689" spans="1:1" x14ac:dyDescent="0.3">
      <c r="A8689" t="s">
        <v>4895</v>
      </c>
    </row>
    <row r="8690" spans="1:1" x14ac:dyDescent="0.3">
      <c r="A8690" t="s">
        <v>12</v>
      </c>
    </row>
    <row r="8691" spans="1:1" x14ac:dyDescent="0.3">
      <c r="A8691" t="s">
        <v>13</v>
      </c>
    </row>
    <row r="8692" spans="1:1" x14ac:dyDescent="0.3">
      <c r="A8692" t="s">
        <v>106</v>
      </c>
    </row>
    <row r="8693" spans="1:1" x14ac:dyDescent="0.3">
      <c r="A8693" t="s">
        <v>4896</v>
      </c>
    </row>
    <row r="8694" spans="1:1" x14ac:dyDescent="0.3">
      <c r="A8694" t="s">
        <v>1157</v>
      </c>
    </row>
    <row r="8695" spans="1:1" x14ac:dyDescent="0.3">
      <c r="A8695" t="s">
        <v>4897</v>
      </c>
    </row>
    <row r="8696" spans="1:1" x14ac:dyDescent="0.3">
      <c r="A8696" t="s">
        <v>12</v>
      </c>
    </row>
    <row r="8697" spans="1:1" x14ac:dyDescent="0.3">
      <c r="A8697" t="s">
        <v>40</v>
      </c>
    </row>
    <row r="8699" spans="1:1" x14ac:dyDescent="0.3">
      <c r="A8699" t="s">
        <v>12</v>
      </c>
    </row>
    <row r="8700" spans="1:1" x14ac:dyDescent="0.3">
      <c r="A8700" t="s">
        <v>13</v>
      </c>
    </row>
    <row r="8701" spans="1:1" x14ac:dyDescent="0.3">
      <c r="A8701" t="s">
        <v>1343</v>
      </c>
    </row>
    <row r="8702" spans="1:1" x14ac:dyDescent="0.3">
      <c r="A8702" t="s">
        <v>4898</v>
      </c>
    </row>
    <row r="8703" spans="1:1" x14ac:dyDescent="0.3">
      <c r="A8703" t="s">
        <v>4899</v>
      </c>
    </row>
    <row r="8704" spans="1:1" x14ac:dyDescent="0.3">
      <c r="A8704" t="s">
        <v>4436</v>
      </c>
    </row>
    <row r="8705" spans="1:1" x14ac:dyDescent="0.3">
      <c r="A8705" t="s">
        <v>110</v>
      </c>
    </row>
    <row r="8706" spans="1:1" x14ac:dyDescent="0.3">
      <c r="A8706" t="s">
        <v>4900</v>
      </c>
    </row>
    <row r="8707" spans="1:1" x14ac:dyDescent="0.3">
      <c r="A8707" t="s">
        <v>4901</v>
      </c>
    </row>
    <row r="8708" spans="1:1" x14ac:dyDescent="0.3">
      <c r="A8708" t="s">
        <v>51</v>
      </c>
    </row>
    <row r="8709" spans="1:1" x14ac:dyDescent="0.3">
      <c r="A8709" t="s">
        <v>52</v>
      </c>
    </row>
    <row r="8710" spans="1:1" x14ac:dyDescent="0.3">
      <c r="A8710" t="s">
        <v>79</v>
      </c>
    </row>
    <row r="8711" spans="1:1" x14ac:dyDescent="0.3">
      <c r="A8711" t="s">
        <v>98</v>
      </c>
    </row>
    <row r="8712" spans="1:1" x14ac:dyDescent="0.3">
      <c r="A8712" t="s">
        <v>13</v>
      </c>
    </row>
    <row r="8713" spans="1:1" x14ac:dyDescent="0.3">
      <c r="A8713" t="s">
        <v>105</v>
      </c>
    </row>
    <row r="8714" spans="1:1" x14ac:dyDescent="0.3">
      <c r="A8714" t="s">
        <v>4902</v>
      </c>
    </row>
    <row r="8715" spans="1:1" x14ac:dyDescent="0.3">
      <c r="A8715" t="s">
        <v>1157</v>
      </c>
    </row>
    <row r="8716" spans="1:1" x14ac:dyDescent="0.3">
      <c r="A8716" t="s">
        <v>4903</v>
      </c>
    </row>
    <row r="8717" spans="1:1" x14ac:dyDescent="0.3">
      <c r="A8717" t="s">
        <v>12</v>
      </c>
    </row>
    <row r="8718" spans="1:1" x14ac:dyDescent="0.3">
      <c r="A8718" t="s">
        <v>13</v>
      </c>
    </row>
    <row r="8719" spans="1:1" x14ac:dyDescent="0.3">
      <c r="A8719" t="s">
        <v>106</v>
      </c>
    </row>
    <row r="8720" spans="1:1" x14ac:dyDescent="0.3">
      <c r="A8720" t="s">
        <v>4904</v>
      </c>
    </row>
    <row r="8721" spans="1:1" x14ac:dyDescent="0.3">
      <c r="A8721" t="s">
        <v>1157</v>
      </c>
    </row>
    <row r="8722" spans="1:1" x14ac:dyDescent="0.3">
      <c r="A8722" t="s">
        <v>4905</v>
      </c>
    </row>
    <row r="8723" spans="1:1" x14ac:dyDescent="0.3">
      <c r="A8723" t="s">
        <v>12</v>
      </c>
    </row>
    <row r="8724" spans="1:1" x14ac:dyDescent="0.3">
      <c r="A8724" t="s">
        <v>40</v>
      </c>
    </row>
    <row r="8726" spans="1:1" x14ac:dyDescent="0.3">
      <c r="A8726" t="s">
        <v>12</v>
      </c>
    </row>
    <row r="8727" spans="1:1" x14ac:dyDescent="0.3">
      <c r="A8727" t="s">
        <v>13</v>
      </c>
    </row>
    <row r="8728" spans="1:1" x14ac:dyDescent="0.3">
      <c r="A8728" t="s">
        <v>1351</v>
      </c>
    </row>
    <row r="8729" spans="1:1" x14ac:dyDescent="0.3">
      <c r="A8729" t="s">
        <v>4906</v>
      </c>
    </row>
    <row r="8730" spans="1:1" x14ac:dyDescent="0.3">
      <c r="A8730" t="s">
        <v>4907</v>
      </c>
    </row>
    <row r="8731" spans="1:1" x14ac:dyDescent="0.3">
      <c r="A8731" t="s">
        <v>4436</v>
      </c>
    </row>
    <row r="8732" spans="1:1" x14ac:dyDescent="0.3">
      <c r="A8732" t="s">
        <v>110</v>
      </c>
    </row>
    <row r="8733" spans="1:1" x14ac:dyDescent="0.3">
      <c r="A8733" t="s">
        <v>4908</v>
      </c>
    </row>
    <row r="8734" spans="1:1" x14ac:dyDescent="0.3">
      <c r="A8734" t="s">
        <v>4909</v>
      </c>
    </row>
    <row r="8735" spans="1:1" x14ac:dyDescent="0.3">
      <c r="A8735" t="s">
        <v>51</v>
      </c>
    </row>
    <row r="8736" spans="1:1" x14ac:dyDescent="0.3">
      <c r="A8736" t="s">
        <v>52</v>
      </c>
    </row>
    <row r="8737" spans="1:1" x14ac:dyDescent="0.3">
      <c r="A8737" t="s">
        <v>79</v>
      </c>
    </row>
    <row r="8738" spans="1:1" x14ac:dyDescent="0.3">
      <c r="A8738" t="s">
        <v>98</v>
      </c>
    </row>
    <row r="8739" spans="1:1" x14ac:dyDescent="0.3">
      <c r="A8739" t="s">
        <v>13</v>
      </c>
    </row>
    <row r="8740" spans="1:1" x14ac:dyDescent="0.3">
      <c r="A8740" t="s">
        <v>105</v>
      </c>
    </row>
    <row r="8741" spans="1:1" x14ac:dyDescent="0.3">
      <c r="A8741" t="s">
        <v>4910</v>
      </c>
    </row>
    <row r="8742" spans="1:1" x14ac:dyDescent="0.3">
      <c r="A8742" t="s">
        <v>1157</v>
      </c>
    </row>
    <row r="8743" spans="1:1" x14ac:dyDescent="0.3">
      <c r="A8743" t="s">
        <v>4840</v>
      </c>
    </row>
    <row r="8744" spans="1:1" x14ac:dyDescent="0.3">
      <c r="A8744" t="s">
        <v>12</v>
      </c>
    </row>
    <row r="8745" spans="1:1" x14ac:dyDescent="0.3">
      <c r="A8745" t="s">
        <v>13</v>
      </c>
    </row>
    <row r="8746" spans="1:1" x14ac:dyDescent="0.3">
      <c r="A8746" t="s">
        <v>106</v>
      </c>
    </row>
    <row r="8747" spans="1:1" x14ac:dyDescent="0.3">
      <c r="A8747" t="s">
        <v>4911</v>
      </c>
    </row>
    <row r="8748" spans="1:1" x14ac:dyDescent="0.3">
      <c r="A8748" t="s">
        <v>1157</v>
      </c>
    </row>
    <row r="8749" spans="1:1" x14ac:dyDescent="0.3">
      <c r="A8749" t="s">
        <v>4912</v>
      </c>
    </row>
    <row r="8750" spans="1:1" x14ac:dyDescent="0.3">
      <c r="A8750" t="s">
        <v>12</v>
      </c>
    </row>
    <row r="8751" spans="1:1" x14ac:dyDescent="0.3">
      <c r="A8751" t="s">
        <v>40</v>
      </c>
    </row>
    <row r="8753" spans="1:1" x14ac:dyDescent="0.3">
      <c r="A8753" t="s">
        <v>12</v>
      </c>
    </row>
    <row r="8754" spans="1:1" x14ac:dyDescent="0.3">
      <c r="A8754" t="s">
        <v>13</v>
      </c>
    </row>
    <row r="8755" spans="1:1" x14ac:dyDescent="0.3">
      <c r="A8755" t="s">
        <v>1359</v>
      </c>
    </row>
    <row r="8756" spans="1:1" x14ac:dyDescent="0.3">
      <c r="A8756" t="s">
        <v>4624</v>
      </c>
    </row>
    <row r="8757" spans="1:1" x14ac:dyDescent="0.3">
      <c r="A8757" t="s">
        <v>4913</v>
      </c>
    </row>
    <row r="8758" spans="1:1" x14ac:dyDescent="0.3">
      <c r="A8758" t="s">
        <v>4436</v>
      </c>
    </row>
    <row r="8759" spans="1:1" x14ac:dyDescent="0.3">
      <c r="A8759" t="s">
        <v>110</v>
      </c>
    </row>
    <row r="8760" spans="1:1" x14ac:dyDescent="0.3">
      <c r="A8760" t="s">
        <v>1154</v>
      </c>
    </row>
    <row r="8761" spans="1:1" x14ac:dyDescent="0.3">
      <c r="A8761" t="s">
        <v>4914</v>
      </c>
    </row>
    <row r="8762" spans="1:1" x14ac:dyDescent="0.3">
      <c r="A8762" t="s">
        <v>51</v>
      </c>
    </row>
    <row r="8763" spans="1:1" x14ac:dyDescent="0.3">
      <c r="A8763" t="s">
        <v>52</v>
      </c>
    </row>
    <row r="8764" spans="1:1" x14ac:dyDescent="0.3">
      <c r="A8764" t="s">
        <v>79</v>
      </c>
    </row>
    <row r="8766" spans="1:1" x14ac:dyDescent="0.3">
      <c r="A8766" t="s">
        <v>12</v>
      </c>
    </row>
    <row r="8767" spans="1:1" x14ac:dyDescent="0.3">
      <c r="A8767" t="s">
        <v>13</v>
      </c>
    </row>
    <row r="8768" spans="1:1" x14ac:dyDescent="0.3">
      <c r="A8768" t="s">
        <v>1367</v>
      </c>
    </row>
    <row r="8769" spans="1:1" x14ac:dyDescent="0.3">
      <c r="A8769" t="s">
        <v>4915</v>
      </c>
    </row>
    <row r="8770" spans="1:1" x14ac:dyDescent="0.3">
      <c r="A8770" t="s">
        <v>4916</v>
      </c>
    </row>
    <row r="8771" spans="1:1" x14ac:dyDescent="0.3">
      <c r="A8771" t="s">
        <v>4436</v>
      </c>
    </row>
    <row r="8772" spans="1:1" x14ac:dyDescent="0.3">
      <c r="A8772" t="s">
        <v>110</v>
      </c>
    </row>
    <row r="8773" spans="1:1" x14ac:dyDescent="0.3">
      <c r="A8773" t="s">
        <v>1154</v>
      </c>
    </row>
    <row r="8774" spans="1:1" x14ac:dyDescent="0.3">
      <c r="A8774" t="s">
        <v>4917</v>
      </c>
    </row>
    <row r="8775" spans="1:1" x14ac:dyDescent="0.3">
      <c r="A8775" t="s">
        <v>51</v>
      </c>
    </row>
    <row r="8776" spans="1:1" x14ac:dyDescent="0.3">
      <c r="A8776" t="s">
        <v>52</v>
      </c>
    </row>
    <row r="8777" spans="1:1" x14ac:dyDescent="0.3">
      <c r="A8777" t="s">
        <v>79</v>
      </c>
    </row>
    <row r="8778" spans="1:1" x14ac:dyDescent="0.3">
      <c r="A8778" t="s">
        <v>98</v>
      </c>
    </row>
    <row r="8779" spans="1:1" x14ac:dyDescent="0.3">
      <c r="A8779" t="s">
        <v>13</v>
      </c>
    </row>
    <row r="8780" spans="1:1" x14ac:dyDescent="0.3">
      <c r="A8780" t="s">
        <v>105</v>
      </c>
    </row>
    <row r="8781" spans="1:1" x14ac:dyDescent="0.3">
      <c r="A8781" t="s">
        <v>4918</v>
      </c>
    </row>
    <row r="8782" spans="1:1" x14ac:dyDescent="0.3">
      <c r="A8782" t="s">
        <v>1157</v>
      </c>
    </row>
    <row r="8783" spans="1:1" x14ac:dyDescent="0.3">
      <c r="A8783" t="s">
        <v>4919</v>
      </c>
    </row>
    <row r="8784" spans="1:1" x14ac:dyDescent="0.3">
      <c r="A8784" t="s">
        <v>12</v>
      </c>
    </row>
    <row r="8785" spans="1:1" x14ac:dyDescent="0.3">
      <c r="A8785" t="s">
        <v>13</v>
      </c>
    </row>
    <row r="8786" spans="1:1" x14ac:dyDescent="0.3">
      <c r="A8786" t="s">
        <v>106</v>
      </c>
    </row>
    <row r="8787" spans="1:1" x14ac:dyDescent="0.3">
      <c r="A8787" t="s">
        <v>4920</v>
      </c>
    </row>
    <row r="8788" spans="1:1" x14ac:dyDescent="0.3">
      <c r="A8788" t="s">
        <v>1157</v>
      </c>
    </row>
    <row r="8789" spans="1:1" x14ac:dyDescent="0.3">
      <c r="A8789" t="s">
        <v>4921</v>
      </c>
    </row>
    <row r="8790" spans="1:1" x14ac:dyDescent="0.3">
      <c r="A8790" t="s">
        <v>12</v>
      </c>
    </row>
    <row r="8791" spans="1:1" x14ac:dyDescent="0.3">
      <c r="A8791" t="s">
        <v>40</v>
      </c>
    </row>
    <row r="8793" spans="1:1" x14ac:dyDescent="0.3">
      <c r="A8793" t="s">
        <v>12</v>
      </c>
    </row>
    <row r="8794" spans="1:1" x14ac:dyDescent="0.3">
      <c r="A8794" t="s">
        <v>13</v>
      </c>
    </row>
    <row r="8795" spans="1:1" x14ac:dyDescent="0.3">
      <c r="A8795" t="s">
        <v>1373</v>
      </c>
    </row>
    <row r="8796" spans="1:1" x14ac:dyDescent="0.3">
      <c r="A8796" t="s">
        <v>2667</v>
      </c>
    </row>
    <row r="8797" spans="1:1" x14ac:dyDescent="0.3">
      <c r="A8797" t="s">
        <v>4922</v>
      </c>
    </row>
    <row r="8798" spans="1:1" x14ac:dyDescent="0.3">
      <c r="A8798" t="s">
        <v>4436</v>
      </c>
    </row>
    <row r="8799" spans="1:1" x14ac:dyDescent="0.3">
      <c r="A8799" t="s">
        <v>110</v>
      </c>
    </row>
    <row r="8800" spans="1:1" x14ac:dyDescent="0.3">
      <c r="A8800" t="s">
        <v>1154</v>
      </c>
    </row>
    <row r="8801" spans="1:1" x14ac:dyDescent="0.3">
      <c r="A8801" t="s">
        <v>4923</v>
      </c>
    </row>
    <row r="8802" spans="1:1" x14ac:dyDescent="0.3">
      <c r="A8802" t="s">
        <v>51</v>
      </c>
    </row>
    <row r="8803" spans="1:1" x14ac:dyDescent="0.3">
      <c r="A8803" t="s">
        <v>52</v>
      </c>
    </row>
    <row r="8804" spans="1:1" x14ac:dyDescent="0.3">
      <c r="A8804" t="s">
        <v>79</v>
      </c>
    </row>
    <row r="8805" spans="1:1" x14ac:dyDescent="0.3">
      <c r="A8805" t="s">
        <v>98</v>
      </c>
    </row>
    <row r="8806" spans="1:1" x14ac:dyDescent="0.3">
      <c r="A8806" t="s">
        <v>13</v>
      </c>
    </row>
    <row r="8807" spans="1:1" x14ac:dyDescent="0.3">
      <c r="A8807" t="s">
        <v>105</v>
      </c>
    </row>
    <row r="8808" spans="1:1" x14ac:dyDescent="0.3">
      <c r="A8808" t="s">
        <v>4924</v>
      </c>
    </row>
    <row r="8809" spans="1:1" x14ac:dyDescent="0.3">
      <c r="A8809" t="s">
        <v>1157</v>
      </c>
    </row>
    <row r="8810" spans="1:1" x14ac:dyDescent="0.3">
      <c r="A8810" t="s">
        <v>4925</v>
      </c>
    </row>
    <row r="8811" spans="1:1" x14ac:dyDescent="0.3">
      <c r="A8811" t="s">
        <v>12</v>
      </c>
    </row>
    <row r="8812" spans="1:1" x14ac:dyDescent="0.3">
      <c r="A8812" t="s">
        <v>13</v>
      </c>
    </row>
    <row r="8813" spans="1:1" x14ac:dyDescent="0.3">
      <c r="A8813" t="s">
        <v>106</v>
      </c>
    </row>
    <row r="8814" spans="1:1" x14ac:dyDescent="0.3">
      <c r="A8814" t="s">
        <v>4926</v>
      </c>
    </row>
    <row r="8815" spans="1:1" x14ac:dyDescent="0.3">
      <c r="A8815" t="s">
        <v>1157</v>
      </c>
    </row>
    <row r="8816" spans="1:1" x14ac:dyDescent="0.3">
      <c r="A8816" t="s">
        <v>1885</v>
      </c>
    </row>
    <row r="8817" spans="1:1" x14ac:dyDescent="0.3">
      <c r="A8817" t="s">
        <v>12</v>
      </c>
    </row>
    <row r="8818" spans="1:1" x14ac:dyDescent="0.3">
      <c r="A8818" t="s">
        <v>40</v>
      </c>
    </row>
    <row r="8820" spans="1:1" x14ac:dyDescent="0.3">
      <c r="A8820" t="s">
        <v>12</v>
      </c>
    </row>
    <row r="8821" spans="1:1" x14ac:dyDescent="0.3">
      <c r="A8821" t="s">
        <v>13</v>
      </c>
    </row>
    <row r="8822" spans="1:1" x14ac:dyDescent="0.3">
      <c r="A8822" t="s">
        <v>1640</v>
      </c>
    </row>
    <row r="8823" spans="1:1" x14ac:dyDescent="0.3">
      <c r="A8823" t="s">
        <v>4927</v>
      </c>
    </row>
    <row r="8824" spans="1:1" x14ac:dyDescent="0.3">
      <c r="A8824" t="s">
        <v>4928</v>
      </c>
    </row>
    <row r="8825" spans="1:1" x14ac:dyDescent="0.3">
      <c r="A8825" t="s">
        <v>4436</v>
      </c>
    </row>
    <row r="8826" spans="1:1" x14ac:dyDescent="0.3">
      <c r="A8826" t="s">
        <v>110</v>
      </c>
    </row>
    <row r="8827" spans="1:1" x14ac:dyDescent="0.3">
      <c r="A8827" t="s">
        <v>1154</v>
      </c>
    </row>
    <row r="8828" spans="1:1" x14ac:dyDescent="0.3">
      <c r="A8828" t="s">
        <v>4929</v>
      </c>
    </row>
    <row r="8829" spans="1:1" x14ac:dyDescent="0.3">
      <c r="A8829" t="s">
        <v>51</v>
      </c>
    </row>
    <row r="8830" spans="1:1" x14ac:dyDescent="0.3">
      <c r="A8830" t="s">
        <v>52</v>
      </c>
    </row>
    <row r="8831" spans="1:1" x14ac:dyDescent="0.3">
      <c r="A8831" t="s">
        <v>79</v>
      </c>
    </row>
    <row r="8833" spans="1:1" x14ac:dyDescent="0.3">
      <c r="A8833" t="s">
        <v>12</v>
      </c>
    </row>
    <row r="8834" spans="1:1" x14ac:dyDescent="0.3">
      <c r="A8834" t="s">
        <v>13</v>
      </c>
    </row>
    <row r="8835" spans="1:1" x14ac:dyDescent="0.3">
      <c r="A8835" t="s">
        <v>1643</v>
      </c>
    </row>
    <row r="8836" spans="1:1" x14ac:dyDescent="0.3">
      <c r="A8836" t="s">
        <v>4930</v>
      </c>
    </row>
    <row r="8837" spans="1:1" x14ac:dyDescent="0.3">
      <c r="A8837" t="s">
        <v>4931</v>
      </c>
    </row>
    <row r="8838" spans="1:1" x14ac:dyDescent="0.3">
      <c r="A8838" t="s">
        <v>4436</v>
      </c>
    </row>
    <row r="8839" spans="1:1" x14ac:dyDescent="0.3">
      <c r="A8839" t="s">
        <v>110</v>
      </c>
    </row>
    <row r="8840" spans="1:1" x14ac:dyDescent="0.3">
      <c r="A8840" t="s">
        <v>1154</v>
      </c>
    </row>
    <row r="8841" spans="1:1" x14ac:dyDescent="0.3">
      <c r="A8841" t="s">
        <v>4932</v>
      </c>
    </row>
    <row r="8842" spans="1:1" x14ac:dyDescent="0.3">
      <c r="A8842" t="s">
        <v>51</v>
      </c>
    </row>
    <row r="8843" spans="1:1" x14ac:dyDescent="0.3">
      <c r="A8843" t="s">
        <v>52</v>
      </c>
    </row>
    <row r="8844" spans="1:1" x14ac:dyDescent="0.3">
      <c r="A8844" t="s">
        <v>79</v>
      </c>
    </row>
    <row r="8845" spans="1:1" x14ac:dyDescent="0.3">
      <c r="A8845" t="s">
        <v>98</v>
      </c>
    </row>
    <row r="8846" spans="1:1" x14ac:dyDescent="0.3">
      <c r="A8846" t="s">
        <v>13</v>
      </c>
    </row>
    <row r="8847" spans="1:1" x14ac:dyDescent="0.3">
      <c r="A8847" t="s">
        <v>105</v>
      </c>
    </row>
    <row r="8848" spans="1:1" x14ac:dyDescent="0.3">
      <c r="A8848" t="s">
        <v>4933</v>
      </c>
    </row>
    <row r="8849" spans="1:1" x14ac:dyDescent="0.3">
      <c r="A8849" t="s">
        <v>1157</v>
      </c>
    </row>
    <row r="8850" spans="1:1" x14ac:dyDescent="0.3">
      <c r="A8850" t="s">
        <v>4934</v>
      </c>
    </row>
    <row r="8851" spans="1:1" x14ac:dyDescent="0.3">
      <c r="A8851" t="s">
        <v>12</v>
      </c>
    </row>
    <row r="8852" spans="1:1" x14ac:dyDescent="0.3">
      <c r="A8852" t="s">
        <v>13</v>
      </c>
    </row>
    <row r="8853" spans="1:1" x14ac:dyDescent="0.3">
      <c r="A8853" t="s">
        <v>106</v>
      </c>
    </row>
    <row r="8854" spans="1:1" x14ac:dyDescent="0.3">
      <c r="A8854" t="s">
        <v>4935</v>
      </c>
    </row>
    <row r="8855" spans="1:1" x14ac:dyDescent="0.3">
      <c r="A8855" t="s">
        <v>1157</v>
      </c>
    </row>
    <row r="8856" spans="1:1" x14ac:dyDescent="0.3">
      <c r="A8856" t="s">
        <v>4936</v>
      </c>
    </row>
    <row r="8857" spans="1:1" x14ac:dyDescent="0.3">
      <c r="A8857" t="s">
        <v>12</v>
      </c>
    </row>
    <row r="8858" spans="1:1" x14ac:dyDescent="0.3">
      <c r="A8858" t="s">
        <v>40</v>
      </c>
    </row>
    <row r="8860" spans="1:1" x14ac:dyDescent="0.3">
      <c r="A8860" t="s">
        <v>12</v>
      </c>
    </row>
    <row r="8861" spans="1:1" x14ac:dyDescent="0.3">
      <c r="A8861" t="s">
        <v>13</v>
      </c>
    </row>
    <row r="8862" spans="1:1" x14ac:dyDescent="0.3">
      <c r="A8862" t="s">
        <v>1647</v>
      </c>
    </row>
    <row r="8863" spans="1:1" x14ac:dyDescent="0.3">
      <c r="A8863" t="s">
        <v>4937</v>
      </c>
    </row>
    <row r="8864" spans="1:1" x14ac:dyDescent="0.3">
      <c r="A8864" t="s">
        <v>4938</v>
      </c>
    </row>
    <row r="8865" spans="1:1" x14ac:dyDescent="0.3">
      <c r="A8865" t="s">
        <v>4436</v>
      </c>
    </row>
    <row r="8866" spans="1:1" x14ac:dyDescent="0.3">
      <c r="A8866" t="s">
        <v>110</v>
      </c>
    </row>
    <row r="8867" spans="1:1" x14ac:dyDescent="0.3">
      <c r="A8867" t="s">
        <v>1154</v>
      </c>
    </row>
    <row r="8868" spans="1:1" x14ac:dyDescent="0.3">
      <c r="A8868" t="s">
        <v>4939</v>
      </c>
    </row>
    <row r="8869" spans="1:1" x14ac:dyDescent="0.3">
      <c r="A8869" t="s">
        <v>51</v>
      </c>
    </row>
    <row r="8870" spans="1:1" x14ac:dyDescent="0.3">
      <c r="A8870" t="s">
        <v>52</v>
      </c>
    </row>
    <row r="8871" spans="1:1" x14ac:dyDescent="0.3">
      <c r="A8871" t="s">
        <v>79</v>
      </c>
    </row>
    <row r="8872" spans="1:1" x14ac:dyDescent="0.3">
      <c r="A8872" t="s">
        <v>98</v>
      </c>
    </row>
    <row r="8873" spans="1:1" x14ac:dyDescent="0.3">
      <c r="A8873" t="s">
        <v>13</v>
      </c>
    </row>
    <row r="8874" spans="1:1" x14ac:dyDescent="0.3">
      <c r="A8874" t="s">
        <v>105</v>
      </c>
    </row>
    <row r="8875" spans="1:1" x14ac:dyDescent="0.3">
      <c r="A8875" t="s">
        <v>4940</v>
      </c>
    </row>
    <row r="8876" spans="1:1" x14ac:dyDescent="0.3">
      <c r="A8876" t="s">
        <v>1157</v>
      </c>
    </row>
    <row r="8877" spans="1:1" x14ac:dyDescent="0.3">
      <c r="A8877" t="s">
        <v>4941</v>
      </c>
    </row>
    <row r="8878" spans="1:1" x14ac:dyDescent="0.3">
      <c r="A8878" t="s">
        <v>12</v>
      </c>
    </row>
    <row r="8879" spans="1:1" x14ac:dyDescent="0.3">
      <c r="A8879" t="s">
        <v>13</v>
      </c>
    </row>
    <row r="8880" spans="1:1" x14ac:dyDescent="0.3">
      <c r="A8880" t="s">
        <v>106</v>
      </c>
    </row>
    <row r="8881" spans="1:1" x14ac:dyDescent="0.3">
      <c r="A8881" t="s">
        <v>4942</v>
      </c>
    </row>
    <row r="8882" spans="1:1" x14ac:dyDescent="0.3">
      <c r="A8882" t="s">
        <v>1157</v>
      </c>
    </row>
    <row r="8883" spans="1:1" x14ac:dyDescent="0.3">
      <c r="A8883" t="s">
        <v>4943</v>
      </c>
    </row>
    <row r="8884" spans="1:1" x14ac:dyDescent="0.3">
      <c r="A8884" t="s">
        <v>12</v>
      </c>
    </row>
    <row r="8885" spans="1:1" x14ac:dyDescent="0.3">
      <c r="A8885" t="s">
        <v>40</v>
      </c>
    </row>
    <row r="8887" spans="1:1" x14ac:dyDescent="0.3">
      <c r="A8887" t="s">
        <v>12</v>
      </c>
    </row>
    <row r="8888" spans="1:1" x14ac:dyDescent="0.3">
      <c r="A8888" t="s">
        <v>13</v>
      </c>
    </row>
    <row r="8889" spans="1:1" x14ac:dyDescent="0.3">
      <c r="A8889" t="s">
        <v>1655</v>
      </c>
    </row>
    <row r="8890" spans="1:1" x14ac:dyDescent="0.3">
      <c r="A8890" t="s">
        <v>4937</v>
      </c>
    </row>
    <row r="8891" spans="1:1" x14ac:dyDescent="0.3">
      <c r="A8891" t="s">
        <v>4938</v>
      </c>
    </row>
    <row r="8892" spans="1:1" x14ac:dyDescent="0.3">
      <c r="A8892" t="s">
        <v>4436</v>
      </c>
    </row>
    <row r="8893" spans="1:1" x14ac:dyDescent="0.3">
      <c r="A8893" t="s">
        <v>110</v>
      </c>
    </row>
    <row r="8894" spans="1:1" x14ac:dyDescent="0.3">
      <c r="A8894" t="s">
        <v>1154</v>
      </c>
    </row>
    <row r="8895" spans="1:1" x14ac:dyDescent="0.3">
      <c r="A8895" t="s">
        <v>4939</v>
      </c>
    </row>
    <row r="8896" spans="1:1" x14ac:dyDescent="0.3">
      <c r="A8896" t="s">
        <v>51</v>
      </c>
    </row>
    <row r="8897" spans="1:1" x14ac:dyDescent="0.3">
      <c r="A8897" t="s">
        <v>52</v>
      </c>
    </row>
    <row r="8898" spans="1:1" x14ac:dyDescent="0.3">
      <c r="A8898" t="s">
        <v>79</v>
      </c>
    </row>
    <row r="8899" spans="1:1" x14ac:dyDescent="0.3">
      <c r="A8899" t="s">
        <v>98</v>
      </c>
    </row>
    <row r="8900" spans="1:1" x14ac:dyDescent="0.3">
      <c r="A8900" t="s">
        <v>13</v>
      </c>
    </row>
    <row r="8901" spans="1:1" x14ac:dyDescent="0.3">
      <c r="A8901" t="s">
        <v>105</v>
      </c>
    </row>
    <row r="8902" spans="1:1" x14ac:dyDescent="0.3">
      <c r="A8902" t="s">
        <v>4940</v>
      </c>
    </row>
    <row r="8903" spans="1:1" x14ac:dyDescent="0.3">
      <c r="A8903" t="s">
        <v>1157</v>
      </c>
    </row>
    <row r="8904" spans="1:1" x14ac:dyDescent="0.3">
      <c r="A8904" t="s">
        <v>4941</v>
      </c>
    </row>
    <row r="8905" spans="1:1" x14ac:dyDescent="0.3">
      <c r="A8905" t="s">
        <v>12</v>
      </c>
    </row>
    <row r="8906" spans="1:1" x14ac:dyDescent="0.3">
      <c r="A8906" t="s">
        <v>13</v>
      </c>
    </row>
    <row r="8907" spans="1:1" x14ac:dyDescent="0.3">
      <c r="A8907" t="s">
        <v>106</v>
      </c>
    </row>
    <row r="8908" spans="1:1" x14ac:dyDescent="0.3">
      <c r="A8908" t="s">
        <v>4942</v>
      </c>
    </row>
    <row r="8909" spans="1:1" x14ac:dyDescent="0.3">
      <c r="A8909" t="s">
        <v>1157</v>
      </c>
    </row>
    <row r="8910" spans="1:1" x14ac:dyDescent="0.3">
      <c r="A8910" t="s">
        <v>4943</v>
      </c>
    </row>
    <row r="8911" spans="1:1" x14ac:dyDescent="0.3">
      <c r="A8911" t="s">
        <v>12</v>
      </c>
    </row>
    <row r="8912" spans="1:1" x14ac:dyDescent="0.3">
      <c r="A8912" t="s">
        <v>40</v>
      </c>
    </row>
    <row r="8914" spans="1:1" x14ac:dyDescent="0.3">
      <c r="A8914" t="s">
        <v>12</v>
      </c>
    </row>
    <row r="8915" spans="1:1" x14ac:dyDescent="0.3">
      <c r="A8915" t="s">
        <v>13</v>
      </c>
    </row>
    <row r="8916" spans="1:1" x14ac:dyDescent="0.3">
      <c r="A8916" t="s">
        <v>1663</v>
      </c>
    </row>
    <row r="8917" spans="1:1" x14ac:dyDescent="0.3">
      <c r="A8917" t="s">
        <v>4944</v>
      </c>
    </row>
    <row r="8918" spans="1:1" x14ac:dyDescent="0.3">
      <c r="A8918" t="s">
        <v>4945</v>
      </c>
    </row>
    <row r="8919" spans="1:1" x14ac:dyDescent="0.3">
      <c r="A8919" t="s">
        <v>4436</v>
      </c>
    </row>
    <row r="8920" spans="1:1" x14ac:dyDescent="0.3">
      <c r="A8920" t="s">
        <v>110</v>
      </c>
    </row>
    <row r="8921" spans="1:1" x14ac:dyDescent="0.3">
      <c r="A8921" t="s">
        <v>4946</v>
      </c>
    </row>
    <row r="8922" spans="1:1" x14ac:dyDescent="0.3">
      <c r="A8922" t="s">
        <v>4947</v>
      </c>
    </row>
    <row r="8923" spans="1:1" x14ac:dyDescent="0.3">
      <c r="A8923" t="s">
        <v>51</v>
      </c>
    </row>
    <row r="8924" spans="1:1" x14ac:dyDescent="0.3">
      <c r="A8924" t="s">
        <v>52</v>
      </c>
    </row>
    <row r="8925" spans="1:1" x14ac:dyDescent="0.3">
      <c r="A8925" t="s">
        <v>79</v>
      </c>
    </row>
    <row r="8926" spans="1:1" x14ac:dyDescent="0.3">
      <c r="A8926" t="s">
        <v>98</v>
      </c>
    </row>
    <row r="8927" spans="1:1" x14ac:dyDescent="0.3">
      <c r="A8927" t="s">
        <v>13</v>
      </c>
    </row>
    <row r="8928" spans="1:1" x14ac:dyDescent="0.3">
      <c r="A8928" t="s">
        <v>105</v>
      </c>
    </row>
    <row r="8929" spans="1:1" x14ac:dyDescent="0.3">
      <c r="A8929" t="s">
        <v>4948</v>
      </c>
    </row>
    <row r="8930" spans="1:1" x14ac:dyDescent="0.3">
      <c r="A8930" t="s">
        <v>1157</v>
      </c>
    </row>
    <row r="8931" spans="1:1" x14ac:dyDescent="0.3">
      <c r="A8931" t="s">
        <v>4949</v>
      </c>
    </row>
    <row r="8932" spans="1:1" x14ac:dyDescent="0.3">
      <c r="A8932" t="s">
        <v>12</v>
      </c>
    </row>
    <row r="8933" spans="1:1" x14ac:dyDescent="0.3">
      <c r="A8933" t="s">
        <v>13</v>
      </c>
    </row>
    <row r="8934" spans="1:1" x14ac:dyDescent="0.3">
      <c r="A8934" t="s">
        <v>106</v>
      </c>
    </row>
    <row r="8935" spans="1:1" x14ac:dyDescent="0.3">
      <c r="A8935" t="s">
        <v>4950</v>
      </c>
    </row>
    <row r="8936" spans="1:1" x14ac:dyDescent="0.3">
      <c r="A8936" t="s">
        <v>1157</v>
      </c>
    </row>
    <row r="8937" spans="1:1" x14ac:dyDescent="0.3">
      <c r="A8937" t="s">
        <v>4951</v>
      </c>
    </row>
    <row r="8938" spans="1:1" x14ac:dyDescent="0.3">
      <c r="A8938" t="s">
        <v>12</v>
      </c>
    </row>
    <row r="8939" spans="1:1" x14ac:dyDescent="0.3">
      <c r="A8939" t="s">
        <v>40</v>
      </c>
    </row>
    <row r="8941" spans="1:1" x14ac:dyDescent="0.3">
      <c r="A8941" t="s">
        <v>12</v>
      </c>
    </row>
    <row r="8942" spans="1:1" x14ac:dyDescent="0.3">
      <c r="A8942" t="s">
        <v>13</v>
      </c>
    </row>
    <row r="8943" spans="1:1" x14ac:dyDescent="0.3">
      <c r="A8943" t="s">
        <v>1671</v>
      </c>
    </row>
    <row r="8944" spans="1:1" x14ac:dyDescent="0.3">
      <c r="A8944" t="s">
        <v>4858</v>
      </c>
    </row>
    <row r="8945" spans="1:1" x14ac:dyDescent="0.3">
      <c r="A8945" t="s">
        <v>4952</v>
      </c>
    </row>
    <row r="8946" spans="1:1" x14ac:dyDescent="0.3">
      <c r="A8946" t="s">
        <v>4436</v>
      </c>
    </row>
    <row r="8947" spans="1:1" x14ac:dyDescent="0.3">
      <c r="A8947" t="s">
        <v>110</v>
      </c>
    </row>
    <row r="8948" spans="1:1" x14ac:dyDescent="0.3">
      <c r="A8948" t="s">
        <v>1154</v>
      </c>
    </row>
    <row r="8949" spans="1:1" x14ac:dyDescent="0.3">
      <c r="A8949" t="s">
        <v>4953</v>
      </c>
    </row>
    <row r="8950" spans="1:1" x14ac:dyDescent="0.3">
      <c r="A8950" t="s">
        <v>51</v>
      </c>
    </row>
    <row r="8951" spans="1:1" x14ac:dyDescent="0.3">
      <c r="A8951" t="s">
        <v>52</v>
      </c>
    </row>
    <row r="8952" spans="1:1" x14ac:dyDescent="0.3">
      <c r="A8952" t="s">
        <v>79</v>
      </c>
    </row>
    <row r="8954" spans="1:1" x14ac:dyDescent="0.3">
      <c r="A8954" t="s">
        <v>12</v>
      </c>
    </row>
    <row r="8955" spans="1:1" x14ac:dyDescent="0.3">
      <c r="A8955" t="s">
        <v>13</v>
      </c>
    </row>
    <row r="8956" spans="1:1" x14ac:dyDescent="0.3">
      <c r="A8956" t="s">
        <v>1676</v>
      </c>
    </row>
    <row r="8957" spans="1:1" x14ac:dyDescent="0.3">
      <c r="A8957" t="s">
        <v>4954</v>
      </c>
    </row>
    <row r="8958" spans="1:1" x14ac:dyDescent="0.3">
      <c r="A8958" t="s">
        <v>4955</v>
      </c>
    </row>
    <row r="8959" spans="1:1" x14ac:dyDescent="0.3">
      <c r="A8959" t="s">
        <v>4436</v>
      </c>
    </row>
    <row r="8960" spans="1:1" x14ac:dyDescent="0.3">
      <c r="A8960" t="s">
        <v>110</v>
      </c>
    </row>
    <row r="8961" spans="1:1" x14ac:dyDescent="0.3">
      <c r="A8961" t="s">
        <v>1154</v>
      </c>
    </row>
    <row r="8962" spans="1:1" x14ac:dyDescent="0.3">
      <c r="A8962" t="s">
        <v>4956</v>
      </c>
    </row>
    <row r="8963" spans="1:1" x14ac:dyDescent="0.3">
      <c r="A8963" t="s">
        <v>51</v>
      </c>
    </row>
    <row r="8964" spans="1:1" x14ac:dyDescent="0.3">
      <c r="A8964" t="s">
        <v>52</v>
      </c>
    </row>
    <row r="8965" spans="1:1" x14ac:dyDescent="0.3">
      <c r="A8965" t="s">
        <v>79</v>
      </c>
    </row>
    <row r="8966" spans="1:1" x14ac:dyDescent="0.3">
      <c r="A8966" t="s">
        <v>98</v>
      </c>
    </row>
    <row r="8967" spans="1:1" x14ac:dyDescent="0.3">
      <c r="A8967" t="s">
        <v>13</v>
      </c>
    </row>
    <row r="8968" spans="1:1" x14ac:dyDescent="0.3">
      <c r="A8968" t="s">
        <v>105</v>
      </c>
    </row>
    <row r="8969" spans="1:1" x14ac:dyDescent="0.3">
      <c r="A8969" t="s">
        <v>4957</v>
      </c>
    </row>
    <row r="8970" spans="1:1" x14ac:dyDescent="0.3">
      <c r="A8970" t="s">
        <v>1157</v>
      </c>
    </row>
    <row r="8971" spans="1:1" x14ac:dyDescent="0.3">
      <c r="A8971" t="s">
        <v>4958</v>
      </c>
    </row>
    <row r="8972" spans="1:1" x14ac:dyDescent="0.3">
      <c r="A8972" t="s">
        <v>12</v>
      </c>
    </row>
    <row r="8973" spans="1:1" x14ac:dyDescent="0.3">
      <c r="A8973" t="s">
        <v>13</v>
      </c>
    </row>
    <row r="8974" spans="1:1" x14ac:dyDescent="0.3">
      <c r="A8974" t="s">
        <v>106</v>
      </c>
    </row>
    <row r="8975" spans="1:1" x14ac:dyDescent="0.3">
      <c r="A8975" t="s">
        <v>4959</v>
      </c>
    </row>
    <row r="8976" spans="1:1" x14ac:dyDescent="0.3">
      <c r="A8976" t="s">
        <v>1157</v>
      </c>
    </row>
    <row r="8977" spans="1:1" x14ac:dyDescent="0.3">
      <c r="A8977" t="s">
        <v>4960</v>
      </c>
    </row>
    <row r="8978" spans="1:1" x14ac:dyDescent="0.3">
      <c r="A8978" t="s">
        <v>12</v>
      </c>
    </row>
    <row r="8979" spans="1:1" x14ac:dyDescent="0.3">
      <c r="A8979" t="s">
        <v>40</v>
      </c>
    </row>
    <row r="8981" spans="1:1" x14ac:dyDescent="0.3">
      <c r="A8981" t="s">
        <v>12</v>
      </c>
    </row>
    <row r="8982" spans="1:1" x14ac:dyDescent="0.3">
      <c r="A8982" t="s">
        <v>13</v>
      </c>
    </row>
    <row r="8983" spans="1:1" x14ac:dyDescent="0.3">
      <c r="A8983" t="s">
        <v>1680</v>
      </c>
    </row>
    <row r="8984" spans="1:1" x14ac:dyDescent="0.3">
      <c r="A8984" t="s">
        <v>4961</v>
      </c>
    </row>
    <row r="8985" spans="1:1" x14ac:dyDescent="0.3">
      <c r="A8985" t="s">
        <v>4962</v>
      </c>
    </row>
    <row r="8986" spans="1:1" x14ac:dyDescent="0.3">
      <c r="A8986" t="s">
        <v>4436</v>
      </c>
    </row>
    <row r="8987" spans="1:1" x14ac:dyDescent="0.3">
      <c r="A8987" t="s">
        <v>110</v>
      </c>
    </row>
    <row r="8988" spans="1:1" x14ac:dyDescent="0.3">
      <c r="A8988" t="s">
        <v>1154</v>
      </c>
    </row>
    <row r="8989" spans="1:1" x14ac:dyDescent="0.3">
      <c r="A8989" t="s">
        <v>4963</v>
      </c>
    </row>
    <row r="8990" spans="1:1" x14ac:dyDescent="0.3">
      <c r="A8990" t="s">
        <v>51</v>
      </c>
    </row>
    <row r="8991" spans="1:1" x14ac:dyDescent="0.3">
      <c r="A8991" t="s">
        <v>52</v>
      </c>
    </row>
    <row r="8992" spans="1:1" x14ac:dyDescent="0.3">
      <c r="A8992" t="s">
        <v>79</v>
      </c>
    </row>
    <row r="8993" spans="1:1" x14ac:dyDescent="0.3">
      <c r="A8993" t="s">
        <v>98</v>
      </c>
    </row>
    <row r="8994" spans="1:1" x14ac:dyDescent="0.3">
      <c r="A8994" t="s">
        <v>13</v>
      </c>
    </row>
    <row r="8995" spans="1:1" x14ac:dyDescent="0.3">
      <c r="A8995" t="s">
        <v>105</v>
      </c>
    </row>
    <row r="8996" spans="1:1" x14ac:dyDescent="0.3">
      <c r="A8996" t="s">
        <v>4964</v>
      </c>
    </row>
    <row r="8997" spans="1:1" x14ac:dyDescent="0.3">
      <c r="A8997" t="s">
        <v>1157</v>
      </c>
    </row>
    <row r="8998" spans="1:1" x14ac:dyDescent="0.3">
      <c r="A8998" t="s">
        <v>4965</v>
      </c>
    </row>
    <row r="8999" spans="1:1" x14ac:dyDescent="0.3">
      <c r="A8999" t="s">
        <v>12</v>
      </c>
    </row>
    <row r="9000" spans="1:1" x14ac:dyDescent="0.3">
      <c r="A9000" t="s">
        <v>13</v>
      </c>
    </row>
    <row r="9001" spans="1:1" x14ac:dyDescent="0.3">
      <c r="A9001" t="s">
        <v>106</v>
      </c>
    </row>
    <row r="9002" spans="1:1" x14ac:dyDescent="0.3">
      <c r="A9002" t="s">
        <v>4966</v>
      </c>
    </row>
    <row r="9003" spans="1:1" x14ac:dyDescent="0.3">
      <c r="A9003" t="s">
        <v>1157</v>
      </c>
    </row>
    <row r="9004" spans="1:1" x14ac:dyDescent="0.3">
      <c r="A9004" t="s">
        <v>4967</v>
      </c>
    </row>
    <row r="9005" spans="1:1" x14ac:dyDescent="0.3">
      <c r="A9005" t="s">
        <v>12</v>
      </c>
    </row>
    <row r="9006" spans="1:1" x14ac:dyDescent="0.3">
      <c r="A9006" t="s">
        <v>40</v>
      </c>
    </row>
    <row r="9008" spans="1:1" x14ac:dyDescent="0.3">
      <c r="A9008" t="s">
        <v>12</v>
      </c>
    </row>
    <row r="9009" spans="1:1" x14ac:dyDescent="0.3">
      <c r="A9009" t="s">
        <v>13</v>
      </c>
    </row>
    <row r="9010" spans="1:1" x14ac:dyDescent="0.3">
      <c r="A9010" t="s">
        <v>1687</v>
      </c>
    </row>
    <row r="9011" spans="1:1" x14ac:dyDescent="0.3">
      <c r="A9011" t="s">
        <v>4968</v>
      </c>
    </row>
    <row r="9012" spans="1:1" x14ac:dyDescent="0.3">
      <c r="A9012" t="s">
        <v>4969</v>
      </c>
    </row>
    <row r="9013" spans="1:1" x14ac:dyDescent="0.3">
      <c r="A9013" t="s">
        <v>4436</v>
      </c>
    </row>
    <row r="9014" spans="1:1" x14ac:dyDescent="0.3">
      <c r="A9014" t="s">
        <v>110</v>
      </c>
    </row>
    <row r="9015" spans="1:1" x14ac:dyDescent="0.3">
      <c r="A9015" t="s">
        <v>1154</v>
      </c>
    </row>
    <row r="9016" spans="1:1" x14ac:dyDescent="0.3">
      <c r="A9016" t="s">
        <v>4970</v>
      </c>
    </row>
    <row r="9017" spans="1:1" x14ac:dyDescent="0.3">
      <c r="A9017" t="s">
        <v>51</v>
      </c>
    </row>
    <row r="9018" spans="1:1" x14ac:dyDescent="0.3">
      <c r="A9018" t="s">
        <v>52</v>
      </c>
    </row>
    <row r="9019" spans="1:1" x14ac:dyDescent="0.3">
      <c r="A9019" t="s">
        <v>79</v>
      </c>
    </row>
    <row r="9020" spans="1:1" x14ac:dyDescent="0.3">
      <c r="A9020" t="s">
        <v>98</v>
      </c>
    </row>
    <row r="9021" spans="1:1" x14ac:dyDescent="0.3">
      <c r="A9021" t="s">
        <v>13</v>
      </c>
    </row>
    <row r="9022" spans="1:1" x14ac:dyDescent="0.3">
      <c r="A9022" t="s">
        <v>105</v>
      </c>
    </row>
    <row r="9023" spans="1:1" x14ac:dyDescent="0.3">
      <c r="A9023" t="s">
        <v>4971</v>
      </c>
    </row>
    <row r="9024" spans="1:1" x14ac:dyDescent="0.3">
      <c r="A9024" t="s">
        <v>1157</v>
      </c>
    </row>
    <row r="9025" spans="1:1" x14ac:dyDescent="0.3">
      <c r="A9025" t="s">
        <v>4972</v>
      </c>
    </row>
    <row r="9026" spans="1:1" x14ac:dyDescent="0.3">
      <c r="A9026" t="s">
        <v>12</v>
      </c>
    </row>
    <row r="9027" spans="1:1" x14ac:dyDescent="0.3">
      <c r="A9027" t="s">
        <v>13</v>
      </c>
    </row>
    <row r="9028" spans="1:1" x14ac:dyDescent="0.3">
      <c r="A9028" t="s">
        <v>106</v>
      </c>
    </row>
    <row r="9029" spans="1:1" x14ac:dyDescent="0.3">
      <c r="A9029" t="s">
        <v>4973</v>
      </c>
    </row>
    <row r="9030" spans="1:1" x14ac:dyDescent="0.3">
      <c r="A9030" t="s">
        <v>1157</v>
      </c>
    </row>
    <row r="9031" spans="1:1" x14ac:dyDescent="0.3">
      <c r="A9031" t="s">
        <v>4974</v>
      </c>
    </row>
    <row r="9032" spans="1:1" x14ac:dyDescent="0.3">
      <c r="A9032" t="s">
        <v>12</v>
      </c>
    </row>
    <row r="9033" spans="1:1" x14ac:dyDescent="0.3">
      <c r="A9033" t="s">
        <v>40</v>
      </c>
    </row>
    <row r="9035" spans="1:1" x14ac:dyDescent="0.3">
      <c r="A9035" t="s">
        <v>12</v>
      </c>
    </row>
    <row r="9036" spans="1:1" x14ac:dyDescent="0.3">
      <c r="A9036" t="s">
        <v>13</v>
      </c>
    </row>
    <row r="9037" spans="1:1" x14ac:dyDescent="0.3">
      <c r="A9037" t="s">
        <v>1691</v>
      </c>
    </row>
    <row r="9038" spans="1:1" x14ac:dyDescent="0.3">
      <c r="A9038" t="s">
        <v>4975</v>
      </c>
    </row>
    <row r="9039" spans="1:1" x14ac:dyDescent="0.3">
      <c r="A9039" t="s">
        <v>4976</v>
      </c>
    </row>
    <row r="9040" spans="1:1" x14ac:dyDescent="0.3">
      <c r="A9040" t="s">
        <v>4436</v>
      </c>
    </row>
    <row r="9041" spans="1:1" x14ac:dyDescent="0.3">
      <c r="A9041" t="s">
        <v>110</v>
      </c>
    </row>
    <row r="9042" spans="1:1" x14ac:dyDescent="0.3">
      <c r="A9042" t="s">
        <v>4977</v>
      </c>
    </row>
    <row r="9043" spans="1:1" x14ac:dyDescent="0.3">
      <c r="A9043" t="s">
        <v>4978</v>
      </c>
    </row>
    <row r="9044" spans="1:1" x14ac:dyDescent="0.3">
      <c r="A9044" t="s">
        <v>51</v>
      </c>
    </row>
    <row r="9045" spans="1:1" x14ac:dyDescent="0.3">
      <c r="A9045" t="s">
        <v>52</v>
      </c>
    </row>
    <row r="9046" spans="1:1" x14ac:dyDescent="0.3">
      <c r="A9046" t="s">
        <v>79</v>
      </c>
    </row>
    <row r="9047" spans="1:1" x14ac:dyDescent="0.3">
      <c r="A9047" t="s">
        <v>98</v>
      </c>
    </row>
    <row r="9048" spans="1:1" x14ac:dyDescent="0.3">
      <c r="A9048" t="s">
        <v>13</v>
      </c>
    </row>
    <row r="9049" spans="1:1" x14ac:dyDescent="0.3">
      <c r="A9049" t="s">
        <v>105</v>
      </c>
    </row>
    <row r="9050" spans="1:1" x14ac:dyDescent="0.3">
      <c r="A9050" t="s">
        <v>4979</v>
      </c>
    </row>
    <row r="9051" spans="1:1" x14ac:dyDescent="0.3">
      <c r="A9051" t="s">
        <v>1157</v>
      </c>
    </row>
    <row r="9052" spans="1:1" x14ac:dyDescent="0.3">
      <c r="A9052" t="s">
        <v>4980</v>
      </c>
    </row>
    <row r="9053" spans="1:1" x14ac:dyDescent="0.3">
      <c r="A9053" t="s">
        <v>12</v>
      </c>
    </row>
    <row r="9054" spans="1:1" x14ac:dyDescent="0.3">
      <c r="A9054" t="s">
        <v>13</v>
      </c>
    </row>
    <row r="9055" spans="1:1" x14ac:dyDescent="0.3">
      <c r="A9055" t="s">
        <v>106</v>
      </c>
    </row>
    <row r="9056" spans="1:1" x14ac:dyDescent="0.3">
      <c r="A9056" t="s">
        <v>4981</v>
      </c>
    </row>
    <row r="9057" spans="1:1" x14ac:dyDescent="0.3">
      <c r="A9057" t="s">
        <v>1157</v>
      </c>
    </row>
    <row r="9058" spans="1:1" x14ac:dyDescent="0.3">
      <c r="A9058" t="s">
        <v>4982</v>
      </c>
    </row>
    <row r="9059" spans="1:1" x14ac:dyDescent="0.3">
      <c r="A9059" t="s">
        <v>12</v>
      </c>
    </row>
    <row r="9060" spans="1:1" x14ac:dyDescent="0.3">
      <c r="A9060" t="s">
        <v>40</v>
      </c>
    </row>
    <row r="9062" spans="1:1" x14ac:dyDescent="0.3">
      <c r="A9062" t="s">
        <v>12</v>
      </c>
    </row>
    <row r="9063" spans="1:1" x14ac:dyDescent="0.3">
      <c r="A9063" t="s">
        <v>13</v>
      </c>
    </row>
    <row r="9064" spans="1:1" x14ac:dyDescent="0.3">
      <c r="A9064" t="s">
        <v>1937</v>
      </c>
    </row>
    <row r="9065" spans="1:1" x14ac:dyDescent="0.3">
      <c r="A9065" t="s">
        <v>4983</v>
      </c>
    </row>
    <row r="9066" spans="1:1" x14ac:dyDescent="0.3">
      <c r="A9066" t="s">
        <v>4984</v>
      </c>
    </row>
    <row r="9067" spans="1:1" x14ac:dyDescent="0.3">
      <c r="A9067" t="s">
        <v>4436</v>
      </c>
    </row>
    <row r="9068" spans="1:1" x14ac:dyDescent="0.3">
      <c r="A9068" t="s">
        <v>110</v>
      </c>
    </row>
    <row r="9069" spans="1:1" x14ac:dyDescent="0.3">
      <c r="A9069" t="s">
        <v>1154</v>
      </c>
    </row>
    <row r="9070" spans="1:1" x14ac:dyDescent="0.3">
      <c r="A9070" t="s">
        <v>4985</v>
      </c>
    </row>
    <row r="9071" spans="1:1" x14ac:dyDescent="0.3">
      <c r="A9071" t="s">
        <v>51</v>
      </c>
    </row>
    <row r="9072" spans="1:1" x14ac:dyDescent="0.3">
      <c r="A9072" t="s">
        <v>52</v>
      </c>
    </row>
    <row r="9073" spans="1:1" x14ac:dyDescent="0.3">
      <c r="A9073" t="s">
        <v>79</v>
      </c>
    </row>
    <row r="9074" spans="1:1" x14ac:dyDescent="0.3">
      <c r="A9074" t="s">
        <v>98</v>
      </c>
    </row>
    <row r="9075" spans="1:1" x14ac:dyDescent="0.3">
      <c r="A9075" t="s">
        <v>13</v>
      </c>
    </row>
    <row r="9076" spans="1:1" x14ac:dyDescent="0.3">
      <c r="A9076" t="s">
        <v>105</v>
      </c>
    </row>
    <row r="9077" spans="1:1" x14ac:dyDescent="0.3">
      <c r="A9077" t="s">
        <v>4986</v>
      </c>
    </row>
    <row r="9078" spans="1:1" x14ac:dyDescent="0.3">
      <c r="A9078" t="s">
        <v>1157</v>
      </c>
    </row>
    <row r="9079" spans="1:1" x14ac:dyDescent="0.3">
      <c r="A9079" t="s">
        <v>4987</v>
      </c>
    </row>
    <row r="9080" spans="1:1" x14ac:dyDescent="0.3">
      <c r="A9080" t="s">
        <v>12</v>
      </c>
    </row>
    <row r="9081" spans="1:1" x14ac:dyDescent="0.3">
      <c r="A9081" t="s">
        <v>13</v>
      </c>
    </row>
    <row r="9082" spans="1:1" x14ac:dyDescent="0.3">
      <c r="A9082" t="s">
        <v>106</v>
      </c>
    </row>
    <row r="9083" spans="1:1" x14ac:dyDescent="0.3">
      <c r="A9083" t="s">
        <v>4988</v>
      </c>
    </row>
    <row r="9084" spans="1:1" x14ac:dyDescent="0.3">
      <c r="A9084" t="s">
        <v>1157</v>
      </c>
    </row>
    <row r="9085" spans="1:1" x14ac:dyDescent="0.3">
      <c r="A9085" t="s">
        <v>4989</v>
      </c>
    </row>
    <row r="9086" spans="1:1" x14ac:dyDescent="0.3">
      <c r="A9086" t="s">
        <v>12</v>
      </c>
    </row>
    <row r="9087" spans="1:1" x14ac:dyDescent="0.3">
      <c r="A9087" t="s">
        <v>40</v>
      </c>
    </row>
    <row r="9089" spans="1:1" x14ac:dyDescent="0.3">
      <c r="A9089" t="s">
        <v>12</v>
      </c>
    </row>
    <row r="9090" spans="1:1" x14ac:dyDescent="0.3">
      <c r="A9090" t="s">
        <v>13</v>
      </c>
    </row>
    <row r="9091" spans="1:1" x14ac:dyDescent="0.3">
      <c r="A9091" t="s">
        <v>1940</v>
      </c>
    </row>
    <row r="9092" spans="1:1" x14ac:dyDescent="0.3">
      <c r="A9092" t="s">
        <v>4990</v>
      </c>
    </row>
    <row r="9093" spans="1:1" x14ac:dyDescent="0.3">
      <c r="A9093" t="s">
        <v>4991</v>
      </c>
    </row>
    <row r="9094" spans="1:1" x14ac:dyDescent="0.3">
      <c r="A9094" t="s">
        <v>4436</v>
      </c>
    </row>
    <row r="9095" spans="1:1" x14ac:dyDescent="0.3">
      <c r="A9095" t="s">
        <v>110</v>
      </c>
    </row>
    <row r="9096" spans="1:1" x14ac:dyDescent="0.3">
      <c r="A9096" t="s">
        <v>1154</v>
      </c>
    </row>
    <row r="9097" spans="1:1" x14ac:dyDescent="0.3">
      <c r="A9097" t="s">
        <v>4992</v>
      </c>
    </row>
    <row r="9098" spans="1:1" x14ac:dyDescent="0.3">
      <c r="A9098" t="s">
        <v>51</v>
      </c>
    </row>
    <row r="9099" spans="1:1" x14ac:dyDescent="0.3">
      <c r="A9099" t="s">
        <v>52</v>
      </c>
    </row>
    <row r="9100" spans="1:1" x14ac:dyDescent="0.3">
      <c r="A9100" t="s">
        <v>79</v>
      </c>
    </row>
    <row r="9101" spans="1:1" x14ac:dyDescent="0.3">
      <c r="A9101" t="s">
        <v>98</v>
      </c>
    </row>
    <row r="9102" spans="1:1" x14ac:dyDescent="0.3">
      <c r="A9102" t="s">
        <v>13</v>
      </c>
    </row>
    <row r="9103" spans="1:1" x14ac:dyDescent="0.3">
      <c r="A9103" t="s">
        <v>105</v>
      </c>
    </row>
    <row r="9104" spans="1:1" x14ac:dyDescent="0.3">
      <c r="A9104" t="s">
        <v>4993</v>
      </c>
    </row>
    <row r="9105" spans="1:1" x14ac:dyDescent="0.3">
      <c r="A9105" t="s">
        <v>1157</v>
      </c>
    </row>
    <row r="9106" spans="1:1" x14ac:dyDescent="0.3">
      <c r="A9106" t="s">
        <v>4994</v>
      </c>
    </row>
    <row r="9107" spans="1:1" x14ac:dyDescent="0.3">
      <c r="A9107" t="s">
        <v>12</v>
      </c>
    </row>
    <row r="9108" spans="1:1" x14ac:dyDescent="0.3">
      <c r="A9108" t="s">
        <v>13</v>
      </c>
    </row>
    <row r="9109" spans="1:1" x14ac:dyDescent="0.3">
      <c r="A9109" t="s">
        <v>106</v>
      </c>
    </row>
    <row r="9110" spans="1:1" x14ac:dyDescent="0.3">
      <c r="A9110" t="s">
        <v>4995</v>
      </c>
    </row>
    <row r="9111" spans="1:1" x14ac:dyDescent="0.3">
      <c r="A9111" t="s">
        <v>1157</v>
      </c>
    </row>
    <row r="9112" spans="1:1" x14ac:dyDescent="0.3">
      <c r="A9112" t="s">
        <v>4996</v>
      </c>
    </row>
    <row r="9113" spans="1:1" x14ac:dyDescent="0.3">
      <c r="A9113" t="s">
        <v>12</v>
      </c>
    </row>
    <row r="9114" spans="1:1" x14ac:dyDescent="0.3">
      <c r="A9114" t="s">
        <v>40</v>
      </c>
    </row>
    <row r="9116" spans="1:1" x14ac:dyDescent="0.3">
      <c r="A9116" t="s">
        <v>12</v>
      </c>
    </row>
    <row r="9117" spans="1:1" x14ac:dyDescent="0.3">
      <c r="A9117" t="s">
        <v>13</v>
      </c>
    </row>
    <row r="9118" spans="1:1" x14ac:dyDescent="0.3">
      <c r="A9118" t="s">
        <v>1943</v>
      </c>
    </row>
    <row r="9119" spans="1:1" x14ac:dyDescent="0.3">
      <c r="A9119" t="s">
        <v>4997</v>
      </c>
    </row>
    <row r="9120" spans="1:1" x14ac:dyDescent="0.3">
      <c r="A9120" t="s">
        <v>4998</v>
      </c>
    </row>
    <row r="9121" spans="1:1" x14ac:dyDescent="0.3">
      <c r="A9121" t="s">
        <v>4436</v>
      </c>
    </row>
    <row r="9122" spans="1:1" x14ac:dyDescent="0.3">
      <c r="A9122" t="s">
        <v>110</v>
      </c>
    </row>
    <row r="9123" spans="1:1" x14ac:dyDescent="0.3">
      <c r="A9123" t="s">
        <v>1154</v>
      </c>
    </row>
    <row r="9124" spans="1:1" x14ac:dyDescent="0.3">
      <c r="A9124" t="s">
        <v>4999</v>
      </c>
    </row>
    <row r="9125" spans="1:1" x14ac:dyDescent="0.3">
      <c r="A9125" t="s">
        <v>51</v>
      </c>
    </row>
    <row r="9126" spans="1:1" x14ac:dyDescent="0.3">
      <c r="A9126" t="s">
        <v>52</v>
      </c>
    </row>
    <row r="9127" spans="1:1" x14ac:dyDescent="0.3">
      <c r="A9127" t="s">
        <v>79</v>
      </c>
    </row>
    <row r="9128" spans="1:1" x14ac:dyDescent="0.3">
      <c r="A9128" t="s">
        <v>98</v>
      </c>
    </row>
    <row r="9129" spans="1:1" x14ac:dyDescent="0.3">
      <c r="A9129" t="s">
        <v>13</v>
      </c>
    </row>
    <row r="9130" spans="1:1" x14ac:dyDescent="0.3">
      <c r="A9130" t="s">
        <v>105</v>
      </c>
    </row>
    <row r="9131" spans="1:1" x14ac:dyDescent="0.3">
      <c r="A9131" t="s">
        <v>5000</v>
      </c>
    </row>
    <row r="9132" spans="1:1" x14ac:dyDescent="0.3">
      <c r="A9132" t="s">
        <v>1157</v>
      </c>
    </row>
    <row r="9133" spans="1:1" x14ac:dyDescent="0.3">
      <c r="A9133" t="s">
        <v>5001</v>
      </c>
    </row>
    <row r="9134" spans="1:1" x14ac:dyDescent="0.3">
      <c r="A9134" t="s">
        <v>12</v>
      </c>
    </row>
    <row r="9135" spans="1:1" x14ac:dyDescent="0.3">
      <c r="A9135" t="s">
        <v>13</v>
      </c>
    </row>
    <row r="9136" spans="1:1" x14ac:dyDescent="0.3">
      <c r="A9136" t="s">
        <v>106</v>
      </c>
    </row>
    <row r="9137" spans="1:1" x14ac:dyDescent="0.3">
      <c r="A9137" t="s">
        <v>5002</v>
      </c>
    </row>
    <row r="9138" spans="1:1" x14ac:dyDescent="0.3">
      <c r="A9138" t="s">
        <v>1157</v>
      </c>
    </row>
    <row r="9139" spans="1:1" x14ac:dyDescent="0.3">
      <c r="A9139" t="s">
        <v>5003</v>
      </c>
    </row>
    <row r="9140" spans="1:1" x14ac:dyDescent="0.3">
      <c r="A9140" t="s">
        <v>12</v>
      </c>
    </row>
    <row r="9141" spans="1:1" x14ac:dyDescent="0.3">
      <c r="A9141" t="s">
        <v>40</v>
      </c>
    </row>
    <row r="9143" spans="1:1" x14ac:dyDescent="0.3">
      <c r="A9143" t="s">
        <v>12</v>
      </c>
    </row>
    <row r="9144" spans="1:1" x14ac:dyDescent="0.3">
      <c r="A9144" t="s">
        <v>13</v>
      </c>
    </row>
    <row r="9145" spans="1:1" x14ac:dyDescent="0.3">
      <c r="A9145" t="s">
        <v>1946</v>
      </c>
    </row>
    <row r="9146" spans="1:1" x14ac:dyDescent="0.3">
      <c r="A9146" t="s">
        <v>5004</v>
      </c>
    </row>
    <row r="9147" spans="1:1" x14ac:dyDescent="0.3">
      <c r="A9147" t="s">
        <v>5005</v>
      </c>
    </row>
    <row r="9148" spans="1:1" x14ac:dyDescent="0.3">
      <c r="A9148" t="s">
        <v>4436</v>
      </c>
    </row>
    <row r="9149" spans="1:1" x14ac:dyDescent="0.3">
      <c r="A9149" t="s">
        <v>110</v>
      </c>
    </row>
    <row r="9150" spans="1:1" x14ac:dyDescent="0.3">
      <c r="A9150" t="s">
        <v>1154</v>
      </c>
    </row>
    <row r="9151" spans="1:1" x14ac:dyDescent="0.3">
      <c r="A9151" t="s">
        <v>5006</v>
      </c>
    </row>
    <row r="9152" spans="1:1" x14ac:dyDescent="0.3">
      <c r="A9152" t="s">
        <v>51</v>
      </c>
    </row>
    <row r="9153" spans="1:1" x14ac:dyDescent="0.3">
      <c r="A9153" t="s">
        <v>52</v>
      </c>
    </row>
    <row r="9154" spans="1:1" x14ac:dyDescent="0.3">
      <c r="A9154" t="s">
        <v>79</v>
      </c>
    </row>
    <row r="9156" spans="1:1" x14ac:dyDescent="0.3">
      <c r="A9156" t="s">
        <v>12</v>
      </c>
    </row>
    <row r="9157" spans="1:1" x14ac:dyDescent="0.3">
      <c r="A9157" t="s">
        <v>13</v>
      </c>
    </row>
    <row r="9158" spans="1:1" x14ac:dyDescent="0.3">
      <c r="A9158" t="s">
        <v>1950</v>
      </c>
    </row>
    <row r="9159" spans="1:1" x14ac:dyDescent="0.3">
      <c r="A9159" t="s">
        <v>5007</v>
      </c>
    </row>
    <row r="9160" spans="1:1" x14ac:dyDescent="0.3">
      <c r="A9160" t="s">
        <v>5008</v>
      </c>
    </row>
    <row r="9161" spans="1:1" x14ac:dyDescent="0.3">
      <c r="A9161" t="s">
        <v>4436</v>
      </c>
    </row>
    <row r="9162" spans="1:1" x14ac:dyDescent="0.3">
      <c r="A9162" t="s">
        <v>110</v>
      </c>
    </row>
    <row r="9163" spans="1:1" x14ac:dyDescent="0.3">
      <c r="A9163" t="s">
        <v>1154</v>
      </c>
    </row>
    <row r="9164" spans="1:1" x14ac:dyDescent="0.3">
      <c r="A9164" t="s">
        <v>5009</v>
      </c>
    </row>
    <row r="9165" spans="1:1" x14ac:dyDescent="0.3">
      <c r="A9165" t="s">
        <v>51</v>
      </c>
    </row>
    <row r="9166" spans="1:1" x14ac:dyDescent="0.3">
      <c r="A9166" t="s">
        <v>52</v>
      </c>
    </row>
    <row r="9167" spans="1:1" x14ac:dyDescent="0.3">
      <c r="A9167" t="s">
        <v>79</v>
      </c>
    </row>
    <row r="9168" spans="1:1" x14ac:dyDescent="0.3">
      <c r="A9168" t="s">
        <v>98</v>
      </c>
    </row>
    <row r="9169" spans="1:1" x14ac:dyDescent="0.3">
      <c r="A9169" t="s">
        <v>13</v>
      </c>
    </row>
    <row r="9170" spans="1:1" x14ac:dyDescent="0.3">
      <c r="A9170" t="s">
        <v>105</v>
      </c>
    </row>
    <row r="9171" spans="1:1" x14ac:dyDescent="0.3">
      <c r="A9171" t="s">
        <v>5010</v>
      </c>
    </row>
    <row r="9172" spans="1:1" x14ac:dyDescent="0.3">
      <c r="A9172" t="s">
        <v>1157</v>
      </c>
    </row>
    <row r="9173" spans="1:1" x14ac:dyDescent="0.3">
      <c r="A9173" t="s">
        <v>5011</v>
      </c>
    </row>
    <row r="9174" spans="1:1" x14ac:dyDescent="0.3">
      <c r="A9174" t="s">
        <v>12</v>
      </c>
    </row>
    <row r="9175" spans="1:1" x14ac:dyDescent="0.3">
      <c r="A9175" t="s">
        <v>13</v>
      </c>
    </row>
    <row r="9176" spans="1:1" x14ac:dyDescent="0.3">
      <c r="A9176" t="s">
        <v>106</v>
      </c>
    </row>
    <row r="9177" spans="1:1" x14ac:dyDescent="0.3">
      <c r="A9177" t="s">
        <v>5012</v>
      </c>
    </row>
    <row r="9178" spans="1:1" x14ac:dyDescent="0.3">
      <c r="A9178" t="s">
        <v>1157</v>
      </c>
    </row>
    <row r="9179" spans="1:1" x14ac:dyDescent="0.3">
      <c r="A9179" t="s">
        <v>5013</v>
      </c>
    </row>
    <row r="9180" spans="1:1" x14ac:dyDescent="0.3">
      <c r="A9180" t="s">
        <v>12</v>
      </c>
    </row>
    <row r="9181" spans="1:1" x14ac:dyDescent="0.3">
      <c r="A9181" t="s">
        <v>40</v>
      </c>
    </row>
    <row r="9183" spans="1:1" x14ac:dyDescent="0.3">
      <c r="A9183" t="s">
        <v>12</v>
      </c>
    </row>
    <row r="9184" spans="1:1" x14ac:dyDescent="0.3">
      <c r="A9184" t="s">
        <v>13</v>
      </c>
    </row>
    <row r="9185" spans="1:1" x14ac:dyDescent="0.3">
      <c r="A9185" t="s">
        <v>1953</v>
      </c>
    </row>
    <row r="9186" spans="1:1" x14ac:dyDescent="0.3">
      <c r="A9186" t="s">
        <v>5014</v>
      </c>
    </row>
    <row r="9187" spans="1:1" x14ac:dyDescent="0.3">
      <c r="A9187" t="s">
        <v>5015</v>
      </c>
    </row>
    <row r="9188" spans="1:1" x14ac:dyDescent="0.3">
      <c r="A9188" t="s">
        <v>4436</v>
      </c>
    </row>
    <row r="9189" spans="1:1" x14ac:dyDescent="0.3">
      <c r="A9189" t="s">
        <v>110</v>
      </c>
    </row>
    <row r="9190" spans="1:1" x14ac:dyDescent="0.3">
      <c r="A9190" t="s">
        <v>1154</v>
      </c>
    </row>
    <row r="9191" spans="1:1" x14ac:dyDescent="0.3">
      <c r="A9191" t="s">
        <v>5016</v>
      </c>
    </row>
    <row r="9192" spans="1:1" x14ac:dyDescent="0.3">
      <c r="A9192" t="s">
        <v>51</v>
      </c>
    </row>
    <row r="9193" spans="1:1" x14ac:dyDescent="0.3">
      <c r="A9193" t="s">
        <v>52</v>
      </c>
    </row>
    <row r="9194" spans="1:1" x14ac:dyDescent="0.3">
      <c r="A9194" t="s">
        <v>79</v>
      </c>
    </row>
    <row r="9196" spans="1:1" x14ac:dyDescent="0.3">
      <c r="A9196" t="s">
        <v>12</v>
      </c>
    </row>
    <row r="9197" spans="1:1" x14ac:dyDescent="0.3">
      <c r="A9197" t="s">
        <v>13</v>
      </c>
    </row>
    <row r="9198" spans="1:1" x14ac:dyDescent="0.3">
      <c r="A9198" t="s">
        <v>1959</v>
      </c>
    </row>
    <row r="9199" spans="1:1" x14ac:dyDescent="0.3">
      <c r="A9199" t="s">
        <v>5017</v>
      </c>
    </row>
    <row r="9200" spans="1:1" x14ac:dyDescent="0.3">
      <c r="A9200" t="s">
        <v>5018</v>
      </c>
    </row>
    <row r="9201" spans="1:1" x14ac:dyDescent="0.3">
      <c r="A9201" t="s">
        <v>4436</v>
      </c>
    </row>
    <row r="9202" spans="1:1" x14ac:dyDescent="0.3">
      <c r="A9202" t="s">
        <v>110</v>
      </c>
    </row>
    <row r="9203" spans="1:1" x14ac:dyDescent="0.3">
      <c r="A9203" t="s">
        <v>1154</v>
      </c>
    </row>
    <row r="9204" spans="1:1" x14ac:dyDescent="0.3">
      <c r="A9204" t="s">
        <v>5019</v>
      </c>
    </row>
    <row r="9205" spans="1:1" x14ac:dyDescent="0.3">
      <c r="A9205" t="s">
        <v>51</v>
      </c>
    </row>
    <row r="9206" spans="1:1" x14ac:dyDescent="0.3">
      <c r="A9206" t="s">
        <v>52</v>
      </c>
    </row>
    <row r="9207" spans="1:1" x14ac:dyDescent="0.3">
      <c r="A9207" t="s">
        <v>79</v>
      </c>
    </row>
    <row r="9208" spans="1:1" x14ac:dyDescent="0.3">
      <c r="A9208" t="s">
        <v>98</v>
      </c>
    </row>
    <row r="9209" spans="1:1" x14ac:dyDescent="0.3">
      <c r="A9209" t="s">
        <v>13</v>
      </c>
    </row>
    <row r="9210" spans="1:1" x14ac:dyDescent="0.3">
      <c r="A9210" t="s">
        <v>105</v>
      </c>
    </row>
    <row r="9211" spans="1:1" x14ac:dyDescent="0.3">
      <c r="A9211" t="s">
        <v>5020</v>
      </c>
    </row>
    <row r="9212" spans="1:1" x14ac:dyDescent="0.3">
      <c r="A9212" t="s">
        <v>1157</v>
      </c>
    </row>
    <row r="9213" spans="1:1" x14ac:dyDescent="0.3">
      <c r="A9213" t="s">
        <v>5021</v>
      </c>
    </row>
    <row r="9214" spans="1:1" x14ac:dyDescent="0.3">
      <c r="A9214" t="s">
        <v>12</v>
      </c>
    </row>
    <row r="9215" spans="1:1" x14ac:dyDescent="0.3">
      <c r="A9215" t="s">
        <v>13</v>
      </c>
    </row>
    <row r="9216" spans="1:1" x14ac:dyDescent="0.3">
      <c r="A9216" t="s">
        <v>106</v>
      </c>
    </row>
    <row r="9217" spans="1:1" x14ac:dyDescent="0.3">
      <c r="A9217" t="s">
        <v>5022</v>
      </c>
    </row>
    <row r="9218" spans="1:1" x14ac:dyDescent="0.3">
      <c r="A9218" t="s">
        <v>1157</v>
      </c>
    </row>
    <row r="9219" spans="1:1" x14ac:dyDescent="0.3">
      <c r="A9219" t="s">
        <v>5023</v>
      </c>
    </row>
    <row r="9220" spans="1:1" x14ac:dyDescent="0.3">
      <c r="A9220" t="s">
        <v>12</v>
      </c>
    </row>
    <row r="9221" spans="1:1" x14ac:dyDescent="0.3">
      <c r="A9221" t="s">
        <v>40</v>
      </c>
    </row>
    <row r="9223" spans="1:1" x14ac:dyDescent="0.3">
      <c r="A9223" t="s">
        <v>12</v>
      </c>
    </row>
    <row r="9224" spans="1:1" x14ac:dyDescent="0.3">
      <c r="A9224" t="s">
        <v>13</v>
      </c>
    </row>
    <row r="9225" spans="1:1" x14ac:dyDescent="0.3">
      <c r="A9225" t="s">
        <v>1967</v>
      </c>
    </row>
    <row r="9226" spans="1:1" x14ac:dyDescent="0.3">
      <c r="A9226" t="s">
        <v>5024</v>
      </c>
    </row>
    <row r="9227" spans="1:1" x14ac:dyDescent="0.3">
      <c r="A9227" t="s">
        <v>5025</v>
      </c>
    </row>
    <row r="9228" spans="1:1" x14ac:dyDescent="0.3">
      <c r="A9228" t="s">
        <v>4436</v>
      </c>
    </row>
    <row r="9229" spans="1:1" x14ac:dyDescent="0.3">
      <c r="A9229" t="s">
        <v>110</v>
      </c>
    </row>
    <row r="9230" spans="1:1" x14ac:dyDescent="0.3">
      <c r="A9230" t="s">
        <v>5026</v>
      </c>
    </row>
    <row r="9231" spans="1:1" x14ac:dyDescent="0.3">
      <c r="A9231" t="s">
        <v>5027</v>
      </c>
    </row>
    <row r="9232" spans="1:1" x14ac:dyDescent="0.3">
      <c r="A9232" t="s">
        <v>51</v>
      </c>
    </row>
    <row r="9233" spans="1:1" x14ac:dyDescent="0.3">
      <c r="A9233" t="s">
        <v>52</v>
      </c>
    </row>
    <row r="9234" spans="1:1" x14ac:dyDescent="0.3">
      <c r="A9234" t="s">
        <v>79</v>
      </c>
    </row>
    <row r="9235" spans="1:1" x14ac:dyDescent="0.3">
      <c r="A9235" t="s">
        <v>98</v>
      </c>
    </row>
    <row r="9236" spans="1:1" x14ac:dyDescent="0.3">
      <c r="A9236" t="s">
        <v>13</v>
      </c>
    </row>
    <row r="9237" spans="1:1" x14ac:dyDescent="0.3">
      <c r="A9237" t="s">
        <v>105</v>
      </c>
    </row>
    <row r="9238" spans="1:1" x14ac:dyDescent="0.3">
      <c r="A9238" t="s">
        <v>5028</v>
      </c>
    </row>
    <row r="9239" spans="1:1" x14ac:dyDescent="0.3">
      <c r="A9239" t="s">
        <v>1157</v>
      </c>
    </row>
    <row r="9240" spans="1:1" x14ac:dyDescent="0.3">
      <c r="A9240" t="s">
        <v>5029</v>
      </c>
    </row>
    <row r="9241" spans="1:1" x14ac:dyDescent="0.3">
      <c r="A9241" t="s">
        <v>12</v>
      </c>
    </row>
    <row r="9242" spans="1:1" x14ac:dyDescent="0.3">
      <c r="A9242" t="s">
        <v>13</v>
      </c>
    </row>
    <row r="9243" spans="1:1" x14ac:dyDescent="0.3">
      <c r="A9243" t="s">
        <v>106</v>
      </c>
    </row>
    <row r="9244" spans="1:1" x14ac:dyDescent="0.3">
      <c r="A9244" t="s">
        <v>5030</v>
      </c>
    </row>
    <row r="9245" spans="1:1" x14ac:dyDescent="0.3">
      <c r="A9245" t="s">
        <v>1157</v>
      </c>
    </row>
    <row r="9246" spans="1:1" x14ac:dyDescent="0.3">
      <c r="A9246" t="s">
        <v>5031</v>
      </c>
    </row>
    <row r="9247" spans="1:1" x14ac:dyDescent="0.3">
      <c r="A9247" t="s">
        <v>12</v>
      </c>
    </row>
    <row r="9248" spans="1:1" x14ac:dyDescent="0.3">
      <c r="A9248" t="s">
        <v>40</v>
      </c>
    </row>
    <row r="9250" spans="1:1" x14ac:dyDescent="0.3">
      <c r="A9250" t="s">
        <v>12</v>
      </c>
    </row>
    <row r="9251" spans="1:1" x14ac:dyDescent="0.3">
      <c r="A9251" t="s">
        <v>13</v>
      </c>
    </row>
    <row r="9252" spans="1:1" x14ac:dyDescent="0.3">
      <c r="A9252" t="s">
        <v>1970</v>
      </c>
    </row>
    <row r="9253" spans="1:1" x14ac:dyDescent="0.3">
      <c r="A9253" t="s">
        <v>5032</v>
      </c>
    </row>
    <row r="9254" spans="1:1" x14ac:dyDescent="0.3">
      <c r="A9254" t="s">
        <v>5033</v>
      </c>
    </row>
    <row r="9255" spans="1:1" x14ac:dyDescent="0.3">
      <c r="A9255" t="s">
        <v>4436</v>
      </c>
    </row>
    <row r="9256" spans="1:1" x14ac:dyDescent="0.3">
      <c r="A9256" t="s">
        <v>110</v>
      </c>
    </row>
    <row r="9257" spans="1:1" x14ac:dyDescent="0.3">
      <c r="A9257" t="s">
        <v>5034</v>
      </c>
    </row>
    <row r="9258" spans="1:1" x14ac:dyDescent="0.3">
      <c r="A9258" t="s">
        <v>5035</v>
      </c>
    </row>
    <row r="9259" spans="1:1" x14ac:dyDescent="0.3">
      <c r="A9259" t="s">
        <v>51</v>
      </c>
    </row>
    <row r="9260" spans="1:1" x14ac:dyDescent="0.3">
      <c r="A9260" t="s">
        <v>52</v>
      </c>
    </row>
    <row r="9261" spans="1:1" x14ac:dyDescent="0.3">
      <c r="A9261" t="s">
        <v>79</v>
      </c>
    </row>
    <row r="9263" spans="1:1" x14ac:dyDescent="0.3">
      <c r="A9263" t="s">
        <v>12</v>
      </c>
    </row>
    <row r="9264" spans="1:1" x14ac:dyDescent="0.3">
      <c r="A9264" t="s">
        <v>13</v>
      </c>
    </row>
    <row r="9265" spans="1:1" x14ac:dyDescent="0.3">
      <c r="A9265" t="s">
        <v>1976</v>
      </c>
    </row>
    <row r="9266" spans="1:1" x14ac:dyDescent="0.3">
      <c r="A9266" t="s">
        <v>5036</v>
      </c>
    </row>
    <row r="9267" spans="1:1" x14ac:dyDescent="0.3">
      <c r="A9267" t="s">
        <v>5037</v>
      </c>
    </row>
    <row r="9268" spans="1:1" x14ac:dyDescent="0.3">
      <c r="A9268" t="s">
        <v>4436</v>
      </c>
    </row>
    <row r="9269" spans="1:1" x14ac:dyDescent="0.3">
      <c r="A9269" t="s">
        <v>110</v>
      </c>
    </row>
    <row r="9270" spans="1:1" x14ac:dyDescent="0.3">
      <c r="A9270" t="s">
        <v>5038</v>
      </c>
    </row>
    <row r="9271" spans="1:1" x14ac:dyDescent="0.3">
      <c r="A9271" t="s">
        <v>5039</v>
      </c>
    </row>
    <row r="9272" spans="1:1" x14ac:dyDescent="0.3">
      <c r="A9272" t="s">
        <v>51</v>
      </c>
    </row>
    <row r="9273" spans="1:1" x14ac:dyDescent="0.3">
      <c r="A9273" t="s">
        <v>52</v>
      </c>
    </row>
    <row r="9274" spans="1:1" x14ac:dyDescent="0.3">
      <c r="A9274" t="s">
        <v>79</v>
      </c>
    </row>
    <row r="9276" spans="1:1" x14ac:dyDescent="0.3">
      <c r="A9276" t="s">
        <v>12</v>
      </c>
    </row>
    <row r="9277" spans="1:1" x14ac:dyDescent="0.3">
      <c r="A9277" t="s">
        <v>13</v>
      </c>
    </row>
    <row r="9278" spans="1:1" x14ac:dyDescent="0.3">
      <c r="A9278" t="s">
        <v>1984</v>
      </c>
    </row>
    <row r="9279" spans="1:1" x14ac:dyDescent="0.3">
      <c r="A9279" t="s">
        <v>5036</v>
      </c>
    </row>
    <row r="9280" spans="1:1" x14ac:dyDescent="0.3">
      <c r="A9280" t="s">
        <v>5037</v>
      </c>
    </row>
    <row r="9281" spans="1:1" x14ac:dyDescent="0.3">
      <c r="A9281" t="s">
        <v>4436</v>
      </c>
    </row>
    <row r="9282" spans="1:1" x14ac:dyDescent="0.3">
      <c r="A9282" t="s">
        <v>110</v>
      </c>
    </row>
    <row r="9283" spans="1:1" x14ac:dyDescent="0.3">
      <c r="A9283" t="s">
        <v>5038</v>
      </c>
    </row>
    <row r="9284" spans="1:1" x14ac:dyDescent="0.3">
      <c r="A9284" t="s">
        <v>5039</v>
      </c>
    </row>
    <row r="9285" spans="1:1" x14ac:dyDescent="0.3">
      <c r="A9285" t="s">
        <v>51</v>
      </c>
    </row>
    <row r="9286" spans="1:1" x14ac:dyDescent="0.3">
      <c r="A9286" t="s">
        <v>52</v>
      </c>
    </row>
    <row r="9287" spans="1:1" x14ac:dyDescent="0.3">
      <c r="A9287" t="s">
        <v>79</v>
      </c>
    </row>
    <row r="9289" spans="1:1" x14ac:dyDescent="0.3">
      <c r="A9289" t="s">
        <v>12</v>
      </c>
    </row>
    <row r="9290" spans="1:1" x14ac:dyDescent="0.3">
      <c r="A9290" t="s">
        <v>13</v>
      </c>
    </row>
    <row r="9291" spans="1:1" x14ac:dyDescent="0.3">
      <c r="A9291" t="s">
        <v>1992</v>
      </c>
    </row>
    <row r="9292" spans="1:1" x14ac:dyDescent="0.3">
      <c r="A9292" t="s">
        <v>2726</v>
      </c>
    </row>
    <row r="9293" spans="1:1" x14ac:dyDescent="0.3">
      <c r="A9293" t="s">
        <v>5040</v>
      </c>
    </row>
    <row r="9294" spans="1:1" x14ac:dyDescent="0.3">
      <c r="A9294" t="s">
        <v>4436</v>
      </c>
    </row>
    <row r="9295" spans="1:1" x14ac:dyDescent="0.3">
      <c r="A9295" t="s">
        <v>110</v>
      </c>
    </row>
    <row r="9296" spans="1:1" x14ac:dyDescent="0.3">
      <c r="A9296" t="s">
        <v>1154</v>
      </c>
    </row>
    <row r="9297" spans="1:1" x14ac:dyDescent="0.3">
      <c r="A9297" t="s">
        <v>5041</v>
      </c>
    </row>
    <row r="9298" spans="1:1" x14ac:dyDescent="0.3">
      <c r="A9298" t="s">
        <v>51</v>
      </c>
    </row>
    <row r="9299" spans="1:1" x14ac:dyDescent="0.3">
      <c r="A9299" t="s">
        <v>52</v>
      </c>
    </row>
    <row r="9300" spans="1:1" x14ac:dyDescent="0.3">
      <c r="A9300" t="s">
        <v>79</v>
      </c>
    </row>
    <row r="9302" spans="1:1" x14ac:dyDescent="0.3">
      <c r="A9302" t="s">
        <v>12</v>
      </c>
    </row>
    <row r="9303" spans="1:1" x14ac:dyDescent="0.3">
      <c r="A9303" t="s">
        <v>13</v>
      </c>
    </row>
    <row r="9304" spans="1:1" x14ac:dyDescent="0.3">
      <c r="A9304" t="s">
        <v>2000</v>
      </c>
    </row>
    <row r="9305" spans="1:1" x14ac:dyDescent="0.3">
      <c r="A9305" t="s">
        <v>5042</v>
      </c>
    </row>
    <row r="9306" spans="1:1" x14ac:dyDescent="0.3">
      <c r="A9306" t="s">
        <v>5043</v>
      </c>
    </row>
    <row r="9307" spans="1:1" x14ac:dyDescent="0.3">
      <c r="A9307" t="s">
        <v>4436</v>
      </c>
    </row>
    <row r="9308" spans="1:1" x14ac:dyDescent="0.3">
      <c r="A9308" t="s">
        <v>110</v>
      </c>
    </row>
    <row r="9309" spans="1:1" x14ac:dyDescent="0.3">
      <c r="A9309" t="s">
        <v>1154</v>
      </c>
    </row>
    <row r="9310" spans="1:1" x14ac:dyDescent="0.3">
      <c r="A9310" t="s">
        <v>5044</v>
      </c>
    </row>
    <row r="9311" spans="1:1" x14ac:dyDescent="0.3">
      <c r="A9311" t="s">
        <v>51</v>
      </c>
    </row>
    <row r="9312" spans="1:1" x14ac:dyDescent="0.3">
      <c r="A9312" t="s">
        <v>52</v>
      </c>
    </row>
    <row r="9313" spans="1:1" x14ac:dyDescent="0.3">
      <c r="A9313" t="s">
        <v>79</v>
      </c>
    </row>
    <row r="9315" spans="1:1" x14ac:dyDescent="0.3">
      <c r="A9315" t="s">
        <v>12</v>
      </c>
    </row>
    <row r="9316" spans="1:1" x14ac:dyDescent="0.3">
      <c r="A9316" t="s">
        <v>13</v>
      </c>
    </row>
    <row r="9317" spans="1:1" x14ac:dyDescent="0.3">
      <c r="A9317" t="s">
        <v>2003</v>
      </c>
    </row>
    <row r="9318" spans="1:1" x14ac:dyDescent="0.3">
      <c r="A9318" t="s">
        <v>5045</v>
      </c>
    </row>
    <row r="9319" spans="1:1" x14ac:dyDescent="0.3">
      <c r="A9319" t="s">
        <v>5046</v>
      </c>
    </row>
    <row r="9320" spans="1:1" x14ac:dyDescent="0.3">
      <c r="A9320" t="s">
        <v>4436</v>
      </c>
    </row>
    <row r="9321" spans="1:1" x14ac:dyDescent="0.3">
      <c r="A9321" t="s">
        <v>110</v>
      </c>
    </row>
    <row r="9322" spans="1:1" x14ac:dyDescent="0.3">
      <c r="A9322" t="s">
        <v>1154</v>
      </c>
    </row>
    <row r="9323" spans="1:1" x14ac:dyDescent="0.3">
      <c r="A9323" t="s">
        <v>5047</v>
      </c>
    </row>
    <row r="9324" spans="1:1" x14ac:dyDescent="0.3">
      <c r="A9324" t="s">
        <v>51</v>
      </c>
    </row>
    <row r="9325" spans="1:1" x14ac:dyDescent="0.3">
      <c r="A9325" t="s">
        <v>52</v>
      </c>
    </row>
    <row r="9326" spans="1:1" x14ac:dyDescent="0.3">
      <c r="A9326" t="s">
        <v>79</v>
      </c>
    </row>
    <row r="9328" spans="1:1" x14ac:dyDescent="0.3">
      <c r="A9328" t="s">
        <v>12</v>
      </c>
    </row>
    <row r="9329" spans="1:1" x14ac:dyDescent="0.3">
      <c r="A9329" t="s">
        <v>13</v>
      </c>
    </row>
    <row r="9330" spans="1:1" x14ac:dyDescent="0.3">
      <c r="A9330" t="s">
        <v>2011</v>
      </c>
    </row>
    <row r="9331" spans="1:1" x14ac:dyDescent="0.3">
      <c r="A9331" t="s">
        <v>5045</v>
      </c>
    </row>
    <row r="9332" spans="1:1" x14ac:dyDescent="0.3">
      <c r="A9332" t="s">
        <v>5048</v>
      </c>
    </row>
    <row r="9333" spans="1:1" x14ac:dyDescent="0.3">
      <c r="A9333" t="s">
        <v>4436</v>
      </c>
    </row>
    <row r="9334" spans="1:1" x14ac:dyDescent="0.3">
      <c r="A9334" t="s">
        <v>110</v>
      </c>
    </row>
    <row r="9335" spans="1:1" x14ac:dyDescent="0.3">
      <c r="A9335" t="s">
        <v>1154</v>
      </c>
    </row>
    <row r="9336" spans="1:1" x14ac:dyDescent="0.3">
      <c r="A9336" t="s">
        <v>5049</v>
      </c>
    </row>
    <row r="9337" spans="1:1" x14ac:dyDescent="0.3">
      <c r="A9337" t="s">
        <v>51</v>
      </c>
    </row>
    <row r="9338" spans="1:1" x14ac:dyDescent="0.3">
      <c r="A9338" t="s">
        <v>52</v>
      </c>
    </row>
    <row r="9339" spans="1:1" x14ac:dyDescent="0.3">
      <c r="A9339" t="s">
        <v>79</v>
      </c>
    </row>
    <row r="9341" spans="1:1" x14ac:dyDescent="0.3">
      <c r="A9341" t="s">
        <v>12</v>
      </c>
    </row>
    <row r="9342" spans="1:1" x14ac:dyDescent="0.3">
      <c r="A9342" t="s">
        <v>13</v>
      </c>
    </row>
    <row r="9343" spans="1:1" x14ac:dyDescent="0.3">
      <c r="A9343" t="s">
        <v>2014</v>
      </c>
    </row>
    <row r="9344" spans="1:1" x14ac:dyDescent="0.3">
      <c r="A9344" t="s">
        <v>5050</v>
      </c>
    </row>
    <row r="9345" spans="1:1" x14ac:dyDescent="0.3">
      <c r="A9345" t="s">
        <v>5051</v>
      </c>
    </row>
    <row r="9346" spans="1:1" x14ac:dyDescent="0.3">
      <c r="A9346" t="s">
        <v>4436</v>
      </c>
    </row>
    <row r="9347" spans="1:1" x14ac:dyDescent="0.3">
      <c r="A9347" t="s">
        <v>110</v>
      </c>
    </row>
    <row r="9348" spans="1:1" x14ac:dyDescent="0.3">
      <c r="A9348" t="s">
        <v>1154</v>
      </c>
    </row>
    <row r="9349" spans="1:1" x14ac:dyDescent="0.3">
      <c r="A9349" t="s">
        <v>5052</v>
      </c>
    </row>
    <row r="9350" spans="1:1" x14ac:dyDescent="0.3">
      <c r="A9350" t="s">
        <v>51</v>
      </c>
    </row>
    <row r="9351" spans="1:1" x14ac:dyDescent="0.3">
      <c r="A9351" t="s">
        <v>52</v>
      </c>
    </row>
    <row r="9352" spans="1:1" x14ac:dyDescent="0.3">
      <c r="A9352" t="s">
        <v>79</v>
      </c>
    </row>
    <row r="9354" spans="1:1" x14ac:dyDescent="0.3">
      <c r="A9354" t="s">
        <v>12</v>
      </c>
    </row>
    <row r="9355" spans="1:1" x14ac:dyDescent="0.3">
      <c r="A9355" t="s">
        <v>13</v>
      </c>
    </row>
    <row r="9356" spans="1:1" x14ac:dyDescent="0.3">
      <c r="A9356" t="s">
        <v>2017</v>
      </c>
    </row>
    <row r="9357" spans="1:1" x14ac:dyDescent="0.3">
      <c r="A9357" t="s">
        <v>5050</v>
      </c>
    </row>
    <row r="9358" spans="1:1" x14ac:dyDescent="0.3">
      <c r="A9358" t="s">
        <v>5053</v>
      </c>
    </row>
    <row r="9359" spans="1:1" x14ac:dyDescent="0.3">
      <c r="A9359" t="s">
        <v>4436</v>
      </c>
    </row>
    <row r="9360" spans="1:1" x14ac:dyDescent="0.3">
      <c r="A9360" t="s">
        <v>110</v>
      </c>
    </row>
    <row r="9361" spans="1:1" x14ac:dyDescent="0.3">
      <c r="A9361" t="s">
        <v>1154</v>
      </c>
    </row>
    <row r="9362" spans="1:1" x14ac:dyDescent="0.3">
      <c r="A9362" t="s">
        <v>5054</v>
      </c>
    </row>
    <row r="9363" spans="1:1" x14ac:dyDescent="0.3">
      <c r="A9363" t="s">
        <v>51</v>
      </c>
    </row>
    <row r="9364" spans="1:1" x14ac:dyDescent="0.3">
      <c r="A9364" t="s">
        <v>52</v>
      </c>
    </row>
    <row r="9365" spans="1:1" x14ac:dyDescent="0.3">
      <c r="A9365" t="s">
        <v>79</v>
      </c>
    </row>
    <row r="9367" spans="1:1" x14ac:dyDescent="0.3">
      <c r="A9367" t="s">
        <v>12</v>
      </c>
    </row>
    <row r="9368" spans="1:1" x14ac:dyDescent="0.3">
      <c r="A9368" t="s">
        <v>13</v>
      </c>
    </row>
    <row r="9369" spans="1:1" x14ac:dyDescent="0.3">
      <c r="A9369" t="s">
        <v>2021</v>
      </c>
    </row>
    <row r="9370" spans="1:1" x14ac:dyDescent="0.3">
      <c r="A9370" t="s">
        <v>5055</v>
      </c>
    </row>
    <row r="9371" spans="1:1" x14ac:dyDescent="0.3">
      <c r="A9371" t="s">
        <v>5056</v>
      </c>
    </row>
    <row r="9372" spans="1:1" x14ac:dyDescent="0.3">
      <c r="A9372" t="s">
        <v>4436</v>
      </c>
    </row>
    <row r="9373" spans="1:1" x14ac:dyDescent="0.3">
      <c r="A9373" t="s">
        <v>110</v>
      </c>
    </row>
    <row r="9374" spans="1:1" x14ac:dyDescent="0.3">
      <c r="A9374" t="s">
        <v>1154</v>
      </c>
    </row>
    <row r="9375" spans="1:1" x14ac:dyDescent="0.3">
      <c r="A9375" t="s">
        <v>5057</v>
      </c>
    </row>
    <row r="9376" spans="1:1" x14ac:dyDescent="0.3">
      <c r="A9376" t="s">
        <v>51</v>
      </c>
    </row>
    <row r="9377" spans="1:1" x14ac:dyDescent="0.3">
      <c r="A9377" t="s">
        <v>52</v>
      </c>
    </row>
    <row r="9378" spans="1:1" x14ac:dyDescent="0.3">
      <c r="A9378" t="s">
        <v>79</v>
      </c>
    </row>
    <row r="9380" spans="1:1" x14ac:dyDescent="0.3">
      <c r="A9380" t="s">
        <v>12</v>
      </c>
    </row>
    <row r="9381" spans="1:1" x14ac:dyDescent="0.3">
      <c r="A9381" t="s">
        <v>13</v>
      </c>
    </row>
    <row r="9382" spans="1:1" x14ac:dyDescent="0.3">
      <c r="A9382" t="s">
        <v>2024</v>
      </c>
    </row>
    <row r="9383" spans="1:1" x14ac:dyDescent="0.3">
      <c r="A9383" t="s">
        <v>5058</v>
      </c>
    </row>
    <row r="9384" spans="1:1" x14ac:dyDescent="0.3">
      <c r="A9384" t="s">
        <v>5059</v>
      </c>
    </row>
    <row r="9385" spans="1:1" x14ac:dyDescent="0.3">
      <c r="A9385" t="s">
        <v>4436</v>
      </c>
    </row>
    <row r="9386" spans="1:1" x14ac:dyDescent="0.3">
      <c r="A9386" t="s">
        <v>110</v>
      </c>
    </row>
    <row r="9387" spans="1:1" x14ac:dyDescent="0.3">
      <c r="A9387" t="s">
        <v>5060</v>
      </c>
    </row>
    <row r="9388" spans="1:1" x14ac:dyDescent="0.3">
      <c r="A9388" t="s">
        <v>5061</v>
      </c>
    </row>
    <row r="9389" spans="1:1" x14ac:dyDescent="0.3">
      <c r="A9389" t="s">
        <v>51</v>
      </c>
    </row>
    <row r="9390" spans="1:1" x14ac:dyDescent="0.3">
      <c r="A9390" t="s">
        <v>52</v>
      </c>
    </row>
    <row r="9391" spans="1:1" x14ac:dyDescent="0.3">
      <c r="A9391" t="s">
        <v>79</v>
      </c>
    </row>
    <row r="9393" spans="1:1" x14ac:dyDescent="0.3">
      <c r="A9393" t="s">
        <v>12</v>
      </c>
    </row>
    <row r="9394" spans="1:1" x14ac:dyDescent="0.3">
      <c r="A9394" t="s">
        <v>13</v>
      </c>
    </row>
    <row r="9395" spans="1:1" x14ac:dyDescent="0.3">
      <c r="A9395" t="s">
        <v>2028</v>
      </c>
    </row>
    <row r="9396" spans="1:1" x14ac:dyDescent="0.3">
      <c r="A9396" t="s">
        <v>5062</v>
      </c>
    </row>
    <row r="9397" spans="1:1" x14ac:dyDescent="0.3">
      <c r="A9397" t="s">
        <v>5063</v>
      </c>
    </row>
    <row r="9398" spans="1:1" x14ac:dyDescent="0.3">
      <c r="A9398" t="s">
        <v>4436</v>
      </c>
    </row>
    <row r="9399" spans="1:1" x14ac:dyDescent="0.3">
      <c r="A9399" t="s">
        <v>110</v>
      </c>
    </row>
    <row r="9400" spans="1:1" x14ac:dyDescent="0.3">
      <c r="A9400" t="s">
        <v>1154</v>
      </c>
    </row>
    <row r="9401" spans="1:1" x14ac:dyDescent="0.3">
      <c r="A9401" t="s">
        <v>5064</v>
      </c>
    </row>
    <row r="9402" spans="1:1" x14ac:dyDescent="0.3">
      <c r="A9402" t="s">
        <v>51</v>
      </c>
    </row>
    <row r="9403" spans="1:1" x14ac:dyDescent="0.3">
      <c r="A9403" t="s">
        <v>52</v>
      </c>
    </row>
    <row r="9404" spans="1:1" x14ac:dyDescent="0.3">
      <c r="A9404" t="s">
        <v>79</v>
      </c>
    </row>
    <row r="9406" spans="1:1" x14ac:dyDescent="0.3">
      <c r="A9406" t="s">
        <v>12</v>
      </c>
    </row>
    <row r="9407" spans="1:1" x14ac:dyDescent="0.3">
      <c r="A9407" t="s">
        <v>13</v>
      </c>
    </row>
    <row r="9408" spans="1:1" x14ac:dyDescent="0.3">
      <c r="A9408" t="s">
        <v>2031</v>
      </c>
    </row>
    <row r="9409" spans="1:1" x14ac:dyDescent="0.3">
      <c r="A9409" t="s">
        <v>5065</v>
      </c>
    </row>
    <row r="9410" spans="1:1" x14ac:dyDescent="0.3">
      <c r="A9410" t="s">
        <v>5066</v>
      </c>
    </row>
    <row r="9411" spans="1:1" x14ac:dyDescent="0.3">
      <c r="A9411" t="s">
        <v>4436</v>
      </c>
    </row>
    <row r="9412" spans="1:1" x14ac:dyDescent="0.3">
      <c r="A9412" t="s">
        <v>110</v>
      </c>
    </row>
    <row r="9413" spans="1:1" x14ac:dyDescent="0.3">
      <c r="A9413" t="s">
        <v>1154</v>
      </c>
    </row>
    <row r="9414" spans="1:1" x14ac:dyDescent="0.3">
      <c r="A9414" t="s">
        <v>5067</v>
      </c>
    </row>
    <row r="9415" spans="1:1" x14ac:dyDescent="0.3">
      <c r="A9415" t="s">
        <v>51</v>
      </c>
    </row>
    <row r="9416" spans="1:1" x14ac:dyDescent="0.3">
      <c r="A9416" t="s">
        <v>52</v>
      </c>
    </row>
    <row r="9417" spans="1:1" x14ac:dyDescent="0.3">
      <c r="A9417" t="s">
        <v>79</v>
      </c>
    </row>
    <row r="9419" spans="1:1" x14ac:dyDescent="0.3">
      <c r="A9419" t="s">
        <v>12</v>
      </c>
    </row>
    <row r="9420" spans="1:1" x14ac:dyDescent="0.3">
      <c r="A9420" t="s">
        <v>13</v>
      </c>
    </row>
    <row r="9421" spans="1:1" x14ac:dyDescent="0.3">
      <c r="A9421" t="s">
        <v>2034</v>
      </c>
    </row>
    <row r="9422" spans="1:1" x14ac:dyDescent="0.3">
      <c r="A9422" t="s">
        <v>2739</v>
      </c>
    </row>
    <row r="9423" spans="1:1" x14ac:dyDescent="0.3">
      <c r="A9423" t="s">
        <v>5068</v>
      </c>
    </row>
    <row r="9424" spans="1:1" x14ac:dyDescent="0.3">
      <c r="A9424" t="s">
        <v>4436</v>
      </c>
    </row>
    <row r="9425" spans="1:1" x14ac:dyDescent="0.3">
      <c r="A9425" t="s">
        <v>110</v>
      </c>
    </row>
    <row r="9426" spans="1:1" x14ac:dyDescent="0.3">
      <c r="A9426" t="s">
        <v>1154</v>
      </c>
    </row>
    <row r="9427" spans="1:1" x14ac:dyDescent="0.3">
      <c r="A9427" t="s">
        <v>5069</v>
      </c>
    </row>
    <row r="9428" spans="1:1" x14ac:dyDescent="0.3">
      <c r="A9428" t="s">
        <v>51</v>
      </c>
    </row>
    <row r="9429" spans="1:1" x14ac:dyDescent="0.3">
      <c r="A9429" t="s">
        <v>52</v>
      </c>
    </row>
    <row r="9430" spans="1:1" x14ac:dyDescent="0.3">
      <c r="A9430" t="s">
        <v>79</v>
      </c>
    </row>
    <row r="9432" spans="1:1" x14ac:dyDescent="0.3">
      <c r="A9432" t="s">
        <v>12</v>
      </c>
    </row>
    <row r="9433" spans="1:1" x14ac:dyDescent="0.3">
      <c r="A9433" t="s">
        <v>13</v>
      </c>
    </row>
    <row r="9434" spans="1:1" x14ac:dyDescent="0.3">
      <c r="A9434" t="s">
        <v>2042</v>
      </c>
    </row>
    <row r="9435" spans="1:1" x14ac:dyDescent="0.3">
      <c r="A9435" t="s">
        <v>5070</v>
      </c>
    </row>
    <row r="9436" spans="1:1" x14ac:dyDescent="0.3">
      <c r="A9436" t="s">
        <v>5071</v>
      </c>
    </row>
    <row r="9437" spans="1:1" x14ac:dyDescent="0.3">
      <c r="A9437" t="s">
        <v>4436</v>
      </c>
    </row>
    <row r="9438" spans="1:1" x14ac:dyDescent="0.3">
      <c r="A9438" t="s">
        <v>110</v>
      </c>
    </row>
    <row r="9439" spans="1:1" x14ac:dyDescent="0.3">
      <c r="A9439" t="s">
        <v>1154</v>
      </c>
    </row>
    <row r="9440" spans="1:1" x14ac:dyDescent="0.3">
      <c r="A9440" t="s">
        <v>5072</v>
      </c>
    </row>
    <row r="9441" spans="1:1" x14ac:dyDescent="0.3">
      <c r="A9441" t="s">
        <v>51</v>
      </c>
    </row>
    <row r="9442" spans="1:1" x14ac:dyDescent="0.3">
      <c r="A9442" t="s">
        <v>52</v>
      </c>
    </row>
    <row r="9443" spans="1:1" x14ac:dyDescent="0.3">
      <c r="A9443" t="s">
        <v>79</v>
      </c>
    </row>
    <row r="9445" spans="1:1" x14ac:dyDescent="0.3">
      <c r="A9445" t="s">
        <v>12</v>
      </c>
    </row>
    <row r="9446" spans="1:1" x14ac:dyDescent="0.3">
      <c r="A9446" t="s">
        <v>13</v>
      </c>
    </row>
    <row r="9447" spans="1:1" x14ac:dyDescent="0.3">
      <c r="A9447" t="s">
        <v>2045</v>
      </c>
    </row>
    <row r="9448" spans="1:1" x14ac:dyDescent="0.3">
      <c r="A9448" t="s">
        <v>5070</v>
      </c>
    </row>
    <row r="9449" spans="1:1" x14ac:dyDescent="0.3">
      <c r="A9449" t="s">
        <v>5073</v>
      </c>
    </row>
    <row r="9450" spans="1:1" x14ac:dyDescent="0.3">
      <c r="A9450" t="s">
        <v>4436</v>
      </c>
    </row>
    <row r="9451" spans="1:1" x14ac:dyDescent="0.3">
      <c r="A9451" t="s">
        <v>110</v>
      </c>
    </row>
    <row r="9452" spans="1:1" x14ac:dyDescent="0.3">
      <c r="A9452" t="s">
        <v>1154</v>
      </c>
    </row>
    <row r="9453" spans="1:1" x14ac:dyDescent="0.3">
      <c r="A9453" t="s">
        <v>5074</v>
      </c>
    </row>
    <row r="9454" spans="1:1" x14ac:dyDescent="0.3">
      <c r="A9454" t="s">
        <v>51</v>
      </c>
    </row>
    <row r="9455" spans="1:1" x14ac:dyDescent="0.3">
      <c r="A9455" t="s">
        <v>52</v>
      </c>
    </row>
    <row r="9456" spans="1:1" x14ac:dyDescent="0.3">
      <c r="A9456" t="s">
        <v>79</v>
      </c>
    </row>
    <row r="9458" spans="1:1" x14ac:dyDescent="0.3">
      <c r="A9458" t="s">
        <v>12</v>
      </c>
    </row>
    <row r="9459" spans="1:1" x14ac:dyDescent="0.3">
      <c r="A9459" t="s">
        <v>13</v>
      </c>
    </row>
    <row r="9460" spans="1:1" x14ac:dyDescent="0.3">
      <c r="A9460" t="s">
        <v>2053</v>
      </c>
    </row>
    <row r="9461" spans="1:1" x14ac:dyDescent="0.3">
      <c r="A9461" t="s">
        <v>5075</v>
      </c>
    </row>
    <row r="9462" spans="1:1" x14ac:dyDescent="0.3">
      <c r="A9462" t="s">
        <v>5076</v>
      </c>
    </row>
    <row r="9463" spans="1:1" x14ac:dyDescent="0.3">
      <c r="A9463" t="s">
        <v>4436</v>
      </c>
    </row>
    <row r="9464" spans="1:1" x14ac:dyDescent="0.3">
      <c r="A9464" t="s">
        <v>110</v>
      </c>
    </row>
    <row r="9465" spans="1:1" x14ac:dyDescent="0.3">
      <c r="A9465" t="s">
        <v>1154</v>
      </c>
    </row>
    <row r="9466" spans="1:1" x14ac:dyDescent="0.3">
      <c r="A9466" t="s">
        <v>5077</v>
      </c>
    </row>
    <row r="9467" spans="1:1" x14ac:dyDescent="0.3">
      <c r="A9467" t="s">
        <v>51</v>
      </c>
    </row>
    <row r="9468" spans="1:1" x14ac:dyDescent="0.3">
      <c r="A9468" t="s">
        <v>52</v>
      </c>
    </row>
    <row r="9469" spans="1:1" x14ac:dyDescent="0.3">
      <c r="A9469" t="s">
        <v>79</v>
      </c>
    </row>
    <row r="9471" spans="1:1" x14ac:dyDescent="0.3">
      <c r="A9471" t="s">
        <v>12</v>
      </c>
    </row>
    <row r="9472" spans="1:1" x14ac:dyDescent="0.3">
      <c r="A9472" t="s">
        <v>13</v>
      </c>
    </row>
    <row r="9473" spans="1:1" x14ac:dyDescent="0.3">
      <c r="A9473" t="s">
        <v>2061</v>
      </c>
    </row>
    <row r="9474" spans="1:1" x14ac:dyDescent="0.3">
      <c r="A9474" t="s">
        <v>5078</v>
      </c>
    </row>
    <row r="9475" spans="1:1" x14ac:dyDescent="0.3">
      <c r="A9475" t="s">
        <v>5079</v>
      </c>
    </row>
    <row r="9476" spans="1:1" x14ac:dyDescent="0.3">
      <c r="A9476" t="s">
        <v>4436</v>
      </c>
    </row>
    <row r="9477" spans="1:1" x14ac:dyDescent="0.3">
      <c r="A9477" t="s">
        <v>110</v>
      </c>
    </row>
    <row r="9478" spans="1:1" x14ac:dyDescent="0.3">
      <c r="A9478" t="s">
        <v>5080</v>
      </c>
    </row>
    <row r="9479" spans="1:1" x14ac:dyDescent="0.3">
      <c r="A9479" t="s">
        <v>5081</v>
      </c>
    </row>
    <row r="9480" spans="1:1" x14ac:dyDescent="0.3">
      <c r="A9480" t="s">
        <v>51</v>
      </c>
    </row>
    <row r="9481" spans="1:1" x14ac:dyDescent="0.3">
      <c r="A9481" t="s">
        <v>52</v>
      </c>
    </row>
    <row r="9482" spans="1:1" x14ac:dyDescent="0.3">
      <c r="A9482" t="s">
        <v>79</v>
      </c>
    </row>
    <row r="9484" spans="1:1" x14ac:dyDescent="0.3">
      <c r="A9484" t="s">
        <v>12</v>
      </c>
    </row>
    <row r="9485" spans="1:1" x14ac:dyDescent="0.3">
      <c r="A9485" t="s">
        <v>13</v>
      </c>
    </row>
    <row r="9486" spans="1:1" x14ac:dyDescent="0.3">
      <c r="A9486" t="s">
        <v>2069</v>
      </c>
    </row>
    <row r="9487" spans="1:1" x14ac:dyDescent="0.3">
      <c r="A9487" t="s">
        <v>2667</v>
      </c>
    </row>
    <row r="9488" spans="1:1" x14ac:dyDescent="0.3">
      <c r="A9488" t="s">
        <v>5082</v>
      </c>
    </row>
    <row r="9489" spans="1:1" x14ac:dyDescent="0.3">
      <c r="A9489" t="s">
        <v>4436</v>
      </c>
    </row>
    <row r="9490" spans="1:1" x14ac:dyDescent="0.3">
      <c r="A9490" t="s">
        <v>110</v>
      </c>
    </row>
    <row r="9491" spans="1:1" x14ac:dyDescent="0.3">
      <c r="A9491" t="s">
        <v>1154</v>
      </c>
    </row>
    <row r="9492" spans="1:1" x14ac:dyDescent="0.3">
      <c r="A9492" t="s">
        <v>5083</v>
      </c>
    </row>
    <row r="9493" spans="1:1" x14ac:dyDescent="0.3">
      <c r="A9493" t="s">
        <v>51</v>
      </c>
    </row>
    <row r="9494" spans="1:1" x14ac:dyDescent="0.3">
      <c r="A9494" t="s">
        <v>52</v>
      </c>
    </row>
    <row r="9495" spans="1:1" x14ac:dyDescent="0.3">
      <c r="A9495" t="s">
        <v>79</v>
      </c>
    </row>
    <row r="9496" spans="1:1" x14ac:dyDescent="0.3">
      <c r="A9496" t="s">
        <v>98</v>
      </c>
    </row>
    <row r="9497" spans="1:1" x14ac:dyDescent="0.3">
      <c r="A9497" t="s">
        <v>13</v>
      </c>
    </row>
    <row r="9498" spans="1:1" x14ac:dyDescent="0.3">
      <c r="A9498" t="s">
        <v>105</v>
      </c>
    </row>
    <row r="9499" spans="1:1" x14ac:dyDescent="0.3">
      <c r="A9499" t="s">
        <v>5084</v>
      </c>
    </row>
    <row r="9500" spans="1:1" x14ac:dyDescent="0.3">
      <c r="A9500" t="s">
        <v>1157</v>
      </c>
    </row>
    <row r="9501" spans="1:1" x14ac:dyDescent="0.3">
      <c r="A9501" t="s">
        <v>4925</v>
      </c>
    </row>
    <row r="9502" spans="1:1" x14ac:dyDescent="0.3">
      <c r="A9502" t="s">
        <v>12</v>
      </c>
    </row>
    <row r="9503" spans="1:1" x14ac:dyDescent="0.3">
      <c r="A9503" t="s">
        <v>13</v>
      </c>
    </row>
    <row r="9504" spans="1:1" x14ac:dyDescent="0.3">
      <c r="A9504" t="s">
        <v>106</v>
      </c>
    </row>
    <row r="9505" spans="1:1" x14ac:dyDescent="0.3">
      <c r="A9505" t="s">
        <v>5085</v>
      </c>
    </row>
    <row r="9506" spans="1:1" x14ac:dyDescent="0.3">
      <c r="A9506" t="s">
        <v>1157</v>
      </c>
    </row>
    <row r="9507" spans="1:1" x14ac:dyDescent="0.3">
      <c r="A9507" t="s">
        <v>1885</v>
      </c>
    </row>
    <row r="9508" spans="1:1" x14ac:dyDescent="0.3">
      <c r="A9508" t="s">
        <v>12</v>
      </c>
    </row>
    <row r="9509" spans="1:1" x14ac:dyDescent="0.3">
      <c r="A9509" t="s">
        <v>40</v>
      </c>
    </row>
    <row r="9511" spans="1:1" x14ac:dyDescent="0.3">
      <c r="A9511" t="s">
        <v>12</v>
      </c>
    </row>
    <row r="9512" spans="1:1" x14ac:dyDescent="0.3">
      <c r="A9512" t="s">
        <v>13</v>
      </c>
    </row>
    <row r="9513" spans="1:1" x14ac:dyDescent="0.3">
      <c r="A9513" t="s">
        <v>2077</v>
      </c>
    </row>
    <row r="9514" spans="1:1" x14ac:dyDescent="0.3">
      <c r="A9514" t="s">
        <v>5086</v>
      </c>
    </row>
    <row r="9515" spans="1:1" x14ac:dyDescent="0.3">
      <c r="A9515" t="s">
        <v>5087</v>
      </c>
    </row>
    <row r="9516" spans="1:1" x14ac:dyDescent="0.3">
      <c r="A9516" t="s">
        <v>4436</v>
      </c>
    </row>
    <row r="9517" spans="1:1" x14ac:dyDescent="0.3">
      <c r="A9517" t="s">
        <v>110</v>
      </c>
    </row>
    <row r="9518" spans="1:1" x14ac:dyDescent="0.3">
      <c r="A9518" t="s">
        <v>1154</v>
      </c>
    </row>
    <row r="9519" spans="1:1" x14ac:dyDescent="0.3">
      <c r="A9519" t="s">
        <v>5088</v>
      </c>
    </row>
    <row r="9520" spans="1:1" x14ac:dyDescent="0.3">
      <c r="A9520" t="s">
        <v>51</v>
      </c>
    </row>
    <row r="9521" spans="1:1" x14ac:dyDescent="0.3">
      <c r="A9521" t="s">
        <v>52</v>
      </c>
    </row>
    <row r="9522" spans="1:1" x14ac:dyDescent="0.3">
      <c r="A9522" t="s">
        <v>79</v>
      </c>
    </row>
    <row r="9523" spans="1:1" x14ac:dyDescent="0.3">
      <c r="A9523" t="s">
        <v>98</v>
      </c>
    </row>
    <row r="9524" spans="1:1" x14ac:dyDescent="0.3">
      <c r="A9524" t="s">
        <v>13</v>
      </c>
    </row>
    <row r="9525" spans="1:1" x14ac:dyDescent="0.3">
      <c r="A9525" t="s">
        <v>105</v>
      </c>
    </row>
    <row r="9526" spans="1:1" x14ac:dyDescent="0.3">
      <c r="A9526" t="s">
        <v>5089</v>
      </c>
    </row>
    <row r="9527" spans="1:1" x14ac:dyDescent="0.3">
      <c r="A9527" t="s">
        <v>1157</v>
      </c>
    </row>
    <row r="9528" spans="1:1" x14ac:dyDescent="0.3">
      <c r="A9528" t="s">
        <v>5090</v>
      </c>
    </row>
    <row r="9529" spans="1:1" x14ac:dyDescent="0.3">
      <c r="A9529" t="s">
        <v>12</v>
      </c>
    </row>
    <row r="9530" spans="1:1" x14ac:dyDescent="0.3">
      <c r="A9530" t="s">
        <v>13</v>
      </c>
    </row>
    <row r="9531" spans="1:1" x14ac:dyDescent="0.3">
      <c r="A9531" t="s">
        <v>106</v>
      </c>
    </row>
    <row r="9532" spans="1:1" x14ac:dyDescent="0.3">
      <c r="A9532" t="s">
        <v>5091</v>
      </c>
    </row>
    <row r="9533" spans="1:1" x14ac:dyDescent="0.3">
      <c r="A9533" t="s">
        <v>1157</v>
      </c>
    </row>
    <row r="9534" spans="1:1" x14ac:dyDescent="0.3">
      <c r="A9534" t="s">
        <v>5092</v>
      </c>
    </row>
    <row r="9535" spans="1:1" x14ac:dyDescent="0.3">
      <c r="A9535" t="s">
        <v>12</v>
      </c>
    </row>
    <row r="9536" spans="1:1" x14ac:dyDescent="0.3">
      <c r="A9536" t="s">
        <v>40</v>
      </c>
    </row>
    <row r="9538" spans="1:1" x14ac:dyDescent="0.3">
      <c r="A9538" t="s">
        <v>12</v>
      </c>
    </row>
    <row r="9539" spans="1:1" x14ac:dyDescent="0.3">
      <c r="A9539" t="s">
        <v>13</v>
      </c>
    </row>
    <row r="9540" spans="1:1" x14ac:dyDescent="0.3">
      <c r="A9540" t="s">
        <v>2085</v>
      </c>
    </row>
    <row r="9541" spans="1:1" x14ac:dyDescent="0.3">
      <c r="A9541" t="s">
        <v>5093</v>
      </c>
    </row>
    <row r="9542" spans="1:1" x14ac:dyDescent="0.3">
      <c r="A9542" t="s">
        <v>5094</v>
      </c>
    </row>
    <row r="9543" spans="1:1" x14ac:dyDescent="0.3">
      <c r="A9543" t="s">
        <v>4436</v>
      </c>
    </row>
    <row r="9544" spans="1:1" x14ac:dyDescent="0.3">
      <c r="A9544" t="s">
        <v>110</v>
      </c>
    </row>
    <row r="9545" spans="1:1" x14ac:dyDescent="0.3">
      <c r="A9545" t="s">
        <v>1154</v>
      </c>
    </row>
    <row r="9546" spans="1:1" x14ac:dyDescent="0.3">
      <c r="A9546" t="s">
        <v>5095</v>
      </c>
    </row>
    <row r="9547" spans="1:1" x14ac:dyDescent="0.3">
      <c r="A9547" t="s">
        <v>51</v>
      </c>
    </row>
    <row r="9548" spans="1:1" x14ac:dyDescent="0.3">
      <c r="A9548" t="s">
        <v>52</v>
      </c>
    </row>
    <row r="9549" spans="1:1" x14ac:dyDescent="0.3">
      <c r="A9549" t="s">
        <v>79</v>
      </c>
    </row>
    <row r="9551" spans="1:1" x14ac:dyDescent="0.3">
      <c r="A9551" t="s">
        <v>12</v>
      </c>
    </row>
    <row r="9552" spans="1:1" x14ac:dyDescent="0.3">
      <c r="A9552" t="s">
        <v>13</v>
      </c>
    </row>
    <row r="9553" spans="1:1" x14ac:dyDescent="0.3">
      <c r="A9553" t="s">
        <v>2093</v>
      </c>
    </row>
    <row r="9554" spans="1:1" x14ac:dyDescent="0.3">
      <c r="A9554" t="s">
        <v>1360</v>
      </c>
    </row>
    <row r="9555" spans="1:1" x14ac:dyDescent="0.3">
      <c r="A9555" t="s">
        <v>5096</v>
      </c>
    </row>
    <row r="9556" spans="1:1" x14ac:dyDescent="0.3">
      <c r="A9556" t="s">
        <v>4436</v>
      </c>
    </row>
    <row r="9557" spans="1:1" x14ac:dyDescent="0.3">
      <c r="A9557" t="s">
        <v>110</v>
      </c>
    </row>
    <row r="9558" spans="1:1" x14ac:dyDescent="0.3">
      <c r="A9558" t="s">
        <v>1154</v>
      </c>
    </row>
    <row r="9559" spans="1:1" x14ac:dyDescent="0.3">
      <c r="A9559" t="s">
        <v>5097</v>
      </c>
    </row>
    <row r="9560" spans="1:1" x14ac:dyDescent="0.3">
      <c r="A9560" t="s">
        <v>51</v>
      </c>
    </row>
    <row r="9561" spans="1:1" x14ac:dyDescent="0.3">
      <c r="A9561" t="s">
        <v>52</v>
      </c>
    </row>
    <row r="9562" spans="1:1" x14ac:dyDescent="0.3">
      <c r="A9562" t="s">
        <v>79</v>
      </c>
    </row>
    <row r="9564" spans="1:1" x14ac:dyDescent="0.3">
      <c r="A9564" t="s">
        <v>12</v>
      </c>
    </row>
    <row r="9565" spans="1:1" x14ac:dyDescent="0.3">
      <c r="A9565" t="s">
        <v>13</v>
      </c>
    </row>
    <row r="9566" spans="1:1" x14ac:dyDescent="0.3">
      <c r="A9566" t="s">
        <v>2097</v>
      </c>
    </row>
    <row r="9567" spans="1:1" x14ac:dyDescent="0.3">
      <c r="A9567" t="s">
        <v>5098</v>
      </c>
    </row>
    <row r="9568" spans="1:1" x14ac:dyDescent="0.3">
      <c r="A9568" t="s">
        <v>5099</v>
      </c>
    </row>
    <row r="9569" spans="1:1" x14ac:dyDescent="0.3">
      <c r="A9569" t="s">
        <v>4436</v>
      </c>
    </row>
    <row r="9570" spans="1:1" x14ac:dyDescent="0.3">
      <c r="A9570" t="s">
        <v>110</v>
      </c>
    </row>
    <row r="9571" spans="1:1" x14ac:dyDescent="0.3">
      <c r="A9571" t="s">
        <v>1154</v>
      </c>
    </row>
    <row r="9572" spans="1:1" x14ac:dyDescent="0.3">
      <c r="A9572" t="s">
        <v>5100</v>
      </c>
    </row>
    <row r="9573" spans="1:1" x14ac:dyDescent="0.3">
      <c r="A9573" t="s">
        <v>51</v>
      </c>
    </row>
    <row r="9574" spans="1:1" x14ac:dyDescent="0.3">
      <c r="A9574" t="s">
        <v>52</v>
      </c>
    </row>
    <row r="9575" spans="1:1" x14ac:dyDescent="0.3">
      <c r="A9575" t="s">
        <v>79</v>
      </c>
    </row>
    <row r="9577" spans="1:1" x14ac:dyDescent="0.3">
      <c r="A9577" t="s">
        <v>12</v>
      </c>
    </row>
    <row r="9578" spans="1:1" x14ac:dyDescent="0.3">
      <c r="A9578" t="s">
        <v>13</v>
      </c>
    </row>
    <row r="9579" spans="1:1" x14ac:dyDescent="0.3">
      <c r="A9579" t="s">
        <v>2101</v>
      </c>
    </row>
    <row r="9580" spans="1:1" x14ac:dyDescent="0.3">
      <c r="A9580" t="s">
        <v>4850</v>
      </c>
    </row>
    <row r="9581" spans="1:1" x14ac:dyDescent="0.3">
      <c r="A9581" t="s">
        <v>5101</v>
      </c>
    </row>
    <row r="9582" spans="1:1" x14ac:dyDescent="0.3">
      <c r="A9582" t="s">
        <v>4436</v>
      </c>
    </row>
    <row r="9583" spans="1:1" x14ac:dyDescent="0.3">
      <c r="A9583" t="s">
        <v>110</v>
      </c>
    </row>
    <row r="9584" spans="1:1" x14ac:dyDescent="0.3">
      <c r="A9584" t="s">
        <v>4852</v>
      </c>
    </row>
    <row r="9585" spans="1:1" x14ac:dyDescent="0.3">
      <c r="A9585" t="s">
        <v>5102</v>
      </c>
    </row>
    <row r="9586" spans="1:1" x14ac:dyDescent="0.3">
      <c r="A9586" t="s">
        <v>51</v>
      </c>
    </row>
    <row r="9587" spans="1:1" x14ac:dyDescent="0.3">
      <c r="A9587" t="s">
        <v>52</v>
      </c>
    </row>
    <row r="9588" spans="1:1" x14ac:dyDescent="0.3">
      <c r="A9588" t="s">
        <v>79</v>
      </c>
    </row>
    <row r="9590" spans="1:1" x14ac:dyDescent="0.3">
      <c r="A9590" t="s">
        <v>12</v>
      </c>
    </row>
    <row r="9591" spans="1:1" x14ac:dyDescent="0.3">
      <c r="A9591" t="s">
        <v>13</v>
      </c>
    </row>
    <row r="9592" spans="1:1" x14ac:dyDescent="0.3">
      <c r="A9592" t="s">
        <v>2104</v>
      </c>
    </row>
    <row r="9593" spans="1:1" x14ac:dyDescent="0.3">
      <c r="A9593" t="s">
        <v>5103</v>
      </c>
    </row>
    <row r="9594" spans="1:1" x14ac:dyDescent="0.3">
      <c r="A9594" t="s">
        <v>5104</v>
      </c>
    </row>
    <row r="9595" spans="1:1" x14ac:dyDescent="0.3">
      <c r="A9595" t="s">
        <v>4436</v>
      </c>
    </row>
    <row r="9596" spans="1:1" x14ac:dyDescent="0.3">
      <c r="A9596" t="s">
        <v>110</v>
      </c>
    </row>
    <row r="9597" spans="1:1" x14ac:dyDescent="0.3">
      <c r="A9597" t="s">
        <v>1154</v>
      </c>
    </row>
    <row r="9598" spans="1:1" x14ac:dyDescent="0.3">
      <c r="A9598" t="s">
        <v>5105</v>
      </c>
    </row>
    <row r="9599" spans="1:1" x14ac:dyDescent="0.3">
      <c r="A9599" t="s">
        <v>51</v>
      </c>
    </row>
    <row r="9600" spans="1:1" x14ac:dyDescent="0.3">
      <c r="A9600" t="s">
        <v>52</v>
      </c>
    </row>
    <row r="9601" spans="1:1" x14ac:dyDescent="0.3">
      <c r="A9601" t="s">
        <v>79</v>
      </c>
    </row>
    <row r="9603" spans="1:1" x14ac:dyDescent="0.3">
      <c r="A9603" t="s">
        <v>12</v>
      </c>
    </row>
    <row r="9604" spans="1:1" x14ac:dyDescent="0.3">
      <c r="A9604" t="s">
        <v>13</v>
      </c>
    </row>
    <row r="9605" spans="1:1" x14ac:dyDescent="0.3">
      <c r="A9605" t="s">
        <v>2112</v>
      </c>
    </row>
    <row r="9606" spans="1:1" x14ac:dyDescent="0.3">
      <c r="A9606" t="s">
        <v>5106</v>
      </c>
    </row>
    <row r="9607" spans="1:1" x14ac:dyDescent="0.3">
      <c r="A9607" t="s">
        <v>5107</v>
      </c>
    </row>
    <row r="9608" spans="1:1" x14ac:dyDescent="0.3">
      <c r="A9608" t="s">
        <v>4436</v>
      </c>
    </row>
    <row r="9609" spans="1:1" x14ac:dyDescent="0.3">
      <c r="A9609" t="s">
        <v>110</v>
      </c>
    </row>
    <row r="9610" spans="1:1" x14ac:dyDescent="0.3">
      <c r="A9610" t="s">
        <v>1154</v>
      </c>
    </row>
    <row r="9611" spans="1:1" x14ac:dyDescent="0.3">
      <c r="A9611" t="s">
        <v>5108</v>
      </c>
    </row>
    <row r="9612" spans="1:1" x14ac:dyDescent="0.3">
      <c r="A9612" t="s">
        <v>51</v>
      </c>
    </row>
    <row r="9613" spans="1:1" x14ac:dyDescent="0.3">
      <c r="A9613" t="s">
        <v>52</v>
      </c>
    </row>
    <row r="9614" spans="1:1" x14ac:dyDescent="0.3">
      <c r="A9614" t="s">
        <v>79</v>
      </c>
    </row>
    <row r="9615" spans="1:1" x14ac:dyDescent="0.3">
      <c r="A9615" t="s">
        <v>98</v>
      </c>
    </row>
    <row r="9616" spans="1:1" x14ac:dyDescent="0.3">
      <c r="A9616" t="s">
        <v>13</v>
      </c>
    </row>
    <row r="9617" spans="1:1" x14ac:dyDescent="0.3">
      <c r="A9617" t="s">
        <v>105</v>
      </c>
    </row>
    <row r="9618" spans="1:1" x14ac:dyDescent="0.3">
      <c r="A9618" t="s">
        <v>5109</v>
      </c>
    </row>
    <row r="9619" spans="1:1" x14ac:dyDescent="0.3">
      <c r="A9619" t="s">
        <v>1157</v>
      </c>
    </row>
    <row r="9620" spans="1:1" x14ac:dyDescent="0.3">
      <c r="A9620" t="s">
        <v>5110</v>
      </c>
    </row>
    <row r="9621" spans="1:1" x14ac:dyDescent="0.3">
      <c r="A9621" t="s">
        <v>12</v>
      </c>
    </row>
    <row r="9622" spans="1:1" x14ac:dyDescent="0.3">
      <c r="A9622" t="s">
        <v>13</v>
      </c>
    </row>
    <row r="9623" spans="1:1" x14ac:dyDescent="0.3">
      <c r="A9623" t="s">
        <v>106</v>
      </c>
    </row>
    <row r="9624" spans="1:1" x14ac:dyDescent="0.3">
      <c r="A9624" t="s">
        <v>5111</v>
      </c>
    </row>
    <row r="9625" spans="1:1" x14ac:dyDescent="0.3">
      <c r="A9625" t="s">
        <v>1157</v>
      </c>
    </row>
    <row r="9626" spans="1:1" x14ac:dyDescent="0.3">
      <c r="A9626" t="s">
        <v>5112</v>
      </c>
    </row>
    <row r="9627" spans="1:1" x14ac:dyDescent="0.3">
      <c r="A9627" t="s">
        <v>12</v>
      </c>
    </row>
    <row r="9628" spans="1:1" x14ac:dyDescent="0.3">
      <c r="A9628" t="s">
        <v>40</v>
      </c>
    </row>
    <row r="9630" spans="1:1" x14ac:dyDescent="0.3">
      <c r="A9630" t="s">
        <v>12</v>
      </c>
    </row>
    <row r="9631" spans="1:1" x14ac:dyDescent="0.3">
      <c r="A9631" t="s">
        <v>13</v>
      </c>
    </row>
    <row r="9632" spans="1:1" x14ac:dyDescent="0.3">
      <c r="A9632" t="s">
        <v>2115</v>
      </c>
    </row>
    <row r="9633" spans="1:1" x14ac:dyDescent="0.3">
      <c r="A9633" t="s">
        <v>5113</v>
      </c>
    </row>
    <row r="9634" spans="1:1" x14ac:dyDescent="0.3">
      <c r="A9634" t="s">
        <v>5114</v>
      </c>
    </row>
    <row r="9635" spans="1:1" x14ac:dyDescent="0.3">
      <c r="A9635" t="s">
        <v>4436</v>
      </c>
    </row>
    <row r="9636" spans="1:1" x14ac:dyDescent="0.3">
      <c r="A9636" t="s">
        <v>110</v>
      </c>
    </row>
    <row r="9637" spans="1:1" x14ac:dyDescent="0.3">
      <c r="A9637" t="s">
        <v>5115</v>
      </c>
    </row>
    <row r="9638" spans="1:1" x14ac:dyDescent="0.3">
      <c r="A9638" t="s">
        <v>5116</v>
      </c>
    </row>
    <row r="9639" spans="1:1" x14ac:dyDescent="0.3">
      <c r="A9639" t="s">
        <v>51</v>
      </c>
    </row>
    <row r="9640" spans="1:1" x14ac:dyDescent="0.3">
      <c r="A9640" t="s">
        <v>52</v>
      </c>
    </row>
    <row r="9641" spans="1:1" x14ac:dyDescent="0.3">
      <c r="A9641" t="s">
        <v>79</v>
      </c>
    </row>
    <row r="9642" spans="1:1" x14ac:dyDescent="0.3">
      <c r="A9642" t="s">
        <v>98</v>
      </c>
    </row>
    <row r="9643" spans="1:1" x14ac:dyDescent="0.3">
      <c r="A9643" t="s">
        <v>13</v>
      </c>
    </row>
    <row r="9644" spans="1:1" x14ac:dyDescent="0.3">
      <c r="A9644" t="s">
        <v>105</v>
      </c>
    </row>
    <row r="9645" spans="1:1" x14ac:dyDescent="0.3">
      <c r="A9645" t="s">
        <v>5117</v>
      </c>
    </row>
    <row r="9646" spans="1:1" x14ac:dyDescent="0.3">
      <c r="A9646" t="s">
        <v>1157</v>
      </c>
    </row>
    <row r="9647" spans="1:1" x14ac:dyDescent="0.3">
      <c r="A9647" t="s">
        <v>5118</v>
      </c>
    </row>
    <row r="9648" spans="1:1" x14ac:dyDescent="0.3">
      <c r="A9648" t="s">
        <v>12</v>
      </c>
    </row>
    <row r="9649" spans="1:1" x14ac:dyDescent="0.3">
      <c r="A9649" t="s">
        <v>13</v>
      </c>
    </row>
    <row r="9650" spans="1:1" x14ac:dyDescent="0.3">
      <c r="A9650" t="s">
        <v>106</v>
      </c>
    </row>
    <row r="9651" spans="1:1" x14ac:dyDescent="0.3">
      <c r="A9651" t="s">
        <v>5119</v>
      </c>
    </row>
    <row r="9652" spans="1:1" x14ac:dyDescent="0.3">
      <c r="A9652" t="s">
        <v>1157</v>
      </c>
    </row>
    <row r="9653" spans="1:1" x14ac:dyDescent="0.3">
      <c r="A9653" t="s">
        <v>5120</v>
      </c>
    </row>
    <row r="9654" spans="1:1" x14ac:dyDescent="0.3">
      <c r="A9654" t="s">
        <v>12</v>
      </c>
    </row>
    <row r="9655" spans="1:1" x14ac:dyDescent="0.3">
      <c r="A9655" t="s">
        <v>40</v>
      </c>
    </row>
    <row r="9657" spans="1:1" x14ac:dyDescent="0.3">
      <c r="A9657" t="s">
        <v>12</v>
      </c>
    </row>
    <row r="9658" spans="1:1" x14ac:dyDescent="0.3">
      <c r="A9658" t="s">
        <v>13</v>
      </c>
    </row>
    <row r="9659" spans="1:1" x14ac:dyDescent="0.3">
      <c r="A9659" t="s">
        <v>2122</v>
      </c>
    </row>
    <row r="9660" spans="1:1" x14ac:dyDescent="0.3">
      <c r="A9660" t="s">
        <v>5121</v>
      </c>
    </row>
    <row r="9661" spans="1:1" x14ac:dyDescent="0.3">
      <c r="A9661" t="s">
        <v>5122</v>
      </c>
    </row>
    <row r="9662" spans="1:1" x14ac:dyDescent="0.3">
      <c r="A9662" t="s">
        <v>4436</v>
      </c>
    </row>
    <row r="9663" spans="1:1" x14ac:dyDescent="0.3">
      <c r="A9663" t="s">
        <v>110</v>
      </c>
    </row>
    <row r="9664" spans="1:1" x14ac:dyDescent="0.3">
      <c r="A9664" t="s">
        <v>1154</v>
      </c>
    </row>
    <row r="9665" spans="1:1" x14ac:dyDescent="0.3">
      <c r="A9665" t="s">
        <v>5123</v>
      </c>
    </row>
    <row r="9666" spans="1:1" x14ac:dyDescent="0.3">
      <c r="A9666" t="s">
        <v>51</v>
      </c>
    </row>
    <row r="9667" spans="1:1" x14ac:dyDescent="0.3">
      <c r="A9667" t="s">
        <v>52</v>
      </c>
    </row>
    <row r="9668" spans="1:1" x14ac:dyDescent="0.3">
      <c r="A9668" t="s">
        <v>79</v>
      </c>
    </row>
    <row r="9669" spans="1:1" x14ac:dyDescent="0.3">
      <c r="A9669" t="s">
        <v>98</v>
      </c>
    </row>
    <row r="9670" spans="1:1" x14ac:dyDescent="0.3">
      <c r="A9670" t="s">
        <v>13</v>
      </c>
    </row>
    <row r="9671" spans="1:1" x14ac:dyDescent="0.3">
      <c r="A9671" t="s">
        <v>105</v>
      </c>
    </row>
    <row r="9672" spans="1:1" x14ac:dyDescent="0.3">
      <c r="A9672" t="s">
        <v>5124</v>
      </c>
    </row>
    <row r="9673" spans="1:1" x14ac:dyDescent="0.3">
      <c r="A9673" t="s">
        <v>1157</v>
      </c>
    </row>
    <row r="9674" spans="1:1" x14ac:dyDescent="0.3">
      <c r="A9674" t="s">
        <v>5125</v>
      </c>
    </row>
    <row r="9675" spans="1:1" x14ac:dyDescent="0.3">
      <c r="A9675" t="s">
        <v>12</v>
      </c>
    </row>
    <row r="9676" spans="1:1" x14ac:dyDescent="0.3">
      <c r="A9676" t="s">
        <v>13</v>
      </c>
    </row>
    <row r="9677" spans="1:1" x14ac:dyDescent="0.3">
      <c r="A9677" t="s">
        <v>106</v>
      </c>
    </row>
    <row r="9678" spans="1:1" x14ac:dyDescent="0.3">
      <c r="A9678" t="s">
        <v>5126</v>
      </c>
    </row>
    <row r="9679" spans="1:1" x14ac:dyDescent="0.3">
      <c r="A9679" t="s">
        <v>1157</v>
      </c>
    </row>
    <row r="9680" spans="1:1" x14ac:dyDescent="0.3">
      <c r="A9680" t="s">
        <v>5127</v>
      </c>
    </row>
    <row r="9681" spans="1:1" x14ac:dyDescent="0.3">
      <c r="A9681" t="s">
        <v>12</v>
      </c>
    </row>
    <row r="9682" spans="1:1" x14ac:dyDescent="0.3">
      <c r="A9682" t="s">
        <v>40</v>
      </c>
    </row>
    <row r="9684" spans="1:1" x14ac:dyDescent="0.3">
      <c r="A9684" t="s">
        <v>12</v>
      </c>
    </row>
    <row r="9685" spans="1:1" x14ac:dyDescent="0.3">
      <c r="A9685" t="s">
        <v>13</v>
      </c>
    </row>
    <row r="9686" spans="1:1" x14ac:dyDescent="0.3">
      <c r="A9686" t="s">
        <v>2125</v>
      </c>
    </row>
    <row r="9687" spans="1:1" x14ac:dyDescent="0.3">
      <c r="A9687" t="s">
        <v>5128</v>
      </c>
    </row>
    <row r="9688" spans="1:1" x14ac:dyDescent="0.3">
      <c r="A9688" t="s">
        <v>5129</v>
      </c>
    </row>
    <row r="9689" spans="1:1" x14ac:dyDescent="0.3">
      <c r="A9689" t="s">
        <v>4436</v>
      </c>
    </row>
    <row r="9690" spans="1:1" x14ac:dyDescent="0.3">
      <c r="A9690" t="s">
        <v>110</v>
      </c>
    </row>
    <row r="9691" spans="1:1" x14ac:dyDescent="0.3">
      <c r="A9691" t="s">
        <v>1154</v>
      </c>
    </row>
    <row r="9692" spans="1:1" x14ac:dyDescent="0.3">
      <c r="A9692" t="s">
        <v>5130</v>
      </c>
    </row>
    <row r="9693" spans="1:1" x14ac:dyDescent="0.3">
      <c r="A9693" t="s">
        <v>51</v>
      </c>
    </row>
    <row r="9694" spans="1:1" x14ac:dyDescent="0.3">
      <c r="A9694" t="s">
        <v>52</v>
      </c>
    </row>
    <row r="9695" spans="1:1" x14ac:dyDescent="0.3">
      <c r="A9695" t="s">
        <v>79</v>
      </c>
    </row>
    <row r="9696" spans="1:1" x14ac:dyDescent="0.3">
      <c r="A9696" t="s">
        <v>98</v>
      </c>
    </row>
    <row r="9697" spans="1:1" x14ac:dyDescent="0.3">
      <c r="A9697" t="s">
        <v>13</v>
      </c>
    </row>
    <row r="9698" spans="1:1" x14ac:dyDescent="0.3">
      <c r="A9698" t="s">
        <v>105</v>
      </c>
    </row>
    <row r="9699" spans="1:1" x14ac:dyDescent="0.3">
      <c r="A9699" t="s">
        <v>5131</v>
      </c>
    </row>
    <row r="9700" spans="1:1" x14ac:dyDescent="0.3">
      <c r="A9700" t="s">
        <v>1157</v>
      </c>
    </row>
    <row r="9701" spans="1:1" x14ac:dyDescent="0.3">
      <c r="A9701" t="s">
        <v>5132</v>
      </c>
    </row>
    <row r="9702" spans="1:1" x14ac:dyDescent="0.3">
      <c r="A9702" t="s">
        <v>12</v>
      </c>
    </row>
    <row r="9703" spans="1:1" x14ac:dyDescent="0.3">
      <c r="A9703" t="s">
        <v>13</v>
      </c>
    </row>
    <row r="9704" spans="1:1" x14ac:dyDescent="0.3">
      <c r="A9704" t="s">
        <v>106</v>
      </c>
    </row>
    <row r="9705" spans="1:1" x14ac:dyDescent="0.3">
      <c r="A9705" t="s">
        <v>5133</v>
      </c>
    </row>
    <row r="9706" spans="1:1" x14ac:dyDescent="0.3">
      <c r="A9706" t="s">
        <v>1157</v>
      </c>
    </row>
    <row r="9707" spans="1:1" x14ac:dyDescent="0.3">
      <c r="A9707" t="s">
        <v>5134</v>
      </c>
    </row>
    <row r="9708" spans="1:1" x14ac:dyDescent="0.3">
      <c r="A9708" t="s">
        <v>12</v>
      </c>
    </row>
    <row r="9709" spans="1:1" x14ac:dyDescent="0.3">
      <c r="A9709" t="s">
        <v>40</v>
      </c>
    </row>
    <row r="9711" spans="1:1" x14ac:dyDescent="0.3">
      <c r="A9711" t="s">
        <v>12</v>
      </c>
    </row>
    <row r="9712" spans="1:1" x14ac:dyDescent="0.3">
      <c r="A9712" t="s">
        <v>13</v>
      </c>
    </row>
    <row r="9713" spans="1:1" x14ac:dyDescent="0.3">
      <c r="A9713" t="s">
        <v>2128</v>
      </c>
    </row>
    <row r="9714" spans="1:1" x14ac:dyDescent="0.3">
      <c r="A9714" t="s">
        <v>5135</v>
      </c>
    </row>
    <row r="9715" spans="1:1" x14ac:dyDescent="0.3">
      <c r="A9715" t="s">
        <v>5136</v>
      </c>
    </row>
    <row r="9716" spans="1:1" x14ac:dyDescent="0.3">
      <c r="A9716" t="s">
        <v>4436</v>
      </c>
    </row>
    <row r="9717" spans="1:1" x14ac:dyDescent="0.3">
      <c r="A9717" t="s">
        <v>110</v>
      </c>
    </row>
    <row r="9718" spans="1:1" x14ac:dyDescent="0.3">
      <c r="A9718" t="s">
        <v>1154</v>
      </c>
    </row>
    <row r="9719" spans="1:1" x14ac:dyDescent="0.3">
      <c r="A9719" t="s">
        <v>5137</v>
      </c>
    </row>
    <row r="9720" spans="1:1" x14ac:dyDescent="0.3">
      <c r="A9720" t="s">
        <v>51</v>
      </c>
    </row>
    <row r="9721" spans="1:1" x14ac:dyDescent="0.3">
      <c r="A9721" t="s">
        <v>52</v>
      </c>
    </row>
    <row r="9722" spans="1:1" x14ac:dyDescent="0.3">
      <c r="A9722" t="s">
        <v>79</v>
      </c>
    </row>
    <row r="9723" spans="1:1" x14ac:dyDescent="0.3">
      <c r="A9723" t="s">
        <v>98</v>
      </c>
    </row>
    <row r="9724" spans="1:1" x14ac:dyDescent="0.3">
      <c r="A9724" t="s">
        <v>13</v>
      </c>
    </row>
    <row r="9725" spans="1:1" x14ac:dyDescent="0.3">
      <c r="A9725" t="s">
        <v>105</v>
      </c>
    </row>
    <row r="9726" spans="1:1" x14ac:dyDescent="0.3">
      <c r="A9726" t="s">
        <v>5138</v>
      </c>
    </row>
    <row r="9727" spans="1:1" x14ac:dyDescent="0.3">
      <c r="A9727" t="s">
        <v>1157</v>
      </c>
    </row>
    <row r="9728" spans="1:1" x14ac:dyDescent="0.3">
      <c r="A9728" t="s">
        <v>5139</v>
      </c>
    </row>
    <row r="9729" spans="1:1" x14ac:dyDescent="0.3">
      <c r="A9729" t="s">
        <v>12</v>
      </c>
    </row>
    <row r="9730" spans="1:1" x14ac:dyDescent="0.3">
      <c r="A9730" t="s">
        <v>13</v>
      </c>
    </row>
    <row r="9731" spans="1:1" x14ac:dyDescent="0.3">
      <c r="A9731" t="s">
        <v>106</v>
      </c>
    </row>
    <row r="9732" spans="1:1" x14ac:dyDescent="0.3">
      <c r="A9732" t="s">
        <v>5140</v>
      </c>
    </row>
    <row r="9733" spans="1:1" x14ac:dyDescent="0.3">
      <c r="A9733" t="s">
        <v>1157</v>
      </c>
    </row>
    <row r="9734" spans="1:1" x14ac:dyDescent="0.3">
      <c r="A9734" t="s">
        <v>5141</v>
      </c>
    </row>
    <row r="9735" spans="1:1" x14ac:dyDescent="0.3">
      <c r="A9735" t="s">
        <v>12</v>
      </c>
    </row>
    <row r="9736" spans="1:1" x14ac:dyDescent="0.3">
      <c r="A9736" t="s">
        <v>40</v>
      </c>
    </row>
    <row r="9738" spans="1:1" x14ac:dyDescent="0.3">
      <c r="A9738" t="s">
        <v>12</v>
      </c>
    </row>
    <row r="9739" spans="1:1" x14ac:dyDescent="0.3">
      <c r="A9739" t="s">
        <v>13</v>
      </c>
    </row>
    <row r="9740" spans="1:1" x14ac:dyDescent="0.3">
      <c r="A9740" t="s">
        <v>2136</v>
      </c>
    </row>
    <row r="9741" spans="1:1" x14ac:dyDescent="0.3">
      <c r="A9741" t="s">
        <v>5135</v>
      </c>
    </row>
    <row r="9742" spans="1:1" x14ac:dyDescent="0.3">
      <c r="A9742" t="s">
        <v>5142</v>
      </c>
    </row>
    <row r="9743" spans="1:1" x14ac:dyDescent="0.3">
      <c r="A9743" t="s">
        <v>4436</v>
      </c>
    </row>
    <row r="9744" spans="1:1" x14ac:dyDescent="0.3">
      <c r="A9744" t="s">
        <v>110</v>
      </c>
    </row>
    <row r="9745" spans="1:1" x14ac:dyDescent="0.3">
      <c r="A9745" t="s">
        <v>1154</v>
      </c>
    </row>
    <row r="9746" spans="1:1" x14ac:dyDescent="0.3">
      <c r="A9746" t="s">
        <v>5143</v>
      </c>
    </row>
    <row r="9747" spans="1:1" x14ac:dyDescent="0.3">
      <c r="A9747" t="s">
        <v>51</v>
      </c>
    </row>
    <row r="9748" spans="1:1" x14ac:dyDescent="0.3">
      <c r="A9748" t="s">
        <v>52</v>
      </c>
    </row>
    <row r="9749" spans="1:1" x14ac:dyDescent="0.3">
      <c r="A9749" t="s">
        <v>79</v>
      </c>
    </row>
    <row r="9750" spans="1:1" x14ac:dyDescent="0.3">
      <c r="A9750" t="s">
        <v>98</v>
      </c>
    </row>
    <row r="9751" spans="1:1" x14ac:dyDescent="0.3">
      <c r="A9751" t="s">
        <v>13</v>
      </c>
    </row>
    <row r="9752" spans="1:1" x14ac:dyDescent="0.3">
      <c r="A9752" t="s">
        <v>105</v>
      </c>
    </row>
    <row r="9753" spans="1:1" x14ac:dyDescent="0.3">
      <c r="A9753" t="s">
        <v>5144</v>
      </c>
    </row>
    <row r="9754" spans="1:1" x14ac:dyDescent="0.3">
      <c r="A9754" t="s">
        <v>1157</v>
      </c>
    </row>
    <row r="9755" spans="1:1" x14ac:dyDescent="0.3">
      <c r="A9755" t="s">
        <v>5139</v>
      </c>
    </row>
    <row r="9756" spans="1:1" x14ac:dyDescent="0.3">
      <c r="A9756" t="s">
        <v>12</v>
      </c>
    </row>
    <row r="9757" spans="1:1" x14ac:dyDescent="0.3">
      <c r="A9757" t="s">
        <v>13</v>
      </c>
    </row>
    <row r="9758" spans="1:1" x14ac:dyDescent="0.3">
      <c r="A9758" t="s">
        <v>106</v>
      </c>
    </row>
    <row r="9759" spans="1:1" x14ac:dyDescent="0.3">
      <c r="A9759" t="s">
        <v>5145</v>
      </c>
    </row>
    <row r="9760" spans="1:1" x14ac:dyDescent="0.3">
      <c r="A9760" t="s">
        <v>1157</v>
      </c>
    </row>
    <row r="9761" spans="1:1" x14ac:dyDescent="0.3">
      <c r="A9761" t="s">
        <v>5141</v>
      </c>
    </row>
    <row r="9762" spans="1:1" x14ac:dyDescent="0.3">
      <c r="A9762" t="s">
        <v>12</v>
      </c>
    </row>
    <row r="9763" spans="1:1" x14ac:dyDescent="0.3">
      <c r="A9763" t="s">
        <v>40</v>
      </c>
    </row>
    <row r="9765" spans="1:1" x14ac:dyDescent="0.3">
      <c r="A9765" t="s">
        <v>12</v>
      </c>
    </row>
    <row r="9766" spans="1:1" x14ac:dyDescent="0.3">
      <c r="A9766" t="s">
        <v>13</v>
      </c>
    </row>
    <row r="9767" spans="1:1" x14ac:dyDescent="0.3">
      <c r="A9767" t="s">
        <v>2139</v>
      </c>
    </row>
    <row r="9768" spans="1:1" x14ac:dyDescent="0.3">
      <c r="A9768" t="s">
        <v>5135</v>
      </c>
    </row>
    <row r="9769" spans="1:1" x14ac:dyDescent="0.3">
      <c r="A9769" t="s">
        <v>5146</v>
      </c>
    </row>
    <row r="9770" spans="1:1" x14ac:dyDescent="0.3">
      <c r="A9770" t="s">
        <v>4436</v>
      </c>
    </row>
    <row r="9771" spans="1:1" x14ac:dyDescent="0.3">
      <c r="A9771" t="s">
        <v>110</v>
      </c>
    </row>
    <row r="9772" spans="1:1" x14ac:dyDescent="0.3">
      <c r="A9772" t="s">
        <v>1154</v>
      </c>
    </row>
    <row r="9773" spans="1:1" x14ac:dyDescent="0.3">
      <c r="A9773" t="s">
        <v>5147</v>
      </c>
    </row>
    <row r="9774" spans="1:1" x14ac:dyDescent="0.3">
      <c r="A9774" t="s">
        <v>51</v>
      </c>
    </row>
    <row r="9775" spans="1:1" x14ac:dyDescent="0.3">
      <c r="A9775" t="s">
        <v>52</v>
      </c>
    </row>
    <row r="9776" spans="1:1" x14ac:dyDescent="0.3">
      <c r="A9776" t="s">
        <v>79</v>
      </c>
    </row>
    <row r="9777" spans="1:1" x14ac:dyDescent="0.3">
      <c r="A9777" t="s">
        <v>98</v>
      </c>
    </row>
    <row r="9778" spans="1:1" x14ac:dyDescent="0.3">
      <c r="A9778" t="s">
        <v>13</v>
      </c>
    </row>
    <row r="9779" spans="1:1" x14ac:dyDescent="0.3">
      <c r="A9779" t="s">
        <v>105</v>
      </c>
    </row>
    <row r="9780" spans="1:1" x14ac:dyDescent="0.3">
      <c r="A9780" t="s">
        <v>5144</v>
      </c>
    </row>
    <row r="9781" spans="1:1" x14ac:dyDescent="0.3">
      <c r="A9781" t="s">
        <v>1157</v>
      </c>
    </row>
    <row r="9782" spans="1:1" x14ac:dyDescent="0.3">
      <c r="A9782" t="s">
        <v>5139</v>
      </c>
    </row>
    <row r="9783" spans="1:1" x14ac:dyDescent="0.3">
      <c r="A9783" t="s">
        <v>12</v>
      </c>
    </row>
    <row r="9784" spans="1:1" x14ac:dyDescent="0.3">
      <c r="A9784" t="s">
        <v>13</v>
      </c>
    </row>
    <row r="9785" spans="1:1" x14ac:dyDescent="0.3">
      <c r="A9785" t="s">
        <v>106</v>
      </c>
    </row>
    <row r="9786" spans="1:1" x14ac:dyDescent="0.3">
      <c r="A9786" t="s">
        <v>5145</v>
      </c>
    </row>
    <row r="9787" spans="1:1" x14ac:dyDescent="0.3">
      <c r="A9787" t="s">
        <v>1157</v>
      </c>
    </row>
    <row r="9788" spans="1:1" x14ac:dyDescent="0.3">
      <c r="A9788" t="s">
        <v>5141</v>
      </c>
    </row>
    <row r="9789" spans="1:1" x14ac:dyDescent="0.3">
      <c r="A9789" t="s">
        <v>12</v>
      </c>
    </row>
    <row r="9790" spans="1:1" x14ac:dyDescent="0.3">
      <c r="A9790" t="s">
        <v>40</v>
      </c>
    </row>
    <row r="9792" spans="1:1" x14ac:dyDescent="0.3">
      <c r="A9792" t="s">
        <v>12</v>
      </c>
    </row>
    <row r="9793" spans="1:1" x14ac:dyDescent="0.3">
      <c r="A9793" t="s">
        <v>13</v>
      </c>
    </row>
    <row r="9794" spans="1:1" x14ac:dyDescent="0.3">
      <c r="A9794" t="s">
        <v>2147</v>
      </c>
    </row>
    <row r="9795" spans="1:1" x14ac:dyDescent="0.3">
      <c r="A9795" t="s">
        <v>5135</v>
      </c>
    </row>
    <row r="9796" spans="1:1" x14ac:dyDescent="0.3">
      <c r="A9796" t="s">
        <v>5148</v>
      </c>
    </row>
    <row r="9797" spans="1:1" x14ac:dyDescent="0.3">
      <c r="A9797" t="s">
        <v>4436</v>
      </c>
    </row>
    <row r="9798" spans="1:1" x14ac:dyDescent="0.3">
      <c r="A9798" t="s">
        <v>110</v>
      </c>
    </row>
    <row r="9799" spans="1:1" x14ac:dyDescent="0.3">
      <c r="A9799" t="s">
        <v>1154</v>
      </c>
    </row>
    <row r="9800" spans="1:1" x14ac:dyDescent="0.3">
      <c r="A9800" t="s">
        <v>5149</v>
      </c>
    </row>
    <row r="9801" spans="1:1" x14ac:dyDescent="0.3">
      <c r="A9801" t="s">
        <v>51</v>
      </c>
    </row>
    <row r="9802" spans="1:1" x14ac:dyDescent="0.3">
      <c r="A9802" t="s">
        <v>52</v>
      </c>
    </row>
    <row r="9803" spans="1:1" x14ac:dyDescent="0.3">
      <c r="A9803" t="s">
        <v>79</v>
      </c>
    </row>
    <row r="9804" spans="1:1" x14ac:dyDescent="0.3">
      <c r="A9804" t="s">
        <v>98</v>
      </c>
    </row>
    <row r="9805" spans="1:1" x14ac:dyDescent="0.3">
      <c r="A9805" t="s">
        <v>13</v>
      </c>
    </row>
    <row r="9806" spans="1:1" x14ac:dyDescent="0.3">
      <c r="A9806" t="s">
        <v>105</v>
      </c>
    </row>
    <row r="9807" spans="1:1" x14ac:dyDescent="0.3">
      <c r="A9807" t="s">
        <v>5144</v>
      </c>
    </row>
    <row r="9808" spans="1:1" x14ac:dyDescent="0.3">
      <c r="A9808" t="s">
        <v>1157</v>
      </c>
    </row>
    <row r="9809" spans="1:1" x14ac:dyDescent="0.3">
      <c r="A9809" t="s">
        <v>5139</v>
      </c>
    </row>
    <row r="9810" spans="1:1" x14ac:dyDescent="0.3">
      <c r="A9810" t="s">
        <v>12</v>
      </c>
    </row>
    <row r="9811" spans="1:1" x14ac:dyDescent="0.3">
      <c r="A9811" t="s">
        <v>13</v>
      </c>
    </row>
    <row r="9812" spans="1:1" x14ac:dyDescent="0.3">
      <c r="A9812" t="s">
        <v>106</v>
      </c>
    </row>
    <row r="9813" spans="1:1" x14ac:dyDescent="0.3">
      <c r="A9813" t="s">
        <v>5145</v>
      </c>
    </row>
    <row r="9814" spans="1:1" x14ac:dyDescent="0.3">
      <c r="A9814" t="s">
        <v>1157</v>
      </c>
    </row>
    <row r="9815" spans="1:1" x14ac:dyDescent="0.3">
      <c r="A9815" t="s">
        <v>5141</v>
      </c>
    </row>
    <row r="9816" spans="1:1" x14ac:dyDescent="0.3">
      <c r="A9816" t="s">
        <v>12</v>
      </c>
    </row>
    <row r="9817" spans="1:1" x14ac:dyDescent="0.3">
      <c r="A9817" t="s">
        <v>40</v>
      </c>
    </row>
    <row r="9819" spans="1:1" x14ac:dyDescent="0.3">
      <c r="A9819" t="s">
        <v>12</v>
      </c>
    </row>
    <row r="9820" spans="1:1" x14ac:dyDescent="0.3">
      <c r="A9820" t="s">
        <v>13</v>
      </c>
    </row>
    <row r="9821" spans="1:1" x14ac:dyDescent="0.3">
      <c r="A9821" t="s">
        <v>2151</v>
      </c>
    </row>
    <row r="9822" spans="1:1" x14ac:dyDescent="0.3">
      <c r="A9822" t="s">
        <v>4858</v>
      </c>
    </row>
    <row r="9823" spans="1:1" x14ac:dyDescent="0.3">
      <c r="A9823" t="s">
        <v>5150</v>
      </c>
    </row>
    <row r="9824" spans="1:1" x14ac:dyDescent="0.3">
      <c r="A9824" t="s">
        <v>4436</v>
      </c>
    </row>
    <row r="9825" spans="1:1" x14ac:dyDescent="0.3">
      <c r="A9825" t="s">
        <v>110</v>
      </c>
    </row>
    <row r="9826" spans="1:1" x14ac:dyDescent="0.3">
      <c r="A9826" t="s">
        <v>1154</v>
      </c>
    </row>
    <row r="9827" spans="1:1" x14ac:dyDescent="0.3">
      <c r="A9827" t="s">
        <v>5151</v>
      </c>
    </row>
    <row r="9828" spans="1:1" x14ac:dyDescent="0.3">
      <c r="A9828" t="s">
        <v>51</v>
      </c>
    </row>
    <row r="9829" spans="1:1" x14ac:dyDescent="0.3">
      <c r="A9829" t="s">
        <v>52</v>
      </c>
    </row>
    <row r="9830" spans="1:1" x14ac:dyDescent="0.3">
      <c r="A9830" t="s">
        <v>79</v>
      </c>
    </row>
    <row r="9832" spans="1:1" x14ac:dyDescent="0.3">
      <c r="A9832" t="s">
        <v>12</v>
      </c>
    </row>
    <row r="9833" spans="1:1" x14ac:dyDescent="0.3">
      <c r="A9833" t="s">
        <v>13</v>
      </c>
    </row>
    <row r="9834" spans="1:1" x14ac:dyDescent="0.3">
      <c r="A9834" t="s">
        <v>2159</v>
      </c>
    </row>
    <row r="9835" spans="1:1" x14ac:dyDescent="0.3">
      <c r="A9835" t="s">
        <v>5152</v>
      </c>
    </row>
    <row r="9836" spans="1:1" x14ac:dyDescent="0.3">
      <c r="A9836" t="s">
        <v>5153</v>
      </c>
    </row>
    <row r="9837" spans="1:1" x14ac:dyDescent="0.3">
      <c r="A9837" t="s">
        <v>4436</v>
      </c>
    </row>
    <row r="9838" spans="1:1" x14ac:dyDescent="0.3">
      <c r="A9838" t="s">
        <v>110</v>
      </c>
    </row>
    <row r="9839" spans="1:1" x14ac:dyDescent="0.3">
      <c r="A9839" t="s">
        <v>1154</v>
      </c>
    </row>
    <row r="9840" spans="1:1" x14ac:dyDescent="0.3">
      <c r="A9840" t="s">
        <v>5154</v>
      </c>
    </row>
    <row r="9841" spans="1:1" x14ac:dyDescent="0.3">
      <c r="A9841" t="s">
        <v>51</v>
      </c>
    </row>
    <row r="9842" spans="1:1" x14ac:dyDescent="0.3">
      <c r="A9842" t="s">
        <v>52</v>
      </c>
    </row>
    <row r="9843" spans="1:1" x14ac:dyDescent="0.3">
      <c r="A9843" t="s">
        <v>79</v>
      </c>
    </row>
    <row r="9845" spans="1:1" x14ac:dyDescent="0.3">
      <c r="A9845" t="s">
        <v>12</v>
      </c>
    </row>
    <row r="9846" spans="1:1" x14ac:dyDescent="0.3">
      <c r="A9846" t="s">
        <v>13</v>
      </c>
    </row>
    <row r="9847" spans="1:1" x14ac:dyDescent="0.3">
      <c r="A9847" t="s">
        <v>2167</v>
      </c>
    </row>
    <row r="9848" spans="1:1" x14ac:dyDescent="0.3">
      <c r="A9848" t="s">
        <v>5155</v>
      </c>
    </row>
    <row r="9849" spans="1:1" x14ac:dyDescent="0.3">
      <c r="A9849" t="s">
        <v>5156</v>
      </c>
    </row>
    <row r="9850" spans="1:1" x14ac:dyDescent="0.3">
      <c r="A9850" t="s">
        <v>4436</v>
      </c>
    </row>
    <row r="9851" spans="1:1" x14ac:dyDescent="0.3">
      <c r="A9851" t="s">
        <v>110</v>
      </c>
    </row>
    <row r="9852" spans="1:1" x14ac:dyDescent="0.3">
      <c r="A9852" t="s">
        <v>1154</v>
      </c>
    </row>
    <row r="9853" spans="1:1" x14ac:dyDescent="0.3">
      <c r="A9853" t="s">
        <v>5157</v>
      </c>
    </row>
    <row r="9854" spans="1:1" x14ac:dyDescent="0.3">
      <c r="A9854" t="s">
        <v>51</v>
      </c>
    </row>
    <row r="9855" spans="1:1" x14ac:dyDescent="0.3">
      <c r="A9855" t="s">
        <v>52</v>
      </c>
    </row>
    <row r="9856" spans="1:1" x14ac:dyDescent="0.3">
      <c r="A9856" t="s">
        <v>79</v>
      </c>
    </row>
    <row r="9858" spans="1:1" x14ac:dyDescent="0.3">
      <c r="A9858" t="s">
        <v>12</v>
      </c>
    </row>
    <row r="9859" spans="1:1" x14ac:dyDescent="0.3">
      <c r="A9859" t="s">
        <v>13</v>
      </c>
    </row>
    <row r="9860" spans="1:1" x14ac:dyDescent="0.3">
      <c r="A9860" t="s">
        <v>2170</v>
      </c>
    </row>
    <row r="9861" spans="1:1" x14ac:dyDescent="0.3">
      <c r="A9861" t="s">
        <v>1360</v>
      </c>
    </row>
    <row r="9862" spans="1:1" x14ac:dyDescent="0.3">
      <c r="A9862" t="s">
        <v>5158</v>
      </c>
    </row>
    <row r="9863" spans="1:1" x14ac:dyDescent="0.3">
      <c r="A9863" t="s">
        <v>4436</v>
      </c>
    </row>
    <row r="9864" spans="1:1" x14ac:dyDescent="0.3">
      <c r="A9864" t="s">
        <v>110</v>
      </c>
    </row>
    <row r="9865" spans="1:1" x14ac:dyDescent="0.3">
      <c r="A9865" t="s">
        <v>1154</v>
      </c>
    </row>
    <row r="9866" spans="1:1" x14ac:dyDescent="0.3">
      <c r="A9866" t="s">
        <v>5159</v>
      </c>
    </row>
    <row r="9867" spans="1:1" x14ac:dyDescent="0.3">
      <c r="A9867" t="s">
        <v>51</v>
      </c>
    </row>
    <row r="9868" spans="1:1" x14ac:dyDescent="0.3">
      <c r="A9868" t="s">
        <v>52</v>
      </c>
    </row>
    <row r="9869" spans="1:1" x14ac:dyDescent="0.3">
      <c r="A9869" t="s">
        <v>79</v>
      </c>
    </row>
    <row r="9871" spans="1:1" x14ac:dyDescent="0.3">
      <c r="A9871" t="s">
        <v>12</v>
      </c>
    </row>
    <row r="9872" spans="1:1" x14ac:dyDescent="0.3">
      <c r="A9872" t="s">
        <v>13</v>
      </c>
    </row>
    <row r="9873" spans="1:1" x14ac:dyDescent="0.3">
      <c r="A9873" t="s">
        <v>2174</v>
      </c>
    </row>
    <row r="9874" spans="1:1" x14ac:dyDescent="0.3">
      <c r="A9874" t="s">
        <v>5160</v>
      </c>
    </row>
    <row r="9875" spans="1:1" x14ac:dyDescent="0.3">
      <c r="A9875" t="s">
        <v>5161</v>
      </c>
    </row>
    <row r="9876" spans="1:1" x14ac:dyDescent="0.3">
      <c r="A9876" t="s">
        <v>4436</v>
      </c>
    </row>
    <row r="9877" spans="1:1" x14ac:dyDescent="0.3">
      <c r="A9877" t="s">
        <v>110</v>
      </c>
    </row>
    <row r="9878" spans="1:1" x14ac:dyDescent="0.3">
      <c r="A9878" t="s">
        <v>1154</v>
      </c>
    </row>
    <row r="9879" spans="1:1" x14ac:dyDescent="0.3">
      <c r="A9879" t="s">
        <v>5162</v>
      </c>
    </row>
    <row r="9880" spans="1:1" x14ac:dyDescent="0.3">
      <c r="A9880" t="s">
        <v>51</v>
      </c>
    </row>
    <row r="9881" spans="1:1" x14ac:dyDescent="0.3">
      <c r="A9881" t="s">
        <v>52</v>
      </c>
    </row>
    <row r="9882" spans="1:1" x14ac:dyDescent="0.3">
      <c r="A9882" t="s">
        <v>79</v>
      </c>
    </row>
    <row r="9884" spans="1:1" x14ac:dyDescent="0.3">
      <c r="A9884" t="s">
        <v>12</v>
      </c>
    </row>
    <row r="9885" spans="1:1" x14ac:dyDescent="0.3">
      <c r="A9885" t="s">
        <v>13</v>
      </c>
    </row>
    <row r="9886" spans="1:1" x14ac:dyDescent="0.3">
      <c r="A9886" t="s">
        <v>2178</v>
      </c>
    </row>
    <row r="9887" spans="1:1" x14ac:dyDescent="0.3">
      <c r="A9887" t="s">
        <v>5163</v>
      </c>
    </row>
    <row r="9888" spans="1:1" x14ac:dyDescent="0.3">
      <c r="A9888" t="s">
        <v>5164</v>
      </c>
    </row>
    <row r="9889" spans="1:1" x14ac:dyDescent="0.3">
      <c r="A9889" t="s">
        <v>4436</v>
      </c>
    </row>
    <row r="9890" spans="1:1" x14ac:dyDescent="0.3">
      <c r="A9890" t="s">
        <v>110</v>
      </c>
    </row>
    <row r="9891" spans="1:1" x14ac:dyDescent="0.3">
      <c r="A9891" t="s">
        <v>5165</v>
      </c>
    </row>
    <row r="9892" spans="1:1" x14ac:dyDescent="0.3">
      <c r="A9892" t="s">
        <v>5166</v>
      </c>
    </row>
    <row r="9893" spans="1:1" x14ac:dyDescent="0.3">
      <c r="A9893" t="s">
        <v>51</v>
      </c>
    </row>
    <row r="9894" spans="1:1" x14ac:dyDescent="0.3">
      <c r="A9894" t="s">
        <v>52</v>
      </c>
    </row>
    <row r="9895" spans="1:1" x14ac:dyDescent="0.3">
      <c r="A9895" t="s">
        <v>79</v>
      </c>
    </row>
    <row r="9897" spans="1:1" x14ac:dyDescent="0.3">
      <c r="A9897" t="s">
        <v>12</v>
      </c>
    </row>
    <row r="9898" spans="1:1" x14ac:dyDescent="0.3">
      <c r="A9898" t="s">
        <v>13</v>
      </c>
    </row>
    <row r="9899" spans="1:1" x14ac:dyDescent="0.3">
      <c r="A9899" t="s">
        <v>2182</v>
      </c>
    </row>
    <row r="9900" spans="1:1" x14ac:dyDescent="0.3">
      <c r="A9900" t="s">
        <v>5167</v>
      </c>
    </row>
    <row r="9901" spans="1:1" x14ac:dyDescent="0.3">
      <c r="A9901" t="s">
        <v>5168</v>
      </c>
    </row>
    <row r="9902" spans="1:1" x14ac:dyDescent="0.3">
      <c r="A9902" t="s">
        <v>4436</v>
      </c>
    </row>
    <row r="9903" spans="1:1" x14ac:dyDescent="0.3">
      <c r="A9903" t="s">
        <v>110</v>
      </c>
    </row>
    <row r="9904" spans="1:1" x14ac:dyDescent="0.3">
      <c r="A9904" t="s">
        <v>1154</v>
      </c>
    </row>
    <row r="9905" spans="1:1" x14ac:dyDescent="0.3">
      <c r="A9905" t="s">
        <v>5169</v>
      </c>
    </row>
    <row r="9906" spans="1:1" x14ac:dyDescent="0.3">
      <c r="A9906" t="s">
        <v>51</v>
      </c>
    </row>
    <row r="9907" spans="1:1" x14ac:dyDescent="0.3">
      <c r="A9907" t="s">
        <v>52</v>
      </c>
    </row>
    <row r="9908" spans="1:1" x14ac:dyDescent="0.3">
      <c r="A9908" t="s">
        <v>79</v>
      </c>
    </row>
    <row r="9909" spans="1:1" x14ac:dyDescent="0.3">
      <c r="A9909" t="s">
        <v>98</v>
      </c>
    </row>
    <row r="9910" spans="1:1" x14ac:dyDescent="0.3">
      <c r="A9910" t="s">
        <v>13</v>
      </c>
    </row>
    <row r="9911" spans="1:1" x14ac:dyDescent="0.3">
      <c r="A9911" t="s">
        <v>105</v>
      </c>
    </row>
    <row r="9912" spans="1:1" x14ac:dyDescent="0.3">
      <c r="A9912" t="s">
        <v>5170</v>
      </c>
    </row>
    <row r="9913" spans="1:1" x14ac:dyDescent="0.3">
      <c r="A9913" t="s">
        <v>1157</v>
      </c>
    </row>
    <row r="9914" spans="1:1" x14ac:dyDescent="0.3">
      <c r="A9914" t="s">
        <v>5171</v>
      </c>
    </row>
    <row r="9915" spans="1:1" x14ac:dyDescent="0.3">
      <c r="A9915" t="s">
        <v>12</v>
      </c>
    </row>
    <row r="9916" spans="1:1" x14ac:dyDescent="0.3">
      <c r="A9916" t="s">
        <v>40</v>
      </c>
    </row>
    <row r="9918" spans="1:1" x14ac:dyDescent="0.3">
      <c r="A9918" t="s">
        <v>12</v>
      </c>
    </row>
    <row r="9919" spans="1:1" x14ac:dyDescent="0.3">
      <c r="A9919" t="s">
        <v>13</v>
      </c>
    </row>
    <row r="9920" spans="1:1" x14ac:dyDescent="0.3">
      <c r="A9920" t="s">
        <v>2186</v>
      </c>
    </row>
    <row r="9921" spans="1:1" x14ac:dyDescent="0.3">
      <c r="A9921" t="s">
        <v>5172</v>
      </c>
    </row>
    <row r="9922" spans="1:1" x14ac:dyDescent="0.3">
      <c r="A9922" t="s">
        <v>5173</v>
      </c>
    </row>
    <row r="9923" spans="1:1" x14ac:dyDescent="0.3">
      <c r="A9923" t="s">
        <v>4436</v>
      </c>
    </row>
    <row r="9924" spans="1:1" x14ac:dyDescent="0.3">
      <c r="A9924" t="s">
        <v>110</v>
      </c>
    </row>
    <row r="9925" spans="1:1" x14ac:dyDescent="0.3">
      <c r="A9925" t="s">
        <v>1154</v>
      </c>
    </row>
    <row r="9926" spans="1:1" x14ac:dyDescent="0.3">
      <c r="A9926" t="s">
        <v>5174</v>
      </c>
    </row>
    <row r="9927" spans="1:1" x14ac:dyDescent="0.3">
      <c r="A9927" t="s">
        <v>51</v>
      </c>
    </row>
    <row r="9928" spans="1:1" x14ac:dyDescent="0.3">
      <c r="A9928" t="s">
        <v>52</v>
      </c>
    </row>
    <row r="9929" spans="1:1" x14ac:dyDescent="0.3">
      <c r="A9929" t="s">
        <v>79</v>
      </c>
    </row>
    <row r="9930" spans="1:1" x14ac:dyDescent="0.3">
      <c r="A9930" t="s">
        <v>98</v>
      </c>
    </row>
    <row r="9931" spans="1:1" x14ac:dyDescent="0.3">
      <c r="A9931" t="s">
        <v>13</v>
      </c>
    </row>
    <row r="9932" spans="1:1" x14ac:dyDescent="0.3">
      <c r="A9932" t="s">
        <v>105</v>
      </c>
    </row>
    <row r="9933" spans="1:1" x14ac:dyDescent="0.3">
      <c r="A9933" t="s">
        <v>5175</v>
      </c>
    </row>
    <row r="9934" spans="1:1" x14ac:dyDescent="0.3">
      <c r="A9934" t="s">
        <v>1157</v>
      </c>
    </row>
    <row r="9935" spans="1:1" x14ac:dyDescent="0.3">
      <c r="A9935" t="s">
        <v>5176</v>
      </c>
    </row>
    <row r="9936" spans="1:1" x14ac:dyDescent="0.3">
      <c r="A9936" t="s">
        <v>12</v>
      </c>
    </row>
    <row r="9937" spans="1:1" x14ac:dyDescent="0.3">
      <c r="A9937" t="s">
        <v>13</v>
      </c>
    </row>
    <row r="9938" spans="1:1" x14ac:dyDescent="0.3">
      <c r="A9938" t="s">
        <v>106</v>
      </c>
    </row>
    <row r="9939" spans="1:1" x14ac:dyDescent="0.3">
      <c r="A9939" t="s">
        <v>5177</v>
      </c>
    </row>
    <row r="9940" spans="1:1" x14ac:dyDescent="0.3">
      <c r="A9940" t="s">
        <v>1157</v>
      </c>
    </row>
    <row r="9941" spans="1:1" x14ac:dyDescent="0.3">
      <c r="A9941" t="s">
        <v>5178</v>
      </c>
    </row>
    <row r="9942" spans="1:1" x14ac:dyDescent="0.3">
      <c r="A9942" t="s">
        <v>12</v>
      </c>
    </row>
    <row r="9943" spans="1:1" x14ac:dyDescent="0.3">
      <c r="A9943" t="s">
        <v>40</v>
      </c>
    </row>
    <row r="9945" spans="1:1" x14ac:dyDescent="0.3">
      <c r="A9945" t="s">
        <v>12</v>
      </c>
    </row>
    <row r="9946" spans="1:1" x14ac:dyDescent="0.3">
      <c r="A9946" t="s">
        <v>13</v>
      </c>
    </row>
    <row r="9947" spans="1:1" x14ac:dyDescent="0.3">
      <c r="A9947" t="s">
        <v>2190</v>
      </c>
    </row>
    <row r="9948" spans="1:1" x14ac:dyDescent="0.3">
      <c r="A9948" t="s">
        <v>5179</v>
      </c>
    </row>
    <row r="9949" spans="1:1" x14ac:dyDescent="0.3">
      <c r="A9949" t="s">
        <v>5180</v>
      </c>
    </row>
    <row r="9950" spans="1:1" x14ac:dyDescent="0.3">
      <c r="A9950" t="s">
        <v>4436</v>
      </c>
    </row>
    <row r="9951" spans="1:1" x14ac:dyDescent="0.3">
      <c r="A9951" t="s">
        <v>110</v>
      </c>
    </row>
    <row r="9952" spans="1:1" x14ac:dyDescent="0.3">
      <c r="A9952" t="s">
        <v>1154</v>
      </c>
    </row>
    <row r="9953" spans="1:1" x14ac:dyDescent="0.3">
      <c r="A9953" t="s">
        <v>5181</v>
      </c>
    </row>
    <row r="9954" spans="1:1" x14ac:dyDescent="0.3">
      <c r="A9954" t="s">
        <v>51</v>
      </c>
    </row>
    <row r="9955" spans="1:1" x14ac:dyDescent="0.3">
      <c r="A9955" t="s">
        <v>52</v>
      </c>
    </row>
    <row r="9956" spans="1:1" x14ac:dyDescent="0.3">
      <c r="A9956" t="s">
        <v>79</v>
      </c>
    </row>
    <row r="9957" spans="1:1" x14ac:dyDescent="0.3">
      <c r="A9957" t="s">
        <v>98</v>
      </c>
    </row>
    <row r="9958" spans="1:1" x14ac:dyDescent="0.3">
      <c r="A9958" t="s">
        <v>13</v>
      </c>
    </row>
    <row r="9959" spans="1:1" x14ac:dyDescent="0.3">
      <c r="A9959" t="s">
        <v>105</v>
      </c>
    </row>
    <row r="9960" spans="1:1" x14ac:dyDescent="0.3">
      <c r="A9960" t="s">
        <v>5182</v>
      </c>
    </row>
    <row r="9961" spans="1:1" x14ac:dyDescent="0.3">
      <c r="A9961" t="s">
        <v>1157</v>
      </c>
    </row>
    <row r="9962" spans="1:1" x14ac:dyDescent="0.3">
      <c r="A9962" t="s">
        <v>4989</v>
      </c>
    </row>
    <row r="9963" spans="1:1" x14ac:dyDescent="0.3">
      <c r="A9963" t="s">
        <v>12</v>
      </c>
    </row>
    <row r="9964" spans="1:1" x14ac:dyDescent="0.3">
      <c r="A9964" t="s">
        <v>13</v>
      </c>
    </row>
    <row r="9965" spans="1:1" x14ac:dyDescent="0.3">
      <c r="A9965" t="s">
        <v>106</v>
      </c>
    </row>
    <row r="9966" spans="1:1" x14ac:dyDescent="0.3">
      <c r="A9966" t="s">
        <v>5183</v>
      </c>
    </row>
    <row r="9967" spans="1:1" x14ac:dyDescent="0.3">
      <c r="A9967" t="s">
        <v>1157</v>
      </c>
    </row>
    <row r="9968" spans="1:1" x14ac:dyDescent="0.3">
      <c r="A9968" t="s">
        <v>5184</v>
      </c>
    </row>
    <row r="9969" spans="1:1" x14ac:dyDescent="0.3">
      <c r="A9969" t="s">
        <v>12</v>
      </c>
    </row>
    <row r="9970" spans="1:1" x14ac:dyDescent="0.3">
      <c r="A9970" t="s">
        <v>40</v>
      </c>
    </row>
    <row r="9972" spans="1:1" x14ac:dyDescent="0.3">
      <c r="A9972" t="s">
        <v>12</v>
      </c>
    </row>
    <row r="9973" spans="1:1" x14ac:dyDescent="0.3">
      <c r="A9973" t="s">
        <v>13</v>
      </c>
    </row>
    <row r="9974" spans="1:1" x14ac:dyDescent="0.3">
      <c r="A9974" t="s">
        <v>2194</v>
      </c>
    </row>
    <row r="9975" spans="1:1" x14ac:dyDescent="0.3">
      <c r="A9975" t="s">
        <v>5185</v>
      </c>
    </row>
    <row r="9976" spans="1:1" x14ac:dyDescent="0.3">
      <c r="A9976" t="s">
        <v>5186</v>
      </c>
    </row>
    <row r="9977" spans="1:1" x14ac:dyDescent="0.3">
      <c r="A9977" t="s">
        <v>4436</v>
      </c>
    </row>
    <row r="9978" spans="1:1" x14ac:dyDescent="0.3">
      <c r="A9978" t="s">
        <v>110</v>
      </c>
    </row>
    <row r="9979" spans="1:1" x14ac:dyDescent="0.3">
      <c r="A9979" t="s">
        <v>1154</v>
      </c>
    </row>
    <row r="9980" spans="1:1" x14ac:dyDescent="0.3">
      <c r="A9980" t="s">
        <v>5187</v>
      </c>
    </row>
    <row r="9981" spans="1:1" x14ac:dyDescent="0.3">
      <c r="A9981" t="s">
        <v>51</v>
      </c>
    </row>
    <row r="9982" spans="1:1" x14ac:dyDescent="0.3">
      <c r="A9982" t="s">
        <v>52</v>
      </c>
    </row>
    <row r="9983" spans="1:1" x14ac:dyDescent="0.3">
      <c r="A9983" t="s">
        <v>79</v>
      </c>
    </row>
    <row r="9984" spans="1:1" x14ac:dyDescent="0.3">
      <c r="A9984" t="s">
        <v>98</v>
      </c>
    </row>
    <row r="9985" spans="1:1" x14ac:dyDescent="0.3">
      <c r="A9985" t="s">
        <v>13</v>
      </c>
    </row>
    <row r="9986" spans="1:1" x14ac:dyDescent="0.3">
      <c r="A9986" t="s">
        <v>105</v>
      </c>
    </row>
    <row r="9987" spans="1:1" x14ac:dyDescent="0.3">
      <c r="A9987" t="s">
        <v>5188</v>
      </c>
    </row>
    <row r="9988" spans="1:1" x14ac:dyDescent="0.3">
      <c r="A9988" t="s">
        <v>1157</v>
      </c>
    </row>
    <row r="9989" spans="1:1" x14ac:dyDescent="0.3">
      <c r="A9989" t="s">
        <v>4731</v>
      </c>
    </row>
    <row r="9990" spans="1:1" x14ac:dyDescent="0.3">
      <c r="A9990" t="s">
        <v>12</v>
      </c>
    </row>
    <row r="9991" spans="1:1" x14ac:dyDescent="0.3">
      <c r="A9991" t="s">
        <v>13</v>
      </c>
    </row>
    <row r="9992" spans="1:1" x14ac:dyDescent="0.3">
      <c r="A9992" t="s">
        <v>106</v>
      </c>
    </row>
    <row r="9993" spans="1:1" x14ac:dyDescent="0.3">
      <c r="A9993" t="s">
        <v>5189</v>
      </c>
    </row>
    <row r="9994" spans="1:1" x14ac:dyDescent="0.3">
      <c r="A9994" t="s">
        <v>1157</v>
      </c>
    </row>
    <row r="9995" spans="1:1" x14ac:dyDescent="0.3">
      <c r="A9995" t="s">
        <v>5190</v>
      </c>
    </row>
    <row r="9996" spans="1:1" x14ac:dyDescent="0.3">
      <c r="A9996" t="s">
        <v>12</v>
      </c>
    </row>
    <row r="9997" spans="1:1" x14ac:dyDescent="0.3">
      <c r="A9997" t="s">
        <v>40</v>
      </c>
    </row>
    <row r="9999" spans="1:1" x14ac:dyDescent="0.3">
      <c r="A9999" t="s">
        <v>12</v>
      </c>
    </row>
    <row r="10000" spans="1:1" x14ac:dyDescent="0.3">
      <c r="A10000" t="s">
        <v>13</v>
      </c>
    </row>
    <row r="10001" spans="1:1" x14ac:dyDescent="0.3">
      <c r="A10001" t="s">
        <v>2198</v>
      </c>
    </row>
    <row r="10002" spans="1:1" x14ac:dyDescent="0.3">
      <c r="A10002" t="s">
        <v>5191</v>
      </c>
    </row>
    <row r="10003" spans="1:1" x14ac:dyDescent="0.3">
      <c r="A10003" t="s">
        <v>5192</v>
      </c>
    </row>
    <row r="10004" spans="1:1" x14ac:dyDescent="0.3">
      <c r="A10004" t="s">
        <v>4436</v>
      </c>
    </row>
    <row r="10005" spans="1:1" x14ac:dyDescent="0.3">
      <c r="A10005" t="s">
        <v>110</v>
      </c>
    </row>
    <row r="10006" spans="1:1" x14ac:dyDescent="0.3">
      <c r="A10006" t="s">
        <v>1154</v>
      </c>
    </row>
    <row r="10007" spans="1:1" x14ac:dyDescent="0.3">
      <c r="A10007" t="s">
        <v>5193</v>
      </c>
    </row>
    <row r="10008" spans="1:1" x14ac:dyDescent="0.3">
      <c r="A10008" t="s">
        <v>51</v>
      </c>
    </row>
    <row r="10009" spans="1:1" x14ac:dyDescent="0.3">
      <c r="A10009" t="s">
        <v>52</v>
      </c>
    </row>
    <row r="10010" spans="1:1" x14ac:dyDescent="0.3">
      <c r="A10010" t="s">
        <v>79</v>
      </c>
    </row>
    <row r="10011" spans="1:1" x14ac:dyDescent="0.3">
      <c r="A10011" t="s">
        <v>98</v>
      </c>
    </row>
    <row r="10012" spans="1:1" x14ac:dyDescent="0.3">
      <c r="A10012" t="s">
        <v>13</v>
      </c>
    </row>
    <row r="10013" spans="1:1" x14ac:dyDescent="0.3">
      <c r="A10013" t="s">
        <v>105</v>
      </c>
    </row>
    <row r="10014" spans="1:1" x14ac:dyDescent="0.3">
      <c r="A10014" t="s">
        <v>5194</v>
      </c>
    </row>
    <row r="10015" spans="1:1" x14ac:dyDescent="0.3">
      <c r="A10015" t="s">
        <v>1157</v>
      </c>
    </row>
    <row r="10016" spans="1:1" x14ac:dyDescent="0.3">
      <c r="A10016" t="s">
        <v>1997</v>
      </c>
    </row>
    <row r="10017" spans="1:1" x14ac:dyDescent="0.3">
      <c r="A10017" t="s">
        <v>12</v>
      </c>
    </row>
    <row r="10018" spans="1:1" x14ac:dyDescent="0.3">
      <c r="A10018" t="s">
        <v>13</v>
      </c>
    </row>
    <row r="10019" spans="1:1" x14ac:dyDescent="0.3">
      <c r="A10019" t="s">
        <v>106</v>
      </c>
    </row>
    <row r="10020" spans="1:1" x14ac:dyDescent="0.3">
      <c r="A10020" t="s">
        <v>5195</v>
      </c>
    </row>
    <row r="10021" spans="1:1" x14ac:dyDescent="0.3">
      <c r="A10021" t="s">
        <v>1157</v>
      </c>
    </row>
    <row r="10022" spans="1:1" x14ac:dyDescent="0.3">
      <c r="A10022" t="s">
        <v>5196</v>
      </c>
    </row>
    <row r="10023" spans="1:1" x14ac:dyDescent="0.3">
      <c r="A10023" t="s">
        <v>12</v>
      </c>
    </row>
    <row r="10024" spans="1:1" x14ac:dyDescent="0.3">
      <c r="A10024" t="s">
        <v>40</v>
      </c>
    </row>
    <row r="10026" spans="1:1" x14ac:dyDescent="0.3">
      <c r="A10026" t="s">
        <v>12</v>
      </c>
    </row>
    <row r="10027" spans="1:1" x14ac:dyDescent="0.3">
      <c r="A10027" t="s">
        <v>13</v>
      </c>
    </row>
    <row r="10028" spans="1:1" x14ac:dyDescent="0.3">
      <c r="A10028" t="s">
        <v>2201</v>
      </c>
    </row>
    <row r="10029" spans="1:1" x14ac:dyDescent="0.3">
      <c r="A10029" t="s">
        <v>4997</v>
      </c>
    </row>
    <row r="10030" spans="1:1" x14ac:dyDescent="0.3">
      <c r="A10030" t="s">
        <v>5197</v>
      </c>
    </row>
    <row r="10031" spans="1:1" x14ac:dyDescent="0.3">
      <c r="A10031" t="s">
        <v>4436</v>
      </c>
    </row>
    <row r="10032" spans="1:1" x14ac:dyDescent="0.3">
      <c r="A10032" t="s">
        <v>110</v>
      </c>
    </row>
    <row r="10033" spans="1:1" x14ac:dyDescent="0.3">
      <c r="A10033" t="s">
        <v>5198</v>
      </c>
    </row>
    <row r="10034" spans="1:1" x14ac:dyDescent="0.3">
      <c r="A10034" t="s">
        <v>5199</v>
      </c>
    </row>
    <row r="10035" spans="1:1" x14ac:dyDescent="0.3">
      <c r="A10035" t="s">
        <v>51</v>
      </c>
    </row>
    <row r="10036" spans="1:1" x14ac:dyDescent="0.3">
      <c r="A10036" t="s">
        <v>52</v>
      </c>
    </row>
    <row r="10037" spans="1:1" x14ac:dyDescent="0.3">
      <c r="A10037" t="s">
        <v>79</v>
      </c>
    </row>
    <row r="10038" spans="1:1" x14ac:dyDescent="0.3">
      <c r="A10038" t="s">
        <v>98</v>
      </c>
    </row>
    <row r="10039" spans="1:1" x14ac:dyDescent="0.3">
      <c r="A10039" t="s">
        <v>13</v>
      </c>
    </row>
    <row r="10040" spans="1:1" x14ac:dyDescent="0.3">
      <c r="A10040" t="s">
        <v>105</v>
      </c>
    </row>
    <row r="10041" spans="1:1" x14ac:dyDescent="0.3">
      <c r="A10041" t="s">
        <v>5200</v>
      </c>
    </row>
    <row r="10042" spans="1:1" x14ac:dyDescent="0.3">
      <c r="A10042" t="s">
        <v>1157</v>
      </c>
    </row>
    <row r="10043" spans="1:1" x14ac:dyDescent="0.3">
      <c r="A10043" t="s">
        <v>5201</v>
      </c>
    </row>
    <row r="10044" spans="1:1" x14ac:dyDescent="0.3">
      <c r="A10044" t="s">
        <v>12</v>
      </c>
    </row>
    <row r="10045" spans="1:1" x14ac:dyDescent="0.3">
      <c r="A10045" t="s">
        <v>13</v>
      </c>
    </row>
    <row r="10046" spans="1:1" x14ac:dyDescent="0.3">
      <c r="A10046" t="s">
        <v>106</v>
      </c>
    </row>
    <row r="10047" spans="1:1" x14ac:dyDescent="0.3">
      <c r="A10047" t="s">
        <v>5202</v>
      </c>
    </row>
    <row r="10048" spans="1:1" x14ac:dyDescent="0.3">
      <c r="A10048" t="s">
        <v>1157</v>
      </c>
    </row>
    <row r="10049" spans="1:1" x14ac:dyDescent="0.3">
      <c r="A10049" t="s">
        <v>5203</v>
      </c>
    </row>
    <row r="10050" spans="1:1" x14ac:dyDescent="0.3">
      <c r="A10050" t="s">
        <v>12</v>
      </c>
    </row>
    <row r="10051" spans="1:1" x14ac:dyDescent="0.3">
      <c r="A10051" t="s">
        <v>40</v>
      </c>
    </row>
    <row r="10053" spans="1:1" x14ac:dyDescent="0.3">
      <c r="A10053" t="s">
        <v>12</v>
      </c>
    </row>
    <row r="10054" spans="1:1" x14ac:dyDescent="0.3">
      <c r="A10054" t="s">
        <v>13</v>
      </c>
    </row>
    <row r="10055" spans="1:1" x14ac:dyDescent="0.3">
      <c r="A10055" t="s">
        <v>2205</v>
      </c>
    </row>
    <row r="10056" spans="1:1" x14ac:dyDescent="0.3">
      <c r="A10056" t="s">
        <v>5204</v>
      </c>
    </row>
    <row r="10057" spans="1:1" x14ac:dyDescent="0.3">
      <c r="A10057" t="s">
        <v>5205</v>
      </c>
    </row>
    <row r="10058" spans="1:1" x14ac:dyDescent="0.3">
      <c r="A10058" t="s">
        <v>4436</v>
      </c>
    </row>
    <row r="10059" spans="1:1" x14ac:dyDescent="0.3">
      <c r="A10059" t="s">
        <v>110</v>
      </c>
    </row>
    <row r="10060" spans="1:1" x14ac:dyDescent="0.3">
      <c r="A10060" t="s">
        <v>1154</v>
      </c>
    </row>
    <row r="10061" spans="1:1" x14ac:dyDescent="0.3">
      <c r="A10061" t="s">
        <v>5206</v>
      </c>
    </row>
    <row r="10062" spans="1:1" x14ac:dyDescent="0.3">
      <c r="A10062" t="s">
        <v>51</v>
      </c>
    </row>
    <row r="10063" spans="1:1" x14ac:dyDescent="0.3">
      <c r="A10063" t="s">
        <v>52</v>
      </c>
    </row>
    <row r="10064" spans="1:1" x14ac:dyDescent="0.3">
      <c r="A10064" t="s">
        <v>79</v>
      </c>
    </row>
    <row r="10065" spans="1:1" x14ac:dyDescent="0.3">
      <c r="A10065" t="s">
        <v>98</v>
      </c>
    </row>
    <row r="10066" spans="1:1" x14ac:dyDescent="0.3">
      <c r="A10066" t="s">
        <v>13</v>
      </c>
    </row>
    <row r="10067" spans="1:1" x14ac:dyDescent="0.3">
      <c r="A10067" t="s">
        <v>105</v>
      </c>
    </row>
    <row r="10068" spans="1:1" x14ac:dyDescent="0.3">
      <c r="A10068" t="s">
        <v>5207</v>
      </c>
    </row>
    <row r="10069" spans="1:1" x14ac:dyDescent="0.3">
      <c r="A10069" t="s">
        <v>1157</v>
      </c>
    </row>
    <row r="10070" spans="1:1" x14ac:dyDescent="0.3">
      <c r="A10070" t="s">
        <v>5208</v>
      </c>
    </row>
    <row r="10071" spans="1:1" x14ac:dyDescent="0.3">
      <c r="A10071" t="s">
        <v>12</v>
      </c>
    </row>
    <row r="10072" spans="1:1" x14ac:dyDescent="0.3">
      <c r="A10072" t="s">
        <v>13</v>
      </c>
    </row>
    <row r="10073" spans="1:1" x14ac:dyDescent="0.3">
      <c r="A10073" t="s">
        <v>106</v>
      </c>
    </row>
    <row r="10074" spans="1:1" x14ac:dyDescent="0.3">
      <c r="A10074" t="s">
        <v>5209</v>
      </c>
    </row>
    <row r="10075" spans="1:1" x14ac:dyDescent="0.3">
      <c r="A10075" t="s">
        <v>1157</v>
      </c>
    </row>
    <row r="10076" spans="1:1" x14ac:dyDescent="0.3">
      <c r="A10076" t="s">
        <v>4709</v>
      </c>
    </row>
    <row r="10077" spans="1:1" x14ac:dyDescent="0.3">
      <c r="A10077" t="s">
        <v>12</v>
      </c>
    </row>
    <row r="10078" spans="1:1" x14ac:dyDescent="0.3">
      <c r="A10078" t="s">
        <v>40</v>
      </c>
    </row>
    <row r="10080" spans="1:1" x14ac:dyDescent="0.3">
      <c r="A10080" t="s">
        <v>12</v>
      </c>
    </row>
    <row r="10081" spans="1:1" x14ac:dyDescent="0.3">
      <c r="A10081" t="s">
        <v>13</v>
      </c>
    </row>
    <row r="10082" spans="1:1" x14ac:dyDescent="0.3">
      <c r="A10082" t="s">
        <v>2208</v>
      </c>
    </row>
    <row r="10083" spans="1:1" x14ac:dyDescent="0.3">
      <c r="A10083" t="s">
        <v>5210</v>
      </c>
    </row>
    <row r="10084" spans="1:1" x14ac:dyDescent="0.3">
      <c r="A10084" t="s">
        <v>5211</v>
      </c>
    </row>
    <row r="10085" spans="1:1" x14ac:dyDescent="0.3">
      <c r="A10085" t="s">
        <v>4436</v>
      </c>
    </row>
    <row r="10086" spans="1:1" x14ac:dyDescent="0.3">
      <c r="A10086" t="s">
        <v>110</v>
      </c>
    </row>
    <row r="10087" spans="1:1" x14ac:dyDescent="0.3">
      <c r="A10087" t="s">
        <v>1154</v>
      </c>
    </row>
    <row r="10088" spans="1:1" x14ac:dyDescent="0.3">
      <c r="A10088" t="s">
        <v>5212</v>
      </c>
    </row>
    <row r="10089" spans="1:1" x14ac:dyDescent="0.3">
      <c r="A10089" t="s">
        <v>51</v>
      </c>
    </row>
    <row r="10090" spans="1:1" x14ac:dyDescent="0.3">
      <c r="A10090" t="s">
        <v>52</v>
      </c>
    </row>
    <row r="10091" spans="1:1" x14ac:dyDescent="0.3">
      <c r="A10091" t="s">
        <v>79</v>
      </c>
    </row>
    <row r="10092" spans="1:1" x14ac:dyDescent="0.3">
      <c r="A10092" t="s">
        <v>98</v>
      </c>
    </row>
    <row r="10093" spans="1:1" x14ac:dyDescent="0.3">
      <c r="A10093" t="s">
        <v>13</v>
      </c>
    </row>
    <row r="10094" spans="1:1" x14ac:dyDescent="0.3">
      <c r="A10094" t="s">
        <v>105</v>
      </c>
    </row>
    <row r="10095" spans="1:1" x14ac:dyDescent="0.3">
      <c r="A10095" t="s">
        <v>5213</v>
      </c>
    </row>
    <row r="10096" spans="1:1" x14ac:dyDescent="0.3">
      <c r="A10096" t="s">
        <v>1157</v>
      </c>
    </row>
    <row r="10097" spans="1:1" x14ac:dyDescent="0.3">
      <c r="A10097" t="s">
        <v>4729</v>
      </c>
    </row>
    <row r="10098" spans="1:1" x14ac:dyDescent="0.3">
      <c r="A10098" t="s">
        <v>12</v>
      </c>
    </row>
    <row r="10099" spans="1:1" x14ac:dyDescent="0.3">
      <c r="A10099" t="s">
        <v>13</v>
      </c>
    </row>
    <row r="10100" spans="1:1" x14ac:dyDescent="0.3">
      <c r="A10100" t="s">
        <v>106</v>
      </c>
    </row>
    <row r="10101" spans="1:1" x14ac:dyDescent="0.3">
      <c r="A10101" t="s">
        <v>5214</v>
      </c>
    </row>
    <row r="10102" spans="1:1" x14ac:dyDescent="0.3">
      <c r="A10102" t="s">
        <v>1157</v>
      </c>
    </row>
    <row r="10103" spans="1:1" x14ac:dyDescent="0.3">
      <c r="A10103" t="s">
        <v>5215</v>
      </c>
    </row>
    <row r="10104" spans="1:1" x14ac:dyDescent="0.3">
      <c r="A10104" t="s">
        <v>12</v>
      </c>
    </row>
    <row r="10105" spans="1:1" x14ac:dyDescent="0.3">
      <c r="A10105" t="s">
        <v>40</v>
      </c>
    </row>
    <row r="10107" spans="1:1" x14ac:dyDescent="0.3">
      <c r="A10107" t="s">
        <v>12</v>
      </c>
    </row>
    <row r="10108" spans="1:1" x14ac:dyDescent="0.3">
      <c r="A10108" t="s">
        <v>13</v>
      </c>
    </row>
    <row r="10109" spans="1:1" x14ac:dyDescent="0.3">
      <c r="A10109" t="s">
        <v>2212</v>
      </c>
    </row>
    <row r="10110" spans="1:1" x14ac:dyDescent="0.3">
      <c r="A10110" t="s">
        <v>2667</v>
      </c>
    </row>
    <row r="10111" spans="1:1" x14ac:dyDescent="0.3">
      <c r="A10111" t="s">
        <v>5216</v>
      </c>
    </row>
    <row r="10112" spans="1:1" x14ac:dyDescent="0.3">
      <c r="A10112" t="s">
        <v>4436</v>
      </c>
    </row>
    <row r="10113" spans="1:1" x14ac:dyDescent="0.3">
      <c r="A10113" t="s">
        <v>110</v>
      </c>
    </row>
    <row r="10114" spans="1:1" x14ac:dyDescent="0.3">
      <c r="A10114" t="s">
        <v>1154</v>
      </c>
    </row>
    <row r="10115" spans="1:1" x14ac:dyDescent="0.3">
      <c r="A10115" t="s">
        <v>5217</v>
      </c>
    </row>
    <row r="10116" spans="1:1" x14ac:dyDescent="0.3">
      <c r="A10116" t="s">
        <v>51</v>
      </c>
    </row>
    <row r="10117" spans="1:1" x14ac:dyDescent="0.3">
      <c r="A10117" t="s">
        <v>52</v>
      </c>
    </row>
    <row r="10118" spans="1:1" x14ac:dyDescent="0.3">
      <c r="A10118" t="s">
        <v>79</v>
      </c>
    </row>
    <row r="10120" spans="1:1" x14ac:dyDescent="0.3">
      <c r="A10120" t="s">
        <v>12</v>
      </c>
    </row>
    <row r="10121" spans="1:1" x14ac:dyDescent="0.3">
      <c r="A10121" t="s">
        <v>13</v>
      </c>
    </row>
    <row r="10122" spans="1:1" x14ac:dyDescent="0.3">
      <c r="A10122" t="s">
        <v>2216</v>
      </c>
    </row>
    <row r="10123" spans="1:1" x14ac:dyDescent="0.3">
      <c r="A10123" t="s">
        <v>5218</v>
      </c>
    </row>
    <row r="10124" spans="1:1" x14ac:dyDescent="0.3">
      <c r="A10124" t="s">
        <v>5219</v>
      </c>
    </row>
    <row r="10125" spans="1:1" x14ac:dyDescent="0.3">
      <c r="A10125" t="s">
        <v>4436</v>
      </c>
    </row>
    <row r="10126" spans="1:1" x14ac:dyDescent="0.3">
      <c r="A10126" t="s">
        <v>110</v>
      </c>
    </row>
    <row r="10127" spans="1:1" x14ac:dyDescent="0.3">
      <c r="A10127" t="s">
        <v>1154</v>
      </c>
    </row>
    <row r="10128" spans="1:1" x14ac:dyDescent="0.3">
      <c r="A10128" t="s">
        <v>5220</v>
      </c>
    </row>
    <row r="10129" spans="1:1" x14ac:dyDescent="0.3">
      <c r="A10129" t="s">
        <v>51</v>
      </c>
    </row>
    <row r="10130" spans="1:1" x14ac:dyDescent="0.3">
      <c r="A10130" t="s">
        <v>52</v>
      </c>
    </row>
    <row r="10131" spans="1:1" x14ac:dyDescent="0.3">
      <c r="A10131" t="s">
        <v>79</v>
      </c>
    </row>
    <row r="10133" spans="1:1" x14ac:dyDescent="0.3">
      <c r="A10133" t="s">
        <v>12</v>
      </c>
    </row>
    <row r="10134" spans="1:1" x14ac:dyDescent="0.3">
      <c r="A10134" t="s">
        <v>13</v>
      </c>
    </row>
    <row r="10135" spans="1:1" x14ac:dyDescent="0.3">
      <c r="A10135" t="s">
        <v>2219</v>
      </c>
    </row>
    <row r="10136" spans="1:1" x14ac:dyDescent="0.3">
      <c r="A10136" t="s">
        <v>5221</v>
      </c>
    </row>
    <row r="10137" spans="1:1" x14ac:dyDescent="0.3">
      <c r="A10137" t="s">
        <v>5222</v>
      </c>
    </row>
    <row r="10138" spans="1:1" x14ac:dyDescent="0.3">
      <c r="A10138" t="s">
        <v>4436</v>
      </c>
    </row>
    <row r="10139" spans="1:1" x14ac:dyDescent="0.3">
      <c r="A10139" t="s">
        <v>110</v>
      </c>
    </row>
    <row r="10140" spans="1:1" x14ac:dyDescent="0.3">
      <c r="A10140" t="s">
        <v>5223</v>
      </c>
    </row>
    <row r="10141" spans="1:1" x14ac:dyDescent="0.3">
      <c r="A10141" t="s">
        <v>5224</v>
      </c>
    </row>
    <row r="10142" spans="1:1" x14ac:dyDescent="0.3">
      <c r="A10142" t="s">
        <v>51</v>
      </c>
    </row>
    <row r="10143" spans="1:1" x14ac:dyDescent="0.3">
      <c r="A10143" t="s">
        <v>52</v>
      </c>
    </row>
    <row r="10144" spans="1:1" x14ac:dyDescent="0.3">
      <c r="A10144" t="s">
        <v>79</v>
      </c>
    </row>
    <row r="10146" spans="1:1" x14ac:dyDescent="0.3">
      <c r="A10146" t="s">
        <v>12</v>
      </c>
    </row>
    <row r="10147" spans="1:1" x14ac:dyDescent="0.3">
      <c r="A10147" t="s">
        <v>13</v>
      </c>
    </row>
    <row r="10148" spans="1:1" x14ac:dyDescent="0.3">
      <c r="A10148" t="s">
        <v>2222</v>
      </c>
    </row>
    <row r="10149" spans="1:1" x14ac:dyDescent="0.3">
      <c r="A10149" t="s">
        <v>5225</v>
      </c>
    </row>
    <row r="10150" spans="1:1" x14ac:dyDescent="0.3">
      <c r="A10150" t="s">
        <v>5226</v>
      </c>
    </row>
    <row r="10151" spans="1:1" x14ac:dyDescent="0.3">
      <c r="A10151" t="s">
        <v>4436</v>
      </c>
    </row>
    <row r="10152" spans="1:1" x14ac:dyDescent="0.3">
      <c r="A10152" t="s">
        <v>110</v>
      </c>
    </row>
    <row r="10153" spans="1:1" x14ac:dyDescent="0.3">
      <c r="A10153" t="s">
        <v>1154</v>
      </c>
    </row>
    <row r="10154" spans="1:1" x14ac:dyDescent="0.3">
      <c r="A10154" t="s">
        <v>5227</v>
      </c>
    </row>
    <row r="10155" spans="1:1" x14ac:dyDescent="0.3">
      <c r="A10155" t="s">
        <v>51</v>
      </c>
    </row>
    <row r="10156" spans="1:1" x14ac:dyDescent="0.3">
      <c r="A10156" t="s">
        <v>52</v>
      </c>
    </row>
    <row r="10157" spans="1:1" x14ac:dyDescent="0.3">
      <c r="A10157" t="s">
        <v>79</v>
      </c>
    </row>
    <row r="10159" spans="1:1" x14ac:dyDescent="0.3">
      <c r="A10159" t="s">
        <v>12</v>
      </c>
    </row>
    <row r="10160" spans="1:1" x14ac:dyDescent="0.3">
      <c r="A10160" t="s">
        <v>13</v>
      </c>
    </row>
    <row r="10161" spans="1:1" x14ac:dyDescent="0.3">
      <c r="A10161" t="s">
        <v>2226</v>
      </c>
    </row>
    <row r="10162" spans="1:1" x14ac:dyDescent="0.3">
      <c r="A10162" t="s">
        <v>5228</v>
      </c>
    </row>
    <row r="10163" spans="1:1" x14ac:dyDescent="0.3">
      <c r="A10163" t="s">
        <v>5229</v>
      </c>
    </row>
    <row r="10164" spans="1:1" x14ac:dyDescent="0.3">
      <c r="A10164" t="s">
        <v>4436</v>
      </c>
    </row>
    <row r="10165" spans="1:1" x14ac:dyDescent="0.3">
      <c r="A10165" t="s">
        <v>110</v>
      </c>
    </row>
    <row r="10166" spans="1:1" x14ac:dyDescent="0.3">
      <c r="A10166" t="s">
        <v>5230</v>
      </c>
    </row>
    <row r="10167" spans="1:1" x14ac:dyDescent="0.3">
      <c r="A10167" t="s">
        <v>5231</v>
      </c>
    </row>
    <row r="10168" spans="1:1" x14ac:dyDescent="0.3">
      <c r="A10168" t="s">
        <v>51</v>
      </c>
    </row>
    <row r="10169" spans="1:1" x14ac:dyDescent="0.3">
      <c r="A10169" t="s">
        <v>52</v>
      </c>
    </row>
    <row r="10170" spans="1:1" x14ac:dyDescent="0.3">
      <c r="A10170" t="s">
        <v>79</v>
      </c>
    </row>
    <row r="10172" spans="1:1" x14ac:dyDescent="0.3">
      <c r="A10172" t="s">
        <v>12</v>
      </c>
    </row>
    <row r="10173" spans="1:1" x14ac:dyDescent="0.3">
      <c r="A10173" t="s">
        <v>13</v>
      </c>
    </row>
    <row r="10174" spans="1:1" x14ac:dyDescent="0.3">
      <c r="A10174" t="s">
        <v>2230</v>
      </c>
    </row>
    <row r="10175" spans="1:1" x14ac:dyDescent="0.3">
      <c r="A10175" t="s">
        <v>5232</v>
      </c>
    </row>
    <row r="10176" spans="1:1" x14ac:dyDescent="0.3">
      <c r="A10176" t="s">
        <v>5233</v>
      </c>
    </row>
    <row r="10177" spans="1:1" x14ac:dyDescent="0.3">
      <c r="A10177" t="s">
        <v>4436</v>
      </c>
    </row>
    <row r="10178" spans="1:1" x14ac:dyDescent="0.3">
      <c r="A10178" t="s">
        <v>110</v>
      </c>
    </row>
    <row r="10179" spans="1:1" x14ac:dyDescent="0.3">
      <c r="A10179" t="s">
        <v>1154</v>
      </c>
    </row>
    <row r="10180" spans="1:1" x14ac:dyDescent="0.3">
      <c r="A10180" t="s">
        <v>5234</v>
      </c>
    </row>
    <row r="10181" spans="1:1" x14ac:dyDescent="0.3">
      <c r="A10181" t="s">
        <v>51</v>
      </c>
    </row>
    <row r="10182" spans="1:1" x14ac:dyDescent="0.3">
      <c r="A10182" t="s">
        <v>52</v>
      </c>
    </row>
    <row r="10183" spans="1:1" x14ac:dyDescent="0.3">
      <c r="A10183" t="s">
        <v>79</v>
      </c>
    </row>
    <row r="10185" spans="1:1" x14ac:dyDescent="0.3">
      <c r="A10185" t="s">
        <v>12</v>
      </c>
    </row>
    <row r="10186" spans="1:1" x14ac:dyDescent="0.3">
      <c r="A10186" t="s">
        <v>13</v>
      </c>
    </row>
    <row r="10187" spans="1:1" x14ac:dyDescent="0.3">
      <c r="A10187" t="s">
        <v>2234</v>
      </c>
    </row>
    <row r="10188" spans="1:1" x14ac:dyDescent="0.3">
      <c r="A10188" t="s">
        <v>5235</v>
      </c>
    </row>
    <row r="10189" spans="1:1" x14ac:dyDescent="0.3">
      <c r="A10189" t="s">
        <v>5236</v>
      </c>
    </row>
    <row r="10190" spans="1:1" x14ac:dyDescent="0.3">
      <c r="A10190" t="s">
        <v>4436</v>
      </c>
    </row>
    <row r="10191" spans="1:1" x14ac:dyDescent="0.3">
      <c r="A10191" t="s">
        <v>110</v>
      </c>
    </row>
    <row r="10192" spans="1:1" x14ac:dyDescent="0.3">
      <c r="A10192" t="s">
        <v>5237</v>
      </c>
    </row>
    <row r="10193" spans="1:1" x14ac:dyDescent="0.3">
      <c r="A10193" t="s">
        <v>5238</v>
      </c>
    </row>
    <row r="10194" spans="1:1" x14ac:dyDescent="0.3">
      <c r="A10194" t="s">
        <v>51</v>
      </c>
    </row>
    <row r="10195" spans="1:1" x14ac:dyDescent="0.3">
      <c r="A10195" t="s">
        <v>52</v>
      </c>
    </row>
    <row r="10196" spans="1:1" x14ac:dyDescent="0.3">
      <c r="A10196" t="s">
        <v>79</v>
      </c>
    </row>
    <row r="10198" spans="1:1" x14ac:dyDescent="0.3">
      <c r="A10198" t="s">
        <v>12</v>
      </c>
    </row>
    <row r="10199" spans="1:1" x14ac:dyDescent="0.3">
      <c r="A10199" t="s">
        <v>13</v>
      </c>
    </row>
    <row r="10200" spans="1:1" x14ac:dyDescent="0.3">
      <c r="A10200" t="s">
        <v>2238</v>
      </c>
    </row>
    <row r="10201" spans="1:1" x14ac:dyDescent="0.3">
      <c r="A10201" t="s">
        <v>5239</v>
      </c>
    </row>
    <row r="10202" spans="1:1" x14ac:dyDescent="0.3">
      <c r="A10202" t="s">
        <v>5240</v>
      </c>
    </row>
    <row r="10203" spans="1:1" x14ac:dyDescent="0.3">
      <c r="A10203" t="s">
        <v>4436</v>
      </c>
    </row>
    <row r="10204" spans="1:1" x14ac:dyDescent="0.3">
      <c r="A10204" t="s">
        <v>110</v>
      </c>
    </row>
    <row r="10205" spans="1:1" x14ac:dyDescent="0.3">
      <c r="A10205" t="s">
        <v>1154</v>
      </c>
    </row>
    <row r="10206" spans="1:1" x14ac:dyDescent="0.3">
      <c r="A10206" t="s">
        <v>5241</v>
      </c>
    </row>
    <row r="10207" spans="1:1" x14ac:dyDescent="0.3">
      <c r="A10207" t="s">
        <v>51</v>
      </c>
    </row>
    <row r="10208" spans="1:1" x14ac:dyDescent="0.3">
      <c r="A10208" t="s">
        <v>52</v>
      </c>
    </row>
    <row r="10209" spans="1:1" x14ac:dyDescent="0.3">
      <c r="A10209" t="s">
        <v>79</v>
      </c>
    </row>
    <row r="10211" spans="1:1" x14ac:dyDescent="0.3">
      <c r="A10211" t="s">
        <v>12</v>
      </c>
    </row>
    <row r="10212" spans="1:1" x14ac:dyDescent="0.3">
      <c r="A10212" t="s">
        <v>13</v>
      </c>
    </row>
    <row r="10213" spans="1:1" x14ac:dyDescent="0.3">
      <c r="A10213" t="s">
        <v>2242</v>
      </c>
    </row>
    <row r="10214" spans="1:1" x14ac:dyDescent="0.3">
      <c r="A10214" t="s">
        <v>5242</v>
      </c>
    </row>
    <row r="10215" spans="1:1" x14ac:dyDescent="0.3">
      <c r="A10215" t="s">
        <v>5243</v>
      </c>
    </row>
    <row r="10216" spans="1:1" x14ac:dyDescent="0.3">
      <c r="A10216" t="s">
        <v>4436</v>
      </c>
    </row>
    <row r="10217" spans="1:1" x14ac:dyDescent="0.3">
      <c r="A10217" t="s">
        <v>110</v>
      </c>
    </row>
    <row r="10218" spans="1:1" x14ac:dyDescent="0.3">
      <c r="A10218" t="s">
        <v>1154</v>
      </c>
    </row>
    <row r="10219" spans="1:1" x14ac:dyDescent="0.3">
      <c r="A10219" t="s">
        <v>5244</v>
      </c>
    </row>
    <row r="10220" spans="1:1" x14ac:dyDescent="0.3">
      <c r="A10220" t="s">
        <v>51</v>
      </c>
    </row>
    <row r="10221" spans="1:1" x14ac:dyDescent="0.3">
      <c r="A10221" t="s">
        <v>52</v>
      </c>
    </row>
    <row r="10222" spans="1:1" x14ac:dyDescent="0.3">
      <c r="A10222" t="s">
        <v>79</v>
      </c>
    </row>
    <row r="10224" spans="1:1" x14ac:dyDescent="0.3">
      <c r="A10224" t="s">
        <v>12</v>
      </c>
    </row>
    <row r="10225" spans="1:1" x14ac:dyDescent="0.3">
      <c r="A10225" t="s">
        <v>13</v>
      </c>
    </row>
    <row r="10226" spans="1:1" x14ac:dyDescent="0.3">
      <c r="A10226" t="s">
        <v>2248</v>
      </c>
    </row>
    <row r="10227" spans="1:1" x14ac:dyDescent="0.3">
      <c r="A10227" t="s">
        <v>5245</v>
      </c>
    </row>
    <row r="10228" spans="1:1" x14ac:dyDescent="0.3">
      <c r="A10228" t="s">
        <v>5246</v>
      </c>
    </row>
    <row r="10229" spans="1:1" x14ac:dyDescent="0.3">
      <c r="A10229" t="s">
        <v>4436</v>
      </c>
    </row>
    <row r="10230" spans="1:1" x14ac:dyDescent="0.3">
      <c r="A10230" t="s">
        <v>110</v>
      </c>
    </row>
    <row r="10231" spans="1:1" x14ac:dyDescent="0.3">
      <c r="A10231" t="s">
        <v>5247</v>
      </c>
    </row>
    <row r="10232" spans="1:1" x14ac:dyDescent="0.3">
      <c r="A10232" t="s">
        <v>5248</v>
      </c>
    </row>
    <row r="10233" spans="1:1" x14ac:dyDescent="0.3">
      <c r="A10233" t="s">
        <v>51</v>
      </c>
    </row>
    <row r="10234" spans="1:1" x14ac:dyDescent="0.3">
      <c r="A10234" t="s">
        <v>52</v>
      </c>
    </row>
    <row r="10235" spans="1:1" x14ac:dyDescent="0.3">
      <c r="A10235" t="s">
        <v>79</v>
      </c>
    </row>
    <row r="10237" spans="1:1" x14ac:dyDescent="0.3">
      <c r="A10237" t="s">
        <v>12</v>
      </c>
    </row>
    <row r="10238" spans="1:1" x14ac:dyDescent="0.3">
      <c r="A10238" t="s">
        <v>13</v>
      </c>
    </row>
    <row r="10239" spans="1:1" x14ac:dyDescent="0.3">
      <c r="A10239" t="s">
        <v>2256</v>
      </c>
    </row>
    <row r="10240" spans="1:1" x14ac:dyDescent="0.3">
      <c r="A10240" t="s">
        <v>5249</v>
      </c>
    </row>
    <row r="10241" spans="1:1" x14ac:dyDescent="0.3">
      <c r="A10241" t="s">
        <v>5250</v>
      </c>
    </row>
    <row r="10242" spans="1:1" x14ac:dyDescent="0.3">
      <c r="A10242" t="s">
        <v>4436</v>
      </c>
    </row>
    <row r="10243" spans="1:1" x14ac:dyDescent="0.3">
      <c r="A10243" t="s">
        <v>110</v>
      </c>
    </row>
    <row r="10244" spans="1:1" x14ac:dyDescent="0.3">
      <c r="A10244" t="s">
        <v>5251</v>
      </c>
    </row>
    <row r="10245" spans="1:1" x14ac:dyDescent="0.3">
      <c r="A10245" t="s">
        <v>5252</v>
      </c>
    </row>
    <row r="10246" spans="1:1" x14ac:dyDescent="0.3">
      <c r="A10246" t="s">
        <v>51</v>
      </c>
    </row>
    <row r="10247" spans="1:1" x14ac:dyDescent="0.3">
      <c r="A10247" t="s">
        <v>52</v>
      </c>
    </row>
    <row r="10248" spans="1:1" x14ac:dyDescent="0.3">
      <c r="A10248" t="s">
        <v>79</v>
      </c>
    </row>
    <row r="10250" spans="1:1" x14ac:dyDescent="0.3">
      <c r="A10250" t="s">
        <v>12</v>
      </c>
    </row>
    <row r="10251" spans="1:1" x14ac:dyDescent="0.3">
      <c r="A10251" t="s">
        <v>13</v>
      </c>
    </row>
    <row r="10252" spans="1:1" x14ac:dyDescent="0.3">
      <c r="A10252" t="s">
        <v>2259</v>
      </c>
    </row>
    <row r="10253" spans="1:1" x14ac:dyDescent="0.3">
      <c r="A10253" t="s">
        <v>4829</v>
      </c>
    </row>
    <row r="10254" spans="1:1" x14ac:dyDescent="0.3">
      <c r="A10254" t="s">
        <v>5253</v>
      </c>
    </row>
    <row r="10255" spans="1:1" x14ac:dyDescent="0.3">
      <c r="A10255" t="s">
        <v>4436</v>
      </c>
    </row>
    <row r="10256" spans="1:1" x14ac:dyDescent="0.3">
      <c r="A10256" t="s">
        <v>110</v>
      </c>
    </row>
    <row r="10257" spans="1:1" x14ac:dyDescent="0.3">
      <c r="A10257" t="s">
        <v>4831</v>
      </c>
    </row>
    <row r="10258" spans="1:1" x14ac:dyDescent="0.3">
      <c r="A10258" t="s">
        <v>5254</v>
      </c>
    </row>
    <row r="10259" spans="1:1" x14ac:dyDescent="0.3">
      <c r="A10259" t="s">
        <v>51</v>
      </c>
    </row>
    <row r="10260" spans="1:1" x14ac:dyDescent="0.3">
      <c r="A10260" t="s">
        <v>52</v>
      </c>
    </row>
    <row r="10261" spans="1:1" x14ac:dyDescent="0.3">
      <c r="A10261" t="s">
        <v>79</v>
      </c>
    </row>
    <row r="10263" spans="1:1" x14ac:dyDescent="0.3">
      <c r="A10263" t="s">
        <v>12</v>
      </c>
    </row>
    <row r="10264" spans="1:1" x14ac:dyDescent="0.3">
      <c r="A10264" t="s">
        <v>13</v>
      </c>
    </row>
    <row r="10265" spans="1:1" x14ac:dyDescent="0.3">
      <c r="A10265" t="s">
        <v>2267</v>
      </c>
    </row>
    <row r="10266" spans="1:1" x14ac:dyDescent="0.3">
      <c r="A10266" t="s">
        <v>4702</v>
      </c>
    </row>
    <row r="10267" spans="1:1" x14ac:dyDescent="0.3">
      <c r="A10267" t="s">
        <v>5255</v>
      </c>
    </row>
    <row r="10268" spans="1:1" x14ac:dyDescent="0.3">
      <c r="A10268" t="s">
        <v>4436</v>
      </c>
    </row>
    <row r="10269" spans="1:1" x14ac:dyDescent="0.3">
      <c r="A10269" t="s">
        <v>110</v>
      </c>
    </row>
    <row r="10270" spans="1:1" x14ac:dyDescent="0.3">
      <c r="A10270" t="s">
        <v>4704</v>
      </c>
    </row>
    <row r="10271" spans="1:1" x14ac:dyDescent="0.3">
      <c r="A10271" t="s">
        <v>5256</v>
      </c>
    </row>
    <row r="10272" spans="1:1" x14ac:dyDescent="0.3">
      <c r="A10272" t="s">
        <v>51</v>
      </c>
    </row>
    <row r="10273" spans="1:1" x14ac:dyDescent="0.3">
      <c r="A10273" t="s">
        <v>52</v>
      </c>
    </row>
    <row r="10274" spans="1:1" x14ac:dyDescent="0.3">
      <c r="A10274" t="s">
        <v>79</v>
      </c>
    </row>
    <row r="10276" spans="1:1" x14ac:dyDescent="0.3">
      <c r="A10276" t="s">
        <v>12</v>
      </c>
    </row>
    <row r="10277" spans="1:1" x14ac:dyDescent="0.3">
      <c r="A10277" t="s">
        <v>13</v>
      </c>
    </row>
    <row r="10278" spans="1:1" x14ac:dyDescent="0.3">
      <c r="A10278" t="s">
        <v>2274</v>
      </c>
    </row>
    <row r="10279" spans="1:1" x14ac:dyDescent="0.3">
      <c r="A10279" t="s">
        <v>5257</v>
      </c>
    </row>
    <row r="10280" spans="1:1" x14ac:dyDescent="0.3">
      <c r="A10280" t="s">
        <v>5258</v>
      </c>
    </row>
    <row r="10281" spans="1:1" x14ac:dyDescent="0.3">
      <c r="A10281" t="s">
        <v>4436</v>
      </c>
    </row>
    <row r="10282" spans="1:1" x14ac:dyDescent="0.3">
      <c r="A10282" t="s">
        <v>110</v>
      </c>
    </row>
    <row r="10283" spans="1:1" x14ac:dyDescent="0.3">
      <c r="A10283" t="s">
        <v>1154</v>
      </c>
    </row>
    <row r="10284" spans="1:1" x14ac:dyDescent="0.3">
      <c r="A10284" t="s">
        <v>5259</v>
      </c>
    </row>
    <row r="10285" spans="1:1" x14ac:dyDescent="0.3">
      <c r="A10285" t="s">
        <v>51</v>
      </c>
    </row>
    <row r="10286" spans="1:1" x14ac:dyDescent="0.3">
      <c r="A10286" t="s">
        <v>52</v>
      </c>
    </row>
    <row r="10287" spans="1:1" x14ac:dyDescent="0.3">
      <c r="A10287" t="s">
        <v>79</v>
      </c>
    </row>
    <row r="10288" spans="1:1" x14ac:dyDescent="0.3">
      <c r="A10288" t="s">
        <v>98</v>
      </c>
    </row>
    <row r="10289" spans="1:1" x14ac:dyDescent="0.3">
      <c r="A10289" t="s">
        <v>13</v>
      </c>
    </row>
    <row r="10290" spans="1:1" x14ac:dyDescent="0.3">
      <c r="A10290" t="s">
        <v>106</v>
      </c>
    </row>
    <row r="10291" spans="1:1" x14ac:dyDescent="0.3">
      <c r="A10291" t="s">
        <v>5260</v>
      </c>
    </row>
    <row r="10292" spans="1:1" x14ac:dyDescent="0.3">
      <c r="A10292" t="s">
        <v>1157</v>
      </c>
    </row>
    <row r="10293" spans="1:1" x14ac:dyDescent="0.3">
      <c r="A10293" t="s">
        <v>5261</v>
      </c>
    </row>
    <row r="10294" spans="1:1" x14ac:dyDescent="0.3">
      <c r="A10294" t="s">
        <v>12</v>
      </c>
    </row>
    <row r="10295" spans="1:1" x14ac:dyDescent="0.3">
      <c r="A10295" t="s">
        <v>40</v>
      </c>
    </row>
    <row r="10297" spans="1:1" x14ac:dyDescent="0.3">
      <c r="A10297" t="s">
        <v>12</v>
      </c>
    </row>
    <row r="10298" spans="1:1" x14ac:dyDescent="0.3">
      <c r="A10298" t="s">
        <v>13</v>
      </c>
    </row>
    <row r="10299" spans="1:1" x14ac:dyDescent="0.3">
      <c r="A10299" t="s">
        <v>2277</v>
      </c>
    </row>
    <row r="10300" spans="1:1" x14ac:dyDescent="0.3">
      <c r="A10300" t="s">
        <v>5262</v>
      </c>
    </row>
    <row r="10301" spans="1:1" x14ac:dyDescent="0.3">
      <c r="A10301" t="s">
        <v>5263</v>
      </c>
    </row>
    <row r="10302" spans="1:1" x14ac:dyDescent="0.3">
      <c r="A10302" t="s">
        <v>4436</v>
      </c>
    </row>
    <row r="10303" spans="1:1" x14ac:dyDescent="0.3">
      <c r="A10303" t="s">
        <v>110</v>
      </c>
    </row>
    <row r="10304" spans="1:1" x14ac:dyDescent="0.3">
      <c r="A10304" t="s">
        <v>5264</v>
      </c>
    </row>
    <row r="10305" spans="1:1" x14ac:dyDescent="0.3">
      <c r="A10305" t="s">
        <v>5265</v>
      </c>
    </row>
    <row r="10306" spans="1:1" x14ac:dyDescent="0.3">
      <c r="A10306" t="s">
        <v>51</v>
      </c>
    </row>
    <row r="10307" spans="1:1" x14ac:dyDescent="0.3">
      <c r="A10307" t="s">
        <v>52</v>
      </c>
    </row>
    <row r="10308" spans="1:1" x14ac:dyDescent="0.3">
      <c r="A10308" t="s">
        <v>79</v>
      </c>
    </row>
    <row r="10309" spans="1:1" x14ac:dyDescent="0.3">
      <c r="A10309" t="s">
        <v>98</v>
      </c>
    </row>
    <row r="10310" spans="1:1" x14ac:dyDescent="0.3">
      <c r="A10310" t="s">
        <v>13</v>
      </c>
    </row>
    <row r="10311" spans="1:1" x14ac:dyDescent="0.3">
      <c r="A10311" t="s">
        <v>105</v>
      </c>
    </row>
    <row r="10312" spans="1:1" x14ac:dyDescent="0.3">
      <c r="A10312" t="s">
        <v>5266</v>
      </c>
    </row>
    <row r="10313" spans="1:1" x14ac:dyDescent="0.3">
      <c r="A10313" t="s">
        <v>1157</v>
      </c>
    </row>
    <row r="10314" spans="1:1" x14ac:dyDescent="0.3">
      <c r="A10314" t="s">
        <v>4934</v>
      </c>
    </row>
    <row r="10315" spans="1:1" x14ac:dyDescent="0.3">
      <c r="A10315" t="s">
        <v>12</v>
      </c>
    </row>
    <row r="10316" spans="1:1" x14ac:dyDescent="0.3">
      <c r="A10316" t="s">
        <v>13</v>
      </c>
    </row>
    <row r="10317" spans="1:1" x14ac:dyDescent="0.3">
      <c r="A10317" t="s">
        <v>106</v>
      </c>
    </row>
    <row r="10318" spans="1:1" x14ac:dyDescent="0.3">
      <c r="A10318" t="s">
        <v>5267</v>
      </c>
    </row>
    <row r="10319" spans="1:1" x14ac:dyDescent="0.3">
      <c r="A10319" t="s">
        <v>1157</v>
      </c>
    </row>
    <row r="10320" spans="1:1" x14ac:dyDescent="0.3">
      <c r="A10320" t="s">
        <v>5268</v>
      </c>
    </row>
    <row r="10321" spans="1:1" x14ac:dyDescent="0.3">
      <c r="A10321" t="s">
        <v>12</v>
      </c>
    </row>
    <row r="10322" spans="1:1" x14ac:dyDescent="0.3">
      <c r="A10322" t="s">
        <v>40</v>
      </c>
    </row>
    <row r="10324" spans="1:1" x14ac:dyDescent="0.3">
      <c r="A10324" t="s">
        <v>12</v>
      </c>
    </row>
    <row r="10325" spans="1:1" x14ac:dyDescent="0.3">
      <c r="A10325" t="s">
        <v>13</v>
      </c>
    </row>
    <row r="10326" spans="1:1" x14ac:dyDescent="0.3">
      <c r="A10326" t="s">
        <v>2285</v>
      </c>
    </row>
    <row r="10327" spans="1:1" x14ac:dyDescent="0.3">
      <c r="A10327" t="s">
        <v>5269</v>
      </c>
    </row>
    <row r="10328" spans="1:1" x14ac:dyDescent="0.3">
      <c r="A10328" t="s">
        <v>5270</v>
      </c>
    </row>
    <row r="10329" spans="1:1" x14ac:dyDescent="0.3">
      <c r="A10329" t="s">
        <v>4436</v>
      </c>
    </row>
    <row r="10330" spans="1:1" x14ac:dyDescent="0.3">
      <c r="A10330" t="s">
        <v>110</v>
      </c>
    </row>
    <row r="10331" spans="1:1" x14ac:dyDescent="0.3">
      <c r="A10331" t="s">
        <v>5271</v>
      </c>
    </row>
    <row r="10332" spans="1:1" x14ac:dyDescent="0.3">
      <c r="A10332" t="s">
        <v>5272</v>
      </c>
    </row>
    <row r="10333" spans="1:1" x14ac:dyDescent="0.3">
      <c r="A10333" t="s">
        <v>51</v>
      </c>
    </row>
    <row r="10334" spans="1:1" x14ac:dyDescent="0.3">
      <c r="A10334" t="s">
        <v>52</v>
      </c>
    </row>
    <row r="10335" spans="1:1" x14ac:dyDescent="0.3">
      <c r="A10335" t="s">
        <v>79</v>
      </c>
    </row>
    <row r="10337" spans="1:1" x14ac:dyDescent="0.3">
      <c r="A10337" t="s">
        <v>12</v>
      </c>
    </row>
    <row r="10338" spans="1:1" x14ac:dyDescent="0.3">
      <c r="A10338" t="s">
        <v>40</v>
      </c>
    </row>
    <row r="10339" spans="1:1" x14ac:dyDescent="0.3">
      <c r="A10339" t="s">
        <v>12</v>
      </c>
    </row>
    <row r="10340" spans="1:1" x14ac:dyDescent="0.3">
      <c r="A10340" t="s">
        <v>13</v>
      </c>
    </row>
    <row r="10341" spans="1:1" x14ac:dyDescent="0.3">
      <c r="A10341" t="s">
        <v>5273</v>
      </c>
    </row>
    <row r="10342" spans="1:1" x14ac:dyDescent="0.3">
      <c r="A10342" t="s">
        <v>5274</v>
      </c>
    </row>
    <row r="10343" spans="1:1" x14ac:dyDescent="0.3">
      <c r="A10343" t="s">
        <v>39</v>
      </c>
    </row>
    <row r="10344" spans="1:1" x14ac:dyDescent="0.3">
      <c r="A10344" t="s">
        <v>13</v>
      </c>
    </row>
    <row r="10345" spans="1:1" x14ac:dyDescent="0.3">
      <c r="A10345" t="s">
        <v>50</v>
      </c>
    </row>
    <row r="10346" spans="1:1" x14ac:dyDescent="0.3">
      <c r="A10346" t="s">
        <v>5275</v>
      </c>
    </row>
    <row r="10347" spans="1:1" x14ac:dyDescent="0.3">
      <c r="A10347" t="s">
        <v>5276</v>
      </c>
    </row>
    <row r="10348" spans="1:1" x14ac:dyDescent="0.3">
      <c r="A10348" t="s">
        <v>4436</v>
      </c>
    </row>
    <row r="10349" spans="1:1" x14ac:dyDescent="0.3">
      <c r="A10349" t="s">
        <v>110</v>
      </c>
    </row>
    <row r="10350" spans="1:1" x14ac:dyDescent="0.3">
      <c r="A10350" t="s">
        <v>1154</v>
      </c>
    </row>
    <row r="10351" spans="1:1" x14ac:dyDescent="0.3">
      <c r="A10351" t="s">
        <v>5277</v>
      </c>
    </row>
    <row r="10352" spans="1:1" x14ac:dyDescent="0.3">
      <c r="A10352" t="s">
        <v>51</v>
      </c>
    </row>
    <row r="10353" spans="1:1" x14ac:dyDescent="0.3">
      <c r="A10353" t="s">
        <v>52</v>
      </c>
    </row>
    <row r="10354" spans="1:1" x14ac:dyDescent="0.3">
      <c r="A10354" t="s">
        <v>79</v>
      </c>
    </row>
    <row r="10356" spans="1:1" x14ac:dyDescent="0.3">
      <c r="A10356" t="s">
        <v>12</v>
      </c>
    </row>
    <row r="10357" spans="1:1" x14ac:dyDescent="0.3">
      <c r="A10357" t="s">
        <v>13</v>
      </c>
    </row>
    <row r="10358" spans="1:1" x14ac:dyDescent="0.3">
      <c r="A10358" t="s">
        <v>53</v>
      </c>
    </row>
    <row r="10359" spans="1:1" x14ac:dyDescent="0.3">
      <c r="A10359" t="s">
        <v>5278</v>
      </c>
    </row>
    <row r="10360" spans="1:1" x14ac:dyDescent="0.3">
      <c r="A10360" t="s">
        <v>5279</v>
      </c>
    </row>
    <row r="10361" spans="1:1" x14ac:dyDescent="0.3">
      <c r="A10361" t="s">
        <v>4436</v>
      </c>
    </row>
    <row r="10362" spans="1:1" x14ac:dyDescent="0.3">
      <c r="A10362" t="s">
        <v>110</v>
      </c>
    </row>
    <row r="10363" spans="1:1" x14ac:dyDescent="0.3">
      <c r="A10363" t="s">
        <v>1154</v>
      </c>
    </row>
    <row r="10364" spans="1:1" x14ac:dyDescent="0.3">
      <c r="A10364" t="s">
        <v>5280</v>
      </c>
    </row>
    <row r="10365" spans="1:1" x14ac:dyDescent="0.3">
      <c r="A10365" t="s">
        <v>51</v>
      </c>
    </row>
    <row r="10366" spans="1:1" x14ac:dyDescent="0.3">
      <c r="A10366" t="s">
        <v>52</v>
      </c>
    </row>
    <row r="10367" spans="1:1" x14ac:dyDescent="0.3">
      <c r="A10367" t="s">
        <v>79</v>
      </c>
    </row>
    <row r="10369" spans="1:1" x14ac:dyDescent="0.3">
      <c r="A10369" t="s">
        <v>12</v>
      </c>
    </row>
    <row r="10370" spans="1:1" x14ac:dyDescent="0.3">
      <c r="A10370" t="s">
        <v>13</v>
      </c>
    </row>
    <row r="10371" spans="1:1" x14ac:dyDescent="0.3">
      <c r="A10371" t="s">
        <v>54</v>
      </c>
    </row>
    <row r="10372" spans="1:1" x14ac:dyDescent="0.3">
      <c r="A10372" t="s">
        <v>5281</v>
      </c>
    </row>
    <row r="10373" spans="1:1" x14ac:dyDescent="0.3">
      <c r="A10373" t="s">
        <v>5282</v>
      </c>
    </row>
    <row r="10374" spans="1:1" x14ac:dyDescent="0.3">
      <c r="A10374" t="s">
        <v>4436</v>
      </c>
    </row>
    <row r="10375" spans="1:1" x14ac:dyDescent="0.3">
      <c r="A10375" t="s">
        <v>110</v>
      </c>
    </row>
    <row r="10376" spans="1:1" x14ac:dyDescent="0.3">
      <c r="A10376" t="s">
        <v>1154</v>
      </c>
    </row>
    <row r="10377" spans="1:1" x14ac:dyDescent="0.3">
      <c r="A10377" t="s">
        <v>5283</v>
      </c>
    </row>
    <row r="10378" spans="1:1" x14ac:dyDescent="0.3">
      <c r="A10378" t="s">
        <v>51</v>
      </c>
    </row>
    <row r="10379" spans="1:1" x14ac:dyDescent="0.3">
      <c r="A10379" t="s">
        <v>52</v>
      </c>
    </row>
    <row r="10380" spans="1:1" x14ac:dyDescent="0.3">
      <c r="A10380" t="s">
        <v>79</v>
      </c>
    </row>
    <row r="10381" spans="1:1" x14ac:dyDescent="0.3">
      <c r="A10381" t="s">
        <v>98</v>
      </c>
    </row>
    <row r="10382" spans="1:1" x14ac:dyDescent="0.3">
      <c r="A10382" t="s">
        <v>13</v>
      </c>
    </row>
    <row r="10383" spans="1:1" x14ac:dyDescent="0.3">
      <c r="A10383" t="s">
        <v>105</v>
      </c>
    </row>
    <row r="10384" spans="1:1" x14ac:dyDescent="0.3">
      <c r="A10384" t="s">
        <v>5284</v>
      </c>
    </row>
    <row r="10385" spans="1:1" x14ac:dyDescent="0.3">
      <c r="A10385" t="s">
        <v>1157</v>
      </c>
    </row>
    <row r="10386" spans="1:1" x14ac:dyDescent="0.3">
      <c r="A10386" t="s">
        <v>5285</v>
      </c>
    </row>
    <row r="10387" spans="1:1" x14ac:dyDescent="0.3">
      <c r="A10387" t="s">
        <v>12</v>
      </c>
    </row>
    <row r="10388" spans="1:1" x14ac:dyDescent="0.3">
      <c r="A10388" t="s">
        <v>13</v>
      </c>
    </row>
    <row r="10389" spans="1:1" x14ac:dyDescent="0.3">
      <c r="A10389" t="s">
        <v>106</v>
      </c>
    </row>
    <row r="10390" spans="1:1" x14ac:dyDescent="0.3">
      <c r="A10390" t="s">
        <v>5286</v>
      </c>
    </row>
    <row r="10391" spans="1:1" x14ac:dyDescent="0.3">
      <c r="A10391" t="s">
        <v>1157</v>
      </c>
    </row>
    <row r="10392" spans="1:1" x14ac:dyDescent="0.3">
      <c r="A10392" t="s">
        <v>5287</v>
      </c>
    </row>
    <row r="10393" spans="1:1" x14ac:dyDescent="0.3">
      <c r="A10393" t="s">
        <v>12</v>
      </c>
    </row>
    <row r="10394" spans="1:1" x14ac:dyDescent="0.3">
      <c r="A10394" t="s">
        <v>40</v>
      </c>
    </row>
    <row r="10396" spans="1:1" x14ac:dyDescent="0.3">
      <c r="A10396" t="s">
        <v>12</v>
      </c>
    </row>
    <row r="10397" spans="1:1" x14ac:dyDescent="0.3">
      <c r="A10397" t="s">
        <v>13</v>
      </c>
    </row>
    <row r="10398" spans="1:1" x14ac:dyDescent="0.3">
      <c r="A10398" t="s">
        <v>107</v>
      </c>
    </row>
    <row r="10399" spans="1:1" x14ac:dyDescent="0.3">
      <c r="A10399" t="s">
        <v>5288</v>
      </c>
    </row>
    <row r="10400" spans="1:1" x14ac:dyDescent="0.3">
      <c r="A10400" t="s">
        <v>5289</v>
      </c>
    </row>
    <row r="10401" spans="1:1" x14ac:dyDescent="0.3">
      <c r="A10401" t="s">
        <v>4436</v>
      </c>
    </row>
    <row r="10402" spans="1:1" x14ac:dyDescent="0.3">
      <c r="A10402" t="s">
        <v>110</v>
      </c>
    </row>
    <row r="10403" spans="1:1" x14ac:dyDescent="0.3">
      <c r="A10403" t="s">
        <v>1154</v>
      </c>
    </row>
    <row r="10404" spans="1:1" x14ac:dyDescent="0.3">
      <c r="A10404" t="s">
        <v>5290</v>
      </c>
    </row>
    <row r="10405" spans="1:1" x14ac:dyDescent="0.3">
      <c r="A10405" t="s">
        <v>51</v>
      </c>
    </row>
    <row r="10406" spans="1:1" x14ac:dyDescent="0.3">
      <c r="A10406" t="s">
        <v>52</v>
      </c>
    </row>
    <row r="10407" spans="1:1" x14ac:dyDescent="0.3">
      <c r="A10407" t="s">
        <v>79</v>
      </c>
    </row>
    <row r="10408" spans="1:1" x14ac:dyDescent="0.3">
      <c r="A10408" t="s">
        <v>98</v>
      </c>
    </row>
    <row r="10409" spans="1:1" x14ac:dyDescent="0.3">
      <c r="A10409" t="s">
        <v>13</v>
      </c>
    </row>
    <row r="10410" spans="1:1" x14ac:dyDescent="0.3">
      <c r="A10410" t="s">
        <v>105</v>
      </c>
    </row>
    <row r="10411" spans="1:1" x14ac:dyDescent="0.3">
      <c r="A10411" t="s">
        <v>5291</v>
      </c>
    </row>
    <row r="10412" spans="1:1" x14ac:dyDescent="0.3">
      <c r="A10412" t="s">
        <v>1157</v>
      </c>
    </row>
    <row r="10413" spans="1:1" x14ac:dyDescent="0.3">
      <c r="A10413" t="s">
        <v>5292</v>
      </c>
    </row>
    <row r="10414" spans="1:1" x14ac:dyDescent="0.3">
      <c r="A10414" t="s">
        <v>12</v>
      </c>
    </row>
    <row r="10415" spans="1:1" x14ac:dyDescent="0.3">
      <c r="A10415" t="s">
        <v>13</v>
      </c>
    </row>
    <row r="10416" spans="1:1" x14ac:dyDescent="0.3">
      <c r="A10416" t="s">
        <v>106</v>
      </c>
    </row>
    <row r="10417" spans="1:1" x14ac:dyDescent="0.3">
      <c r="A10417" t="s">
        <v>5293</v>
      </c>
    </row>
    <row r="10418" spans="1:1" x14ac:dyDescent="0.3">
      <c r="A10418" t="s">
        <v>1157</v>
      </c>
    </row>
    <row r="10419" spans="1:1" x14ac:dyDescent="0.3">
      <c r="A10419" t="s">
        <v>5294</v>
      </c>
    </row>
    <row r="10420" spans="1:1" x14ac:dyDescent="0.3">
      <c r="A10420" t="s">
        <v>12</v>
      </c>
    </row>
    <row r="10421" spans="1:1" x14ac:dyDescent="0.3">
      <c r="A10421" t="s">
        <v>40</v>
      </c>
    </row>
    <row r="10423" spans="1:1" x14ac:dyDescent="0.3">
      <c r="A10423" t="s">
        <v>12</v>
      </c>
    </row>
    <row r="10424" spans="1:1" x14ac:dyDescent="0.3">
      <c r="A10424" t="s">
        <v>13</v>
      </c>
    </row>
    <row r="10425" spans="1:1" x14ac:dyDescent="0.3">
      <c r="A10425" t="s">
        <v>108</v>
      </c>
    </row>
    <row r="10426" spans="1:1" x14ac:dyDescent="0.3">
      <c r="A10426" t="s">
        <v>5295</v>
      </c>
    </row>
    <row r="10427" spans="1:1" x14ac:dyDescent="0.3">
      <c r="A10427" t="s">
        <v>5296</v>
      </c>
    </row>
    <row r="10428" spans="1:1" x14ac:dyDescent="0.3">
      <c r="A10428" t="s">
        <v>4436</v>
      </c>
    </row>
    <row r="10429" spans="1:1" x14ac:dyDescent="0.3">
      <c r="A10429" t="s">
        <v>110</v>
      </c>
    </row>
    <row r="10430" spans="1:1" x14ac:dyDescent="0.3">
      <c r="A10430" t="s">
        <v>1154</v>
      </c>
    </row>
    <row r="10431" spans="1:1" x14ac:dyDescent="0.3">
      <c r="A10431" t="s">
        <v>5297</v>
      </c>
    </row>
    <row r="10432" spans="1:1" x14ac:dyDescent="0.3">
      <c r="A10432" t="s">
        <v>51</v>
      </c>
    </row>
    <row r="10433" spans="1:1" x14ac:dyDescent="0.3">
      <c r="A10433" t="s">
        <v>52</v>
      </c>
    </row>
    <row r="10434" spans="1:1" x14ac:dyDescent="0.3">
      <c r="A10434" t="s">
        <v>79</v>
      </c>
    </row>
    <row r="10435" spans="1:1" x14ac:dyDescent="0.3">
      <c r="A10435" t="s">
        <v>98</v>
      </c>
    </row>
    <row r="10436" spans="1:1" x14ac:dyDescent="0.3">
      <c r="A10436" t="s">
        <v>13</v>
      </c>
    </row>
    <row r="10437" spans="1:1" x14ac:dyDescent="0.3">
      <c r="A10437" t="s">
        <v>105</v>
      </c>
    </row>
    <row r="10438" spans="1:1" x14ac:dyDescent="0.3">
      <c r="A10438" t="s">
        <v>5298</v>
      </c>
    </row>
    <row r="10439" spans="1:1" x14ac:dyDescent="0.3">
      <c r="A10439" t="s">
        <v>1157</v>
      </c>
    </row>
    <row r="10440" spans="1:1" x14ac:dyDescent="0.3">
      <c r="A10440" t="s">
        <v>5299</v>
      </c>
    </row>
    <row r="10441" spans="1:1" x14ac:dyDescent="0.3">
      <c r="A10441" t="s">
        <v>12</v>
      </c>
    </row>
    <row r="10442" spans="1:1" x14ac:dyDescent="0.3">
      <c r="A10442" t="s">
        <v>13</v>
      </c>
    </row>
    <row r="10443" spans="1:1" x14ac:dyDescent="0.3">
      <c r="A10443" t="s">
        <v>106</v>
      </c>
    </row>
    <row r="10444" spans="1:1" x14ac:dyDescent="0.3">
      <c r="A10444" t="s">
        <v>5300</v>
      </c>
    </row>
    <row r="10445" spans="1:1" x14ac:dyDescent="0.3">
      <c r="A10445" t="s">
        <v>1157</v>
      </c>
    </row>
    <row r="10446" spans="1:1" x14ac:dyDescent="0.3">
      <c r="A10446" t="s">
        <v>5301</v>
      </c>
    </row>
    <row r="10447" spans="1:1" x14ac:dyDescent="0.3">
      <c r="A10447" t="s">
        <v>12</v>
      </c>
    </row>
    <row r="10448" spans="1:1" x14ac:dyDescent="0.3">
      <c r="A10448" t="s">
        <v>40</v>
      </c>
    </row>
    <row r="10450" spans="1:1" x14ac:dyDescent="0.3">
      <c r="A10450" t="s">
        <v>12</v>
      </c>
    </row>
    <row r="10451" spans="1:1" x14ac:dyDescent="0.3">
      <c r="A10451" t="s">
        <v>13</v>
      </c>
    </row>
    <row r="10452" spans="1:1" x14ac:dyDescent="0.3">
      <c r="A10452" t="s">
        <v>1184</v>
      </c>
    </row>
    <row r="10453" spans="1:1" x14ac:dyDescent="0.3">
      <c r="A10453" t="s">
        <v>5302</v>
      </c>
    </row>
    <row r="10454" spans="1:1" x14ac:dyDescent="0.3">
      <c r="A10454" t="s">
        <v>5303</v>
      </c>
    </row>
    <row r="10455" spans="1:1" x14ac:dyDescent="0.3">
      <c r="A10455" t="s">
        <v>4436</v>
      </c>
    </row>
    <row r="10456" spans="1:1" x14ac:dyDescent="0.3">
      <c r="A10456" t="s">
        <v>110</v>
      </c>
    </row>
    <row r="10457" spans="1:1" x14ac:dyDescent="0.3">
      <c r="A10457" t="s">
        <v>1154</v>
      </c>
    </row>
    <row r="10458" spans="1:1" x14ac:dyDescent="0.3">
      <c r="A10458" t="s">
        <v>5304</v>
      </c>
    </row>
    <row r="10459" spans="1:1" x14ac:dyDescent="0.3">
      <c r="A10459" t="s">
        <v>51</v>
      </c>
    </row>
    <row r="10460" spans="1:1" x14ac:dyDescent="0.3">
      <c r="A10460" t="s">
        <v>52</v>
      </c>
    </row>
    <row r="10461" spans="1:1" x14ac:dyDescent="0.3">
      <c r="A10461" t="s">
        <v>79</v>
      </c>
    </row>
    <row r="10462" spans="1:1" x14ac:dyDescent="0.3">
      <c r="A10462" t="s">
        <v>98</v>
      </c>
    </row>
    <row r="10463" spans="1:1" x14ac:dyDescent="0.3">
      <c r="A10463" t="s">
        <v>13</v>
      </c>
    </row>
    <row r="10464" spans="1:1" x14ac:dyDescent="0.3">
      <c r="A10464" t="s">
        <v>105</v>
      </c>
    </row>
    <row r="10465" spans="1:1" x14ac:dyDescent="0.3">
      <c r="A10465" t="s">
        <v>5305</v>
      </c>
    </row>
    <row r="10466" spans="1:1" x14ac:dyDescent="0.3">
      <c r="A10466" t="s">
        <v>1157</v>
      </c>
    </row>
    <row r="10467" spans="1:1" x14ac:dyDescent="0.3">
      <c r="A10467" t="s">
        <v>5306</v>
      </c>
    </row>
    <row r="10468" spans="1:1" x14ac:dyDescent="0.3">
      <c r="A10468" t="s">
        <v>12</v>
      </c>
    </row>
    <row r="10469" spans="1:1" x14ac:dyDescent="0.3">
      <c r="A10469" t="s">
        <v>13</v>
      </c>
    </row>
    <row r="10470" spans="1:1" x14ac:dyDescent="0.3">
      <c r="A10470" t="s">
        <v>106</v>
      </c>
    </row>
    <row r="10471" spans="1:1" x14ac:dyDescent="0.3">
      <c r="A10471" t="s">
        <v>5307</v>
      </c>
    </row>
    <row r="10472" spans="1:1" x14ac:dyDescent="0.3">
      <c r="A10472" t="s">
        <v>1157</v>
      </c>
    </row>
    <row r="10473" spans="1:1" x14ac:dyDescent="0.3">
      <c r="A10473" t="s">
        <v>5308</v>
      </c>
    </row>
    <row r="10474" spans="1:1" x14ac:dyDescent="0.3">
      <c r="A10474" t="s">
        <v>12</v>
      </c>
    </row>
    <row r="10475" spans="1:1" x14ac:dyDescent="0.3">
      <c r="A10475" t="s">
        <v>40</v>
      </c>
    </row>
    <row r="10477" spans="1:1" x14ac:dyDescent="0.3">
      <c r="A10477" t="s">
        <v>12</v>
      </c>
    </row>
    <row r="10478" spans="1:1" x14ac:dyDescent="0.3">
      <c r="A10478" t="s">
        <v>13</v>
      </c>
    </row>
    <row r="10479" spans="1:1" x14ac:dyDescent="0.3">
      <c r="A10479" t="s">
        <v>1187</v>
      </c>
    </row>
    <row r="10480" spans="1:1" x14ac:dyDescent="0.3">
      <c r="A10480" t="s">
        <v>5309</v>
      </c>
    </row>
    <row r="10481" spans="1:1" x14ac:dyDescent="0.3">
      <c r="A10481" t="s">
        <v>5310</v>
      </c>
    </row>
    <row r="10482" spans="1:1" x14ac:dyDescent="0.3">
      <c r="A10482" t="s">
        <v>4436</v>
      </c>
    </row>
    <row r="10483" spans="1:1" x14ac:dyDescent="0.3">
      <c r="A10483" t="s">
        <v>110</v>
      </c>
    </row>
    <row r="10484" spans="1:1" x14ac:dyDescent="0.3">
      <c r="A10484" t="s">
        <v>1154</v>
      </c>
    </row>
    <row r="10485" spans="1:1" x14ac:dyDescent="0.3">
      <c r="A10485" t="s">
        <v>5311</v>
      </c>
    </row>
    <row r="10486" spans="1:1" x14ac:dyDescent="0.3">
      <c r="A10486" t="s">
        <v>51</v>
      </c>
    </row>
    <row r="10487" spans="1:1" x14ac:dyDescent="0.3">
      <c r="A10487" t="s">
        <v>52</v>
      </c>
    </row>
    <row r="10488" spans="1:1" x14ac:dyDescent="0.3">
      <c r="A10488" t="s">
        <v>79</v>
      </c>
    </row>
    <row r="10490" spans="1:1" x14ac:dyDescent="0.3">
      <c r="A10490" t="s">
        <v>12</v>
      </c>
    </row>
    <row r="10491" spans="1:1" x14ac:dyDescent="0.3">
      <c r="A10491" t="s">
        <v>13</v>
      </c>
    </row>
    <row r="10492" spans="1:1" x14ac:dyDescent="0.3">
      <c r="A10492" t="s">
        <v>1190</v>
      </c>
    </row>
    <row r="10493" spans="1:1" x14ac:dyDescent="0.3">
      <c r="A10493" t="s">
        <v>5275</v>
      </c>
    </row>
    <row r="10494" spans="1:1" x14ac:dyDescent="0.3">
      <c r="A10494" t="s">
        <v>5312</v>
      </c>
    </row>
    <row r="10495" spans="1:1" x14ac:dyDescent="0.3">
      <c r="A10495" t="s">
        <v>4436</v>
      </c>
    </row>
    <row r="10496" spans="1:1" x14ac:dyDescent="0.3">
      <c r="A10496" t="s">
        <v>110</v>
      </c>
    </row>
    <row r="10497" spans="1:1" x14ac:dyDescent="0.3">
      <c r="A10497" t="s">
        <v>1154</v>
      </c>
    </row>
    <row r="10498" spans="1:1" x14ac:dyDescent="0.3">
      <c r="A10498" t="s">
        <v>5313</v>
      </c>
    </row>
    <row r="10499" spans="1:1" x14ac:dyDescent="0.3">
      <c r="A10499" t="s">
        <v>51</v>
      </c>
    </row>
    <row r="10500" spans="1:1" x14ac:dyDescent="0.3">
      <c r="A10500" t="s">
        <v>52</v>
      </c>
    </row>
    <row r="10501" spans="1:1" x14ac:dyDescent="0.3">
      <c r="A10501" t="s">
        <v>79</v>
      </c>
    </row>
    <row r="10503" spans="1:1" x14ac:dyDescent="0.3">
      <c r="A10503" t="s">
        <v>12</v>
      </c>
    </row>
    <row r="10504" spans="1:1" x14ac:dyDescent="0.3">
      <c r="A10504" t="s">
        <v>13</v>
      </c>
    </row>
    <row r="10505" spans="1:1" x14ac:dyDescent="0.3">
      <c r="A10505" t="s">
        <v>1193</v>
      </c>
    </row>
    <row r="10506" spans="1:1" x14ac:dyDescent="0.3">
      <c r="A10506" t="s">
        <v>5314</v>
      </c>
    </row>
    <row r="10507" spans="1:1" x14ac:dyDescent="0.3">
      <c r="A10507" t="s">
        <v>5315</v>
      </c>
    </row>
    <row r="10508" spans="1:1" x14ac:dyDescent="0.3">
      <c r="A10508" t="s">
        <v>4436</v>
      </c>
    </row>
    <row r="10509" spans="1:1" x14ac:dyDescent="0.3">
      <c r="A10509" t="s">
        <v>110</v>
      </c>
    </row>
    <row r="10510" spans="1:1" x14ac:dyDescent="0.3">
      <c r="A10510" t="s">
        <v>1154</v>
      </c>
    </row>
    <row r="10511" spans="1:1" x14ac:dyDescent="0.3">
      <c r="A10511" t="s">
        <v>5316</v>
      </c>
    </row>
    <row r="10512" spans="1:1" x14ac:dyDescent="0.3">
      <c r="A10512" t="s">
        <v>51</v>
      </c>
    </row>
    <row r="10513" spans="1:1" x14ac:dyDescent="0.3">
      <c r="A10513" t="s">
        <v>52</v>
      </c>
    </row>
    <row r="10514" spans="1:1" x14ac:dyDescent="0.3">
      <c r="A10514" t="s">
        <v>79</v>
      </c>
    </row>
    <row r="10515" spans="1:1" x14ac:dyDescent="0.3">
      <c r="A10515" t="s">
        <v>98</v>
      </c>
    </row>
    <row r="10516" spans="1:1" x14ac:dyDescent="0.3">
      <c r="A10516" t="s">
        <v>13</v>
      </c>
    </row>
    <row r="10517" spans="1:1" x14ac:dyDescent="0.3">
      <c r="A10517" t="s">
        <v>105</v>
      </c>
    </row>
    <row r="10518" spans="1:1" x14ac:dyDescent="0.3">
      <c r="A10518" t="s">
        <v>5317</v>
      </c>
    </row>
    <row r="10519" spans="1:1" x14ac:dyDescent="0.3">
      <c r="A10519" t="s">
        <v>1157</v>
      </c>
    </row>
    <row r="10520" spans="1:1" x14ac:dyDescent="0.3">
      <c r="A10520" t="s">
        <v>5318</v>
      </c>
    </row>
    <row r="10521" spans="1:1" x14ac:dyDescent="0.3">
      <c r="A10521" t="s">
        <v>12</v>
      </c>
    </row>
    <row r="10522" spans="1:1" x14ac:dyDescent="0.3">
      <c r="A10522" t="s">
        <v>13</v>
      </c>
    </row>
    <row r="10523" spans="1:1" x14ac:dyDescent="0.3">
      <c r="A10523" t="s">
        <v>106</v>
      </c>
    </row>
    <row r="10524" spans="1:1" x14ac:dyDescent="0.3">
      <c r="A10524" t="s">
        <v>5319</v>
      </c>
    </row>
    <row r="10525" spans="1:1" x14ac:dyDescent="0.3">
      <c r="A10525" t="s">
        <v>1157</v>
      </c>
    </row>
    <row r="10526" spans="1:1" x14ac:dyDescent="0.3">
      <c r="A10526" t="s">
        <v>5320</v>
      </c>
    </row>
    <row r="10527" spans="1:1" x14ac:dyDescent="0.3">
      <c r="A10527" t="s">
        <v>12</v>
      </c>
    </row>
    <row r="10528" spans="1:1" x14ac:dyDescent="0.3">
      <c r="A10528" t="s">
        <v>40</v>
      </c>
    </row>
    <row r="10530" spans="1:1" x14ac:dyDescent="0.3">
      <c r="A10530" t="s">
        <v>12</v>
      </c>
    </row>
    <row r="10531" spans="1:1" x14ac:dyDescent="0.3">
      <c r="A10531" t="s">
        <v>13</v>
      </c>
    </row>
    <row r="10532" spans="1:1" x14ac:dyDescent="0.3">
      <c r="A10532" t="s">
        <v>1201</v>
      </c>
    </row>
    <row r="10533" spans="1:1" x14ac:dyDescent="0.3">
      <c r="A10533" t="s">
        <v>5321</v>
      </c>
    </row>
    <row r="10534" spans="1:1" x14ac:dyDescent="0.3">
      <c r="A10534" t="s">
        <v>5322</v>
      </c>
    </row>
    <row r="10535" spans="1:1" x14ac:dyDescent="0.3">
      <c r="A10535" t="s">
        <v>4436</v>
      </c>
    </row>
    <row r="10536" spans="1:1" x14ac:dyDescent="0.3">
      <c r="A10536" t="s">
        <v>110</v>
      </c>
    </row>
    <row r="10537" spans="1:1" x14ac:dyDescent="0.3">
      <c r="A10537" t="s">
        <v>1154</v>
      </c>
    </row>
    <row r="10538" spans="1:1" x14ac:dyDescent="0.3">
      <c r="A10538" t="s">
        <v>5323</v>
      </c>
    </row>
    <row r="10539" spans="1:1" x14ac:dyDescent="0.3">
      <c r="A10539" t="s">
        <v>51</v>
      </c>
    </row>
    <row r="10540" spans="1:1" x14ac:dyDescent="0.3">
      <c r="A10540" t="s">
        <v>52</v>
      </c>
    </row>
    <row r="10541" spans="1:1" x14ac:dyDescent="0.3">
      <c r="A10541" t="s">
        <v>79</v>
      </c>
    </row>
    <row r="10543" spans="1:1" x14ac:dyDescent="0.3">
      <c r="A10543" t="s">
        <v>12</v>
      </c>
    </row>
    <row r="10544" spans="1:1" x14ac:dyDescent="0.3">
      <c r="A10544" t="s">
        <v>13</v>
      </c>
    </row>
    <row r="10545" spans="1:1" x14ac:dyDescent="0.3">
      <c r="A10545" t="s">
        <v>1204</v>
      </c>
    </row>
    <row r="10546" spans="1:1" x14ac:dyDescent="0.3">
      <c r="A10546" t="s">
        <v>5324</v>
      </c>
    </row>
    <row r="10547" spans="1:1" x14ac:dyDescent="0.3">
      <c r="A10547" t="s">
        <v>5325</v>
      </c>
    </row>
    <row r="10548" spans="1:1" x14ac:dyDescent="0.3">
      <c r="A10548" t="s">
        <v>4436</v>
      </c>
    </row>
    <row r="10549" spans="1:1" x14ac:dyDescent="0.3">
      <c r="A10549" t="s">
        <v>110</v>
      </c>
    </row>
    <row r="10550" spans="1:1" x14ac:dyDescent="0.3">
      <c r="A10550" t="s">
        <v>1154</v>
      </c>
    </row>
    <row r="10551" spans="1:1" x14ac:dyDescent="0.3">
      <c r="A10551" t="s">
        <v>5326</v>
      </c>
    </row>
    <row r="10552" spans="1:1" x14ac:dyDescent="0.3">
      <c r="A10552" t="s">
        <v>51</v>
      </c>
    </row>
    <row r="10553" spans="1:1" x14ac:dyDescent="0.3">
      <c r="A10553" t="s">
        <v>52</v>
      </c>
    </row>
    <row r="10554" spans="1:1" x14ac:dyDescent="0.3">
      <c r="A10554" t="s">
        <v>79</v>
      </c>
    </row>
    <row r="10555" spans="1:1" x14ac:dyDescent="0.3">
      <c r="A10555" t="s">
        <v>98</v>
      </c>
    </row>
    <row r="10556" spans="1:1" x14ac:dyDescent="0.3">
      <c r="A10556" t="s">
        <v>13</v>
      </c>
    </row>
    <row r="10557" spans="1:1" x14ac:dyDescent="0.3">
      <c r="A10557" t="s">
        <v>105</v>
      </c>
    </row>
    <row r="10558" spans="1:1" x14ac:dyDescent="0.3">
      <c r="A10558" t="s">
        <v>5327</v>
      </c>
    </row>
    <row r="10559" spans="1:1" x14ac:dyDescent="0.3">
      <c r="A10559" t="s">
        <v>1157</v>
      </c>
    </row>
    <row r="10560" spans="1:1" x14ac:dyDescent="0.3">
      <c r="A10560" t="s">
        <v>5328</v>
      </c>
    </row>
    <row r="10561" spans="1:1" x14ac:dyDescent="0.3">
      <c r="A10561" t="s">
        <v>12</v>
      </c>
    </row>
    <row r="10562" spans="1:1" x14ac:dyDescent="0.3">
      <c r="A10562" t="s">
        <v>13</v>
      </c>
    </row>
    <row r="10563" spans="1:1" x14ac:dyDescent="0.3">
      <c r="A10563" t="s">
        <v>106</v>
      </c>
    </row>
    <row r="10564" spans="1:1" x14ac:dyDescent="0.3">
      <c r="A10564" t="s">
        <v>5329</v>
      </c>
    </row>
    <row r="10565" spans="1:1" x14ac:dyDescent="0.3">
      <c r="A10565" t="s">
        <v>1157</v>
      </c>
    </row>
    <row r="10566" spans="1:1" x14ac:dyDescent="0.3">
      <c r="A10566" t="s">
        <v>5330</v>
      </c>
    </row>
    <row r="10567" spans="1:1" x14ac:dyDescent="0.3">
      <c r="A10567" t="s">
        <v>12</v>
      </c>
    </row>
    <row r="10568" spans="1:1" x14ac:dyDescent="0.3">
      <c r="A10568" t="s">
        <v>40</v>
      </c>
    </row>
    <row r="10570" spans="1:1" x14ac:dyDescent="0.3">
      <c r="A10570" t="s">
        <v>12</v>
      </c>
    </row>
    <row r="10571" spans="1:1" x14ac:dyDescent="0.3">
      <c r="A10571" t="s">
        <v>13</v>
      </c>
    </row>
    <row r="10572" spans="1:1" x14ac:dyDescent="0.3">
      <c r="A10572" t="s">
        <v>1212</v>
      </c>
    </row>
    <row r="10573" spans="1:1" x14ac:dyDescent="0.3">
      <c r="A10573" t="s">
        <v>5331</v>
      </c>
    </row>
    <row r="10574" spans="1:1" x14ac:dyDescent="0.3">
      <c r="A10574" t="s">
        <v>5332</v>
      </c>
    </row>
    <row r="10575" spans="1:1" x14ac:dyDescent="0.3">
      <c r="A10575" t="s">
        <v>4436</v>
      </c>
    </row>
    <row r="10576" spans="1:1" x14ac:dyDescent="0.3">
      <c r="A10576" t="s">
        <v>110</v>
      </c>
    </row>
    <row r="10577" spans="1:1" x14ac:dyDescent="0.3">
      <c r="A10577" t="s">
        <v>1154</v>
      </c>
    </row>
    <row r="10578" spans="1:1" x14ac:dyDescent="0.3">
      <c r="A10578" t="s">
        <v>5333</v>
      </c>
    </row>
    <row r="10579" spans="1:1" x14ac:dyDescent="0.3">
      <c r="A10579" t="s">
        <v>51</v>
      </c>
    </row>
    <row r="10580" spans="1:1" x14ac:dyDescent="0.3">
      <c r="A10580" t="s">
        <v>52</v>
      </c>
    </row>
    <row r="10581" spans="1:1" x14ac:dyDescent="0.3">
      <c r="A10581" t="s">
        <v>79</v>
      </c>
    </row>
    <row r="10583" spans="1:1" x14ac:dyDescent="0.3">
      <c r="A10583" t="s">
        <v>12</v>
      </c>
    </row>
    <row r="10584" spans="1:1" x14ac:dyDescent="0.3">
      <c r="A10584" t="s">
        <v>13</v>
      </c>
    </row>
    <row r="10585" spans="1:1" x14ac:dyDescent="0.3">
      <c r="A10585" t="s">
        <v>1220</v>
      </c>
    </row>
    <row r="10586" spans="1:1" x14ac:dyDescent="0.3">
      <c r="A10586" t="s">
        <v>5334</v>
      </c>
    </row>
    <row r="10587" spans="1:1" x14ac:dyDescent="0.3">
      <c r="A10587" t="s">
        <v>5335</v>
      </c>
    </row>
    <row r="10588" spans="1:1" x14ac:dyDescent="0.3">
      <c r="A10588" t="s">
        <v>4436</v>
      </c>
    </row>
    <row r="10589" spans="1:1" x14ac:dyDescent="0.3">
      <c r="A10589" t="s">
        <v>110</v>
      </c>
    </row>
    <row r="10590" spans="1:1" x14ac:dyDescent="0.3">
      <c r="A10590" t="s">
        <v>1154</v>
      </c>
    </row>
    <row r="10591" spans="1:1" x14ac:dyDescent="0.3">
      <c r="A10591" t="s">
        <v>5336</v>
      </c>
    </row>
    <row r="10592" spans="1:1" x14ac:dyDescent="0.3">
      <c r="A10592" t="s">
        <v>51</v>
      </c>
    </row>
    <row r="10593" spans="1:1" x14ac:dyDescent="0.3">
      <c r="A10593" t="s">
        <v>52</v>
      </c>
    </row>
    <row r="10594" spans="1:1" x14ac:dyDescent="0.3">
      <c r="A10594" t="s">
        <v>79</v>
      </c>
    </row>
    <row r="10596" spans="1:1" x14ac:dyDescent="0.3">
      <c r="A10596" t="s">
        <v>12</v>
      </c>
    </row>
    <row r="10597" spans="1:1" x14ac:dyDescent="0.3">
      <c r="A10597" t="s">
        <v>13</v>
      </c>
    </row>
    <row r="10598" spans="1:1" x14ac:dyDescent="0.3">
      <c r="A10598" t="s">
        <v>1228</v>
      </c>
    </row>
    <row r="10599" spans="1:1" x14ac:dyDescent="0.3">
      <c r="A10599" t="s">
        <v>5337</v>
      </c>
    </row>
    <row r="10600" spans="1:1" x14ac:dyDescent="0.3">
      <c r="A10600" t="s">
        <v>5338</v>
      </c>
    </row>
    <row r="10601" spans="1:1" x14ac:dyDescent="0.3">
      <c r="A10601" t="s">
        <v>4436</v>
      </c>
    </row>
    <row r="10602" spans="1:1" x14ac:dyDescent="0.3">
      <c r="A10602" t="s">
        <v>110</v>
      </c>
    </row>
    <row r="10603" spans="1:1" x14ac:dyDescent="0.3">
      <c r="A10603" t="s">
        <v>1154</v>
      </c>
    </row>
    <row r="10604" spans="1:1" x14ac:dyDescent="0.3">
      <c r="A10604" t="s">
        <v>5339</v>
      </c>
    </row>
    <row r="10605" spans="1:1" x14ac:dyDescent="0.3">
      <c r="A10605" t="s">
        <v>51</v>
      </c>
    </row>
    <row r="10606" spans="1:1" x14ac:dyDescent="0.3">
      <c r="A10606" t="s">
        <v>52</v>
      </c>
    </row>
    <row r="10607" spans="1:1" x14ac:dyDescent="0.3">
      <c r="A10607" t="s">
        <v>79</v>
      </c>
    </row>
    <row r="10609" spans="1:1" x14ac:dyDescent="0.3">
      <c r="A10609" t="s">
        <v>12</v>
      </c>
    </row>
    <row r="10610" spans="1:1" x14ac:dyDescent="0.3">
      <c r="A10610" t="s">
        <v>13</v>
      </c>
    </row>
    <row r="10611" spans="1:1" x14ac:dyDescent="0.3">
      <c r="A10611" t="s">
        <v>1236</v>
      </c>
    </row>
    <row r="10612" spans="1:1" x14ac:dyDescent="0.3">
      <c r="A10612" t="s">
        <v>5340</v>
      </c>
    </row>
    <row r="10613" spans="1:1" x14ac:dyDescent="0.3">
      <c r="A10613" t="s">
        <v>5341</v>
      </c>
    </row>
    <row r="10614" spans="1:1" x14ac:dyDescent="0.3">
      <c r="A10614" t="s">
        <v>4436</v>
      </c>
    </row>
    <row r="10615" spans="1:1" x14ac:dyDescent="0.3">
      <c r="A10615" t="s">
        <v>110</v>
      </c>
    </row>
    <row r="10616" spans="1:1" x14ac:dyDescent="0.3">
      <c r="A10616" t="s">
        <v>1154</v>
      </c>
    </row>
    <row r="10617" spans="1:1" x14ac:dyDescent="0.3">
      <c r="A10617" t="s">
        <v>5342</v>
      </c>
    </row>
    <row r="10618" spans="1:1" x14ac:dyDescent="0.3">
      <c r="A10618" t="s">
        <v>51</v>
      </c>
    </row>
    <row r="10619" spans="1:1" x14ac:dyDescent="0.3">
      <c r="A10619" t="s">
        <v>52</v>
      </c>
    </row>
    <row r="10620" spans="1:1" x14ac:dyDescent="0.3">
      <c r="A10620" t="s">
        <v>79</v>
      </c>
    </row>
    <row r="10622" spans="1:1" x14ac:dyDescent="0.3">
      <c r="A10622" t="s">
        <v>12</v>
      </c>
    </row>
    <row r="10623" spans="1:1" x14ac:dyDescent="0.3">
      <c r="A10623" t="s">
        <v>13</v>
      </c>
    </row>
    <row r="10624" spans="1:1" x14ac:dyDescent="0.3">
      <c r="A10624" t="s">
        <v>1244</v>
      </c>
    </row>
    <row r="10625" spans="1:1" x14ac:dyDescent="0.3">
      <c r="A10625" t="s">
        <v>5343</v>
      </c>
    </row>
    <row r="10626" spans="1:1" x14ac:dyDescent="0.3">
      <c r="A10626" t="s">
        <v>5344</v>
      </c>
    </row>
    <row r="10627" spans="1:1" x14ac:dyDescent="0.3">
      <c r="A10627" t="s">
        <v>4436</v>
      </c>
    </row>
    <row r="10628" spans="1:1" x14ac:dyDescent="0.3">
      <c r="A10628" t="s">
        <v>110</v>
      </c>
    </row>
    <row r="10629" spans="1:1" x14ac:dyDescent="0.3">
      <c r="A10629" t="s">
        <v>1154</v>
      </c>
    </row>
    <row r="10630" spans="1:1" x14ac:dyDescent="0.3">
      <c r="A10630" t="s">
        <v>5345</v>
      </c>
    </row>
    <row r="10631" spans="1:1" x14ac:dyDescent="0.3">
      <c r="A10631" t="s">
        <v>51</v>
      </c>
    </row>
    <row r="10632" spans="1:1" x14ac:dyDescent="0.3">
      <c r="A10632" t="s">
        <v>52</v>
      </c>
    </row>
    <row r="10633" spans="1:1" x14ac:dyDescent="0.3">
      <c r="A10633" t="s">
        <v>79</v>
      </c>
    </row>
    <row r="10635" spans="1:1" x14ac:dyDescent="0.3">
      <c r="A10635" t="s">
        <v>12</v>
      </c>
    </row>
    <row r="10636" spans="1:1" x14ac:dyDescent="0.3">
      <c r="A10636" t="s">
        <v>40</v>
      </c>
    </row>
    <row r="10637" spans="1:1" x14ac:dyDescent="0.3">
      <c r="A10637" t="s">
        <v>12</v>
      </c>
    </row>
    <row r="10638" spans="1:1" x14ac:dyDescent="0.3">
      <c r="A10638" t="s">
        <v>13</v>
      </c>
    </row>
    <row r="10639" spans="1:1" x14ac:dyDescent="0.3">
      <c r="A10639" t="s">
        <v>5346</v>
      </c>
    </row>
    <row r="10640" spans="1:1" x14ac:dyDescent="0.3">
      <c r="A10640" t="s">
        <v>5347</v>
      </c>
    </row>
    <row r="10641" spans="1:1" x14ac:dyDescent="0.3">
      <c r="A10641" t="s">
        <v>39</v>
      </c>
    </row>
    <row r="10642" spans="1:1" x14ac:dyDescent="0.3">
      <c r="A10642" t="s">
        <v>13</v>
      </c>
    </row>
    <row r="10643" spans="1:1" x14ac:dyDescent="0.3">
      <c r="A10643" t="s">
        <v>50</v>
      </c>
    </row>
    <row r="10644" spans="1:1" x14ac:dyDescent="0.3">
      <c r="A10644" t="s">
        <v>5348</v>
      </c>
    </row>
    <row r="10645" spans="1:1" x14ac:dyDescent="0.3">
      <c r="A10645" t="s">
        <v>5349</v>
      </c>
    </row>
    <row r="10646" spans="1:1" x14ac:dyDescent="0.3">
      <c r="A10646" t="s">
        <v>4436</v>
      </c>
    </row>
    <row r="10647" spans="1:1" x14ac:dyDescent="0.3">
      <c r="A10647" t="s">
        <v>110</v>
      </c>
    </row>
    <row r="10648" spans="1:1" x14ac:dyDescent="0.3">
      <c r="A10648" t="s">
        <v>5350</v>
      </c>
    </row>
    <row r="10649" spans="1:1" x14ac:dyDescent="0.3">
      <c r="A10649" t="s">
        <v>5351</v>
      </c>
    </row>
    <row r="10650" spans="1:1" x14ac:dyDescent="0.3">
      <c r="A10650" t="s">
        <v>51</v>
      </c>
    </row>
    <row r="10651" spans="1:1" x14ac:dyDescent="0.3">
      <c r="A10651" t="s">
        <v>52</v>
      </c>
    </row>
    <row r="10652" spans="1:1" x14ac:dyDescent="0.3">
      <c r="A10652" t="s">
        <v>79</v>
      </c>
    </row>
    <row r="10653" spans="1:1" x14ac:dyDescent="0.3">
      <c r="A10653" t="s">
        <v>98</v>
      </c>
    </row>
    <row r="10654" spans="1:1" x14ac:dyDescent="0.3">
      <c r="A10654" t="s">
        <v>13</v>
      </c>
    </row>
    <row r="10655" spans="1:1" x14ac:dyDescent="0.3">
      <c r="A10655" t="s">
        <v>105</v>
      </c>
    </row>
    <row r="10656" spans="1:1" x14ac:dyDescent="0.3">
      <c r="A10656" t="s">
        <v>5352</v>
      </c>
    </row>
    <row r="10657" spans="1:1" x14ac:dyDescent="0.3">
      <c r="A10657" t="s">
        <v>1157</v>
      </c>
    </row>
    <row r="10658" spans="1:1" x14ac:dyDescent="0.3">
      <c r="A10658" t="s">
        <v>5353</v>
      </c>
    </row>
    <row r="10659" spans="1:1" x14ac:dyDescent="0.3">
      <c r="A10659" t="s">
        <v>12</v>
      </c>
    </row>
    <row r="10660" spans="1:1" x14ac:dyDescent="0.3">
      <c r="A10660" t="s">
        <v>13</v>
      </c>
    </row>
    <row r="10661" spans="1:1" x14ac:dyDescent="0.3">
      <c r="A10661" t="s">
        <v>106</v>
      </c>
    </row>
    <row r="10662" spans="1:1" x14ac:dyDescent="0.3">
      <c r="A10662" t="s">
        <v>5354</v>
      </c>
    </row>
    <row r="10663" spans="1:1" x14ac:dyDescent="0.3">
      <c r="A10663" t="s">
        <v>1157</v>
      </c>
    </row>
    <row r="10664" spans="1:1" x14ac:dyDescent="0.3">
      <c r="A10664" t="s">
        <v>5355</v>
      </c>
    </row>
    <row r="10665" spans="1:1" x14ac:dyDescent="0.3">
      <c r="A10665" t="s">
        <v>12</v>
      </c>
    </row>
    <row r="10666" spans="1:1" x14ac:dyDescent="0.3">
      <c r="A10666" t="s">
        <v>40</v>
      </c>
    </row>
    <row r="10668" spans="1:1" x14ac:dyDescent="0.3">
      <c r="A10668" t="s">
        <v>12</v>
      </c>
    </row>
    <row r="10669" spans="1:1" x14ac:dyDescent="0.3">
      <c r="A10669" t="s">
        <v>13</v>
      </c>
    </row>
    <row r="10670" spans="1:1" x14ac:dyDescent="0.3">
      <c r="A10670" t="s">
        <v>53</v>
      </c>
    </row>
    <row r="10671" spans="1:1" x14ac:dyDescent="0.3">
      <c r="A10671" t="s">
        <v>5356</v>
      </c>
    </row>
    <row r="10672" spans="1:1" x14ac:dyDescent="0.3">
      <c r="A10672" t="s">
        <v>5357</v>
      </c>
    </row>
    <row r="10673" spans="1:1" x14ac:dyDescent="0.3">
      <c r="A10673" t="s">
        <v>4436</v>
      </c>
    </row>
    <row r="10674" spans="1:1" x14ac:dyDescent="0.3">
      <c r="A10674" t="s">
        <v>110</v>
      </c>
    </row>
    <row r="10675" spans="1:1" x14ac:dyDescent="0.3">
      <c r="A10675" t="s">
        <v>1154</v>
      </c>
    </row>
    <row r="10676" spans="1:1" x14ac:dyDescent="0.3">
      <c r="A10676" t="s">
        <v>5358</v>
      </c>
    </row>
    <row r="10677" spans="1:1" x14ac:dyDescent="0.3">
      <c r="A10677" t="s">
        <v>51</v>
      </c>
    </row>
    <row r="10678" spans="1:1" x14ac:dyDescent="0.3">
      <c r="A10678" t="s">
        <v>52</v>
      </c>
    </row>
    <row r="10679" spans="1:1" x14ac:dyDescent="0.3">
      <c r="A10679" t="s">
        <v>79</v>
      </c>
    </row>
    <row r="10680" spans="1:1" x14ac:dyDescent="0.3">
      <c r="A10680" t="s">
        <v>98</v>
      </c>
    </row>
    <row r="10681" spans="1:1" x14ac:dyDescent="0.3">
      <c r="A10681" t="s">
        <v>13</v>
      </c>
    </row>
    <row r="10682" spans="1:1" x14ac:dyDescent="0.3">
      <c r="A10682" t="s">
        <v>105</v>
      </c>
    </row>
    <row r="10683" spans="1:1" x14ac:dyDescent="0.3">
      <c r="A10683" t="s">
        <v>5359</v>
      </c>
    </row>
    <row r="10684" spans="1:1" x14ac:dyDescent="0.3">
      <c r="A10684" t="s">
        <v>1157</v>
      </c>
    </row>
    <row r="10685" spans="1:1" x14ac:dyDescent="0.3">
      <c r="A10685" t="s">
        <v>5360</v>
      </c>
    </row>
    <row r="10686" spans="1:1" x14ac:dyDescent="0.3">
      <c r="A10686" t="s">
        <v>12</v>
      </c>
    </row>
    <row r="10687" spans="1:1" x14ac:dyDescent="0.3">
      <c r="A10687" t="s">
        <v>13</v>
      </c>
    </row>
    <row r="10688" spans="1:1" x14ac:dyDescent="0.3">
      <c r="A10688" t="s">
        <v>106</v>
      </c>
    </row>
    <row r="10689" spans="1:1" x14ac:dyDescent="0.3">
      <c r="A10689" t="s">
        <v>5361</v>
      </c>
    </row>
    <row r="10690" spans="1:1" x14ac:dyDescent="0.3">
      <c r="A10690" t="s">
        <v>1157</v>
      </c>
    </row>
    <row r="10691" spans="1:1" x14ac:dyDescent="0.3">
      <c r="A10691" t="s">
        <v>5362</v>
      </c>
    </row>
    <row r="10692" spans="1:1" x14ac:dyDescent="0.3">
      <c r="A10692" t="s">
        <v>12</v>
      </c>
    </row>
    <row r="10693" spans="1:1" x14ac:dyDescent="0.3">
      <c r="A10693" t="s">
        <v>40</v>
      </c>
    </row>
    <row r="10695" spans="1:1" x14ac:dyDescent="0.3">
      <c r="A10695" t="s">
        <v>12</v>
      </c>
    </row>
    <row r="10696" spans="1:1" x14ac:dyDescent="0.3">
      <c r="A10696" t="s">
        <v>13</v>
      </c>
    </row>
    <row r="10697" spans="1:1" x14ac:dyDescent="0.3">
      <c r="A10697" t="s">
        <v>54</v>
      </c>
    </row>
    <row r="10698" spans="1:1" x14ac:dyDescent="0.3">
      <c r="A10698" t="s">
        <v>5363</v>
      </c>
    </row>
    <row r="10699" spans="1:1" x14ac:dyDescent="0.3">
      <c r="A10699" t="s">
        <v>5364</v>
      </c>
    </row>
    <row r="10700" spans="1:1" x14ac:dyDescent="0.3">
      <c r="A10700" t="s">
        <v>4436</v>
      </c>
    </row>
    <row r="10701" spans="1:1" x14ac:dyDescent="0.3">
      <c r="A10701" t="s">
        <v>110</v>
      </c>
    </row>
    <row r="10702" spans="1:1" x14ac:dyDescent="0.3">
      <c r="A10702" t="s">
        <v>1154</v>
      </c>
    </row>
    <row r="10703" spans="1:1" x14ac:dyDescent="0.3">
      <c r="A10703" t="s">
        <v>5365</v>
      </c>
    </row>
    <row r="10704" spans="1:1" x14ac:dyDescent="0.3">
      <c r="A10704" t="s">
        <v>51</v>
      </c>
    </row>
    <row r="10705" spans="1:1" x14ac:dyDescent="0.3">
      <c r="A10705" t="s">
        <v>52</v>
      </c>
    </row>
    <row r="10706" spans="1:1" x14ac:dyDescent="0.3">
      <c r="A10706" t="s">
        <v>79</v>
      </c>
    </row>
    <row r="10707" spans="1:1" x14ac:dyDescent="0.3">
      <c r="A10707" t="s">
        <v>98</v>
      </c>
    </row>
    <row r="10708" spans="1:1" x14ac:dyDescent="0.3">
      <c r="A10708" t="s">
        <v>13</v>
      </c>
    </row>
    <row r="10709" spans="1:1" x14ac:dyDescent="0.3">
      <c r="A10709" t="s">
        <v>105</v>
      </c>
    </row>
    <row r="10710" spans="1:1" x14ac:dyDescent="0.3">
      <c r="A10710" t="s">
        <v>5366</v>
      </c>
    </row>
    <row r="10711" spans="1:1" x14ac:dyDescent="0.3">
      <c r="A10711" t="s">
        <v>1157</v>
      </c>
    </row>
    <row r="10712" spans="1:1" x14ac:dyDescent="0.3">
      <c r="A10712" t="s">
        <v>5367</v>
      </c>
    </row>
    <row r="10713" spans="1:1" x14ac:dyDescent="0.3">
      <c r="A10713" t="s">
        <v>12</v>
      </c>
    </row>
    <row r="10714" spans="1:1" x14ac:dyDescent="0.3">
      <c r="A10714" t="s">
        <v>13</v>
      </c>
    </row>
    <row r="10715" spans="1:1" x14ac:dyDescent="0.3">
      <c r="A10715" t="s">
        <v>106</v>
      </c>
    </row>
    <row r="10716" spans="1:1" x14ac:dyDescent="0.3">
      <c r="A10716" t="s">
        <v>5368</v>
      </c>
    </row>
    <row r="10717" spans="1:1" x14ac:dyDescent="0.3">
      <c r="A10717" t="s">
        <v>1157</v>
      </c>
    </row>
    <row r="10718" spans="1:1" x14ac:dyDescent="0.3">
      <c r="A10718" t="s">
        <v>5369</v>
      </c>
    </row>
    <row r="10719" spans="1:1" x14ac:dyDescent="0.3">
      <c r="A10719" t="s">
        <v>12</v>
      </c>
    </row>
    <row r="10720" spans="1:1" x14ac:dyDescent="0.3">
      <c r="A10720" t="s">
        <v>40</v>
      </c>
    </row>
    <row r="10722" spans="1:1" x14ac:dyDescent="0.3">
      <c r="A10722" t="s">
        <v>12</v>
      </c>
    </row>
    <row r="10723" spans="1:1" x14ac:dyDescent="0.3">
      <c r="A10723" t="s">
        <v>13</v>
      </c>
    </row>
    <row r="10724" spans="1:1" x14ac:dyDescent="0.3">
      <c r="A10724" t="s">
        <v>107</v>
      </c>
    </row>
    <row r="10725" spans="1:1" x14ac:dyDescent="0.3">
      <c r="A10725" t="s">
        <v>5370</v>
      </c>
    </row>
    <row r="10726" spans="1:1" x14ac:dyDescent="0.3">
      <c r="A10726" t="s">
        <v>5371</v>
      </c>
    </row>
    <row r="10727" spans="1:1" x14ac:dyDescent="0.3">
      <c r="A10727" t="s">
        <v>4436</v>
      </c>
    </row>
    <row r="10728" spans="1:1" x14ac:dyDescent="0.3">
      <c r="A10728" t="s">
        <v>110</v>
      </c>
    </row>
    <row r="10729" spans="1:1" x14ac:dyDescent="0.3">
      <c r="A10729" t="s">
        <v>5372</v>
      </c>
    </row>
    <row r="10730" spans="1:1" x14ac:dyDescent="0.3">
      <c r="A10730" t="s">
        <v>5373</v>
      </c>
    </row>
    <row r="10731" spans="1:1" x14ac:dyDescent="0.3">
      <c r="A10731" t="s">
        <v>51</v>
      </c>
    </row>
    <row r="10732" spans="1:1" x14ac:dyDescent="0.3">
      <c r="A10732" t="s">
        <v>52</v>
      </c>
    </row>
    <row r="10733" spans="1:1" x14ac:dyDescent="0.3">
      <c r="A10733" t="s">
        <v>79</v>
      </c>
    </row>
    <row r="10734" spans="1:1" x14ac:dyDescent="0.3">
      <c r="A10734" t="s">
        <v>98</v>
      </c>
    </row>
    <row r="10735" spans="1:1" x14ac:dyDescent="0.3">
      <c r="A10735" t="s">
        <v>13</v>
      </c>
    </row>
    <row r="10736" spans="1:1" x14ac:dyDescent="0.3">
      <c r="A10736" t="s">
        <v>105</v>
      </c>
    </row>
    <row r="10737" spans="1:1" x14ac:dyDescent="0.3">
      <c r="A10737" t="s">
        <v>5374</v>
      </c>
    </row>
    <row r="10738" spans="1:1" x14ac:dyDescent="0.3">
      <c r="A10738" t="s">
        <v>1157</v>
      </c>
    </row>
    <row r="10739" spans="1:1" x14ac:dyDescent="0.3">
      <c r="A10739" t="s">
        <v>5375</v>
      </c>
    </row>
    <row r="10740" spans="1:1" x14ac:dyDescent="0.3">
      <c r="A10740" t="s">
        <v>12</v>
      </c>
    </row>
    <row r="10741" spans="1:1" x14ac:dyDescent="0.3">
      <c r="A10741" t="s">
        <v>13</v>
      </c>
    </row>
    <row r="10742" spans="1:1" x14ac:dyDescent="0.3">
      <c r="A10742" t="s">
        <v>106</v>
      </c>
    </row>
    <row r="10743" spans="1:1" x14ac:dyDescent="0.3">
      <c r="A10743" t="s">
        <v>5376</v>
      </c>
    </row>
    <row r="10744" spans="1:1" x14ac:dyDescent="0.3">
      <c r="A10744" t="s">
        <v>1157</v>
      </c>
    </row>
    <row r="10745" spans="1:1" x14ac:dyDescent="0.3">
      <c r="A10745" t="s">
        <v>5377</v>
      </c>
    </row>
    <row r="10746" spans="1:1" x14ac:dyDescent="0.3">
      <c r="A10746" t="s">
        <v>12</v>
      </c>
    </row>
    <row r="10747" spans="1:1" x14ac:dyDescent="0.3">
      <c r="A10747" t="s">
        <v>40</v>
      </c>
    </row>
    <row r="10749" spans="1:1" x14ac:dyDescent="0.3">
      <c r="A10749" t="s">
        <v>12</v>
      </c>
    </row>
    <row r="10750" spans="1:1" x14ac:dyDescent="0.3">
      <c r="A10750" t="s">
        <v>13</v>
      </c>
    </row>
    <row r="10751" spans="1:1" x14ac:dyDescent="0.3">
      <c r="A10751" t="s">
        <v>108</v>
      </c>
    </row>
    <row r="10752" spans="1:1" x14ac:dyDescent="0.3">
      <c r="A10752" t="s">
        <v>5378</v>
      </c>
    </row>
    <row r="10753" spans="1:1" x14ac:dyDescent="0.3">
      <c r="A10753" t="s">
        <v>5379</v>
      </c>
    </row>
    <row r="10754" spans="1:1" x14ac:dyDescent="0.3">
      <c r="A10754" t="s">
        <v>4436</v>
      </c>
    </row>
    <row r="10755" spans="1:1" x14ac:dyDescent="0.3">
      <c r="A10755" t="s">
        <v>110</v>
      </c>
    </row>
    <row r="10756" spans="1:1" x14ac:dyDescent="0.3">
      <c r="A10756" t="s">
        <v>1154</v>
      </c>
    </row>
    <row r="10757" spans="1:1" x14ac:dyDescent="0.3">
      <c r="A10757" t="s">
        <v>5380</v>
      </c>
    </row>
    <row r="10758" spans="1:1" x14ac:dyDescent="0.3">
      <c r="A10758" t="s">
        <v>51</v>
      </c>
    </row>
    <row r="10759" spans="1:1" x14ac:dyDescent="0.3">
      <c r="A10759" t="s">
        <v>52</v>
      </c>
    </row>
    <row r="10760" spans="1:1" x14ac:dyDescent="0.3">
      <c r="A10760" t="s">
        <v>79</v>
      </c>
    </row>
    <row r="10761" spans="1:1" x14ac:dyDescent="0.3">
      <c r="A10761" t="s">
        <v>98</v>
      </c>
    </row>
    <row r="10762" spans="1:1" x14ac:dyDescent="0.3">
      <c r="A10762" t="s">
        <v>13</v>
      </c>
    </row>
    <row r="10763" spans="1:1" x14ac:dyDescent="0.3">
      <c r="A10763" t="s">
        <v>105</v>
      </c>
    </row>
    <row r="10764" spans="1:1" x14ac:dyDescent="0.3">
      <c r="A10764" t="s">
        <v>5381</v>
      </c>
    </row>
    <row r="10765" spans="1:1" x14ac:dyDescent="0.3">
      <c r="A10765" t="s">
        <v>1157</v>
      </c>
    </row>
    <row r="10766" spans="1:1" x14ac:dyDescent="0.3">
      <c r="A10766" t="s">
        <v>5382</v>
      </c>
    </row>
    <row r="10767" spans="1:1" x14ac:dyDescent="0.3">
      <c r="A10767" t="s">
        <v>12</v>
      </c>
    </row>
    <row r="10768" spans="1:1" x14ac:dyDescent="0.3">
      <c r="A10768" t="s">
        <v>13</v>
      </c>
    </row>
    <row r="10769" spans="1:1" x14ac:dyDescent="0.3">
      <c r="A10769" t="s">
        <v>106</v>
      </c>
    </row>
    <row r="10770" spans="1:1" x14ac:dyDescent="0.3">
      <c r="A10770" t="s">
        <v>5383</v>
      </c>
    </row>
    <row r="10771" spans="1:1" x14ac:dyDescent="0.3">
      <c r="A10771" t="s">
        <v>1157</v>
      </c>
    </row>
    <row r="10772" spans="1:1" x14ac:dyDescent="0.3">
      <c r="A10772" t="s">
        <v>5384</v>
      </c>
    </row>
    <row r="10773" spans="1:1" x14ac:dyDescent="0.3">
      <c r="A10773" t="s">
        <v>12</v>
      </c>
    </row>
    <row r="10774" spans="1:1" x14ac:dyDescent="0.3">
      <c r="A10774" t="s">
        <v>40</v>
      </c>
    </row>
    <row r="10776" spans="1:1" x14ac:dyDescent="0.3">
      <c r="A10776" t="s">
        <v>12</v>
      </c>
    </row>
    <row r="10777" spans="1:1" x14ac:dyDescent="0.3">
      <c r="A10777" t="s">
        <v>13</v>
      </c>
    </row>
    <row r="10778" spans="1:1" x14ac:dyDescent="0.3">
      <c r="A10778" t="s">
        <v>1184</v>
      </c>
    </row>
    <row r="10779" spans="1:1" x14ac:dyDescent="0.3">
      <c r="A10779" t="s">
        <v>5385</v>
      </c>
    </row>
    <row r="10780" spans="1:1" x14ac:dyDescent="0.3">
      <c r="A10780" t="s">
        <v>5386</v>
      </c>
    </row>
    <row r="10781" spans="1:1" x14ac:dyDescent="0.3">
      <c r="A10781" t="s">
        <v>4436</v>
      </c>
    </row>
    <row r="10782" spans="1:1" x14ac:dyDescent="0.3">
      <c r="A10782" t="s">
        <v>110</v>
      </c>
    </row>
    <row r="10783" spans="1:1" x14ac:dyDescent="0.3">
      <c r="A10783" t="s">
        <v>5387</v>
      </c>
    </row>
    <row r="10784" spans="1:1" x14ac:dyDescent="0.3">
      <c r="A10784" t="s">
        <v>5388</v>
      </c>
    </row>
    <row r="10785" spans="1:1" x14ac:dyDescent="0.3">
      <c r="A10785" t="s">
        <v>51</v>
      </c>
    </row>
    <row r="10786" spans="1:1" x14ac:dyDescent="0.3">
      <c r="A10786" t="s">
        <v>52</v>
      </c>
    </row>
    <row r="10787" spans="1:1" x14ac:dyDescent="0.3">
      <c r="A10787" t="s">
        <v>79</v>
      </c>
    </row>
    <row r="10788" spans="1:1" x14ac:dyDescent="0.3">
      <c r="A10788" t="s">
        <v>98</v>
      </c>
    </row>
    <row r="10789" spans="1:1" x14ac:dyDescent="0.3">
      <c r="A10789" t="s">
        <v>13</v>
      </c>
    </row>
    <row r="10790" spans="1:1" x14ac:dyDescent="0.3">
      <c r="A10790" t="s">
        <v>105</v>
      </c>
    </row>
    <row r="10791" spans="1:1" x14ac:dyDescent="0.3">
      <c r="A10791" t="s">
        <v>5389</v>
      </c>
    </row>
    <row r="10792" spans="1:1" x14ac:dyDescent="0.3">
      <c r="A10792" t="s">
        <v>1157</v>
      </c>
    </row>
    <row r="10793" spans="1:1" x14ac:dyDescent="0.3">
      <c r="A10793" t="s">
        <v>5390</v>
      </c>
    </row>
    <row r="10794" spans="1:1" x14ac:dyDescent="0.3">
      <c r="A10794" t="s">
        <v>12</v>
      </c>
    </row>
    <row r="10795" spans="1:1" x14ac:dyDescent="0.3">
      <c r="A10795" t="s">
        <v>13</v>
      </c>
    </row>
    <row r="10796" spans="1:1" x14ac:dyDescent="0.3">
      <c r="A10796" t="s">
        <v>106</v>
      </c>
    </row>
    <row r="10797" spans="1:1" x14ac:dyDescent="0.3">
      <c r="A10797" t="s">
        <v>5391</v>
      </c>
    </row>
    <row r="10798" spans="1:1" x14ac:dyDescent="0.3">
      <c r="A10798" t="s">
        <v>1157</v>
      </c>
    </row>
    <row r="10799" spans="1:1" x14ac:dyDescent="0.3">
      <c r="A10799" t="s">
        <v>5392</v>
      </c>
    </row>
    <row r="10800" spans="1:1" x14ac:dyDescent="0.3">
      <c r="A10800" t="s">
        <v>12</v>
      </c>
    </row>
    <row r="10801" spans="1:1" x14ac:dyDescent="0.3">
      <c r="A10801" t="s">
        <v>40</v>
      </c>
    </row>
    <row r="10803" spans="1:1" x14ac:dyDescent="0.3">
      <c r="A10803" t="s">
        <v>12</v>
      </c>
    </row>
    <row r="10804" spans="1:1" x14ac:dyDescent="0.3">
      <c r="A10804" t="s">
        <v>13</v>
      </c>
    </row>
    <row r="10805" spans="1:1" x14ac:dyDescent="0.3">
      <c r="A10805" t="s">
        <v>1187</v>
      </c>
    </row>
    <row r="10806" spans="1:1" x14ac:dyDescent="0.3">
      <c r="A10806" t="s">
        <v>5393</v>
      </c>
    </row>
    <row r="10807" spans="1:1" x14ac:dyDescent="0.3">
      <c r="A10807" t="s">
        <v>5394</v>
      </c>
    </row>
    <row r="10808" spans="1:1" x14ac:dyDescent="0.3">
      <c r="A10808" t="s">
        <v>4436</v>
      </c>
    </row>
    <row r="10809" spans="1:1" x14ac:dyDescent="0.3">
      <c r="A10809" t="s">
        <v>110</v>
      </c>
    </row>
    <row r="10810" spans="1:1" x14ac:dyDescent="0.3">
      <c r="A10810" t="s">
        <v>5395</v>
      </c>
    </row>
    <row r="10811" spans="1:1" x14ac:dyDescent="0.3">
      <c r="A10811" t="s">
        <v>5396</v>
      </c>
    </row>
    <row r="10812" spans="1:1" x14ac:dyDescent="0.3">
      <c r="A10812" t="s">
        <v>51</v>
      </c>
    </row>
    <row r="10813" spans="1:1" x14ac:dyDescent="0.3">
      <c r="A10813" t="s">
        <v>52</v>
      </c>
    </row>
    <row r="10814" spans="1:1" x14ac:dyDescent="0.3">
      <c r="A10814" t="s">
        <v>79</v>
      </c>
    </row>
    <row r="10815" spans="1:1" x14ac:dyDescent="0.3">
      <c r="A10815" t="s">
        <v>98</v>
      </c>
    </row>
    <row r="10816" spans="1:1" x14ac:dyDescent="0.3">
      <c r="A10816" t="s">
        <v>13</v>
      </c>
    </row>
    <row r="10817" spans="1:1" x14ac:dyDescent="0.3">
      <c r="A10817" t="s">
        <v>105</v>
      </c>
    </row>
    <row r="10818" spans="1:1" x14ac:dyDescent="0.3">
      <c r="A10818" t="s">
        <v>5397</v>
      </c>
    </row>
    <row r="10819" spans="1:1" x14ac:dyDescent="0.3">
      <c r="A10819" t="s">
        <v>1157</v>
      </c>
    </row>
    <row r="10820" spans="1:1" x14ac:dyDescent="0.3">
      <c r="A10820" t="s">
        <v>5398</v>
      </c>
    </row>
    <row r="10821" spans="1:1" x14ac:dyDescent="0.3">
      <c r="A10821" t="s">
        <v>12</v>
      </c>
    </row>
    <row r="10822" spans="1:1" x14ac:dyDescent="0.3">
      <c r="A10822" t="s">
        <v>13</v>
      </c>
    </row>
    <row r="10823" spans="1:1" x14ac:dyDescent="0.3">
      <c r="A10823" t="s">
        <v>106</v>
      </c>
    </row>
    <row r="10824" spans="1:1" x14ac:dyDescent="0.3">
      <c r="A10824" t="s">
        <v>5399</v>
      </c>
    </row>
    <row r="10825" spans="1:1" x14ac:dyDescent="0.3">
      <c r="A10825" t="s">
        <v>1157</v>
      </c>
    </row>
    <row r="10826" spans="1:1" x14ac:dyDescent="0.3">
      <c r="A10826" t="s">
        <v>5400</v>
      </c>
    </row>
    <row r="10827" spans="1:1" x14ac:dyDescent="0.3">
      <c r="A10827" t="s">
        <v>12</v>
      </c>
    </row>
    <row r="10828" spans="1:1" x14ac:dyDescent="0.3">
      <c r="A10828" t="s">
        <v>40</v>
      </c>
    </row>
    <row r="10830" spans="1:1" x14ac:dyDescent="0.3">
      <c r="A10830" t="s">
        <v>12</v>
      </c>
    </row>
    <row r="10831" spans="1:1" x14ac:dyDescent="0.3">
      <c r="A10831" t="s">
        <v>13</v>
      </c>
    </row>
    <row r="10832" spans="1:1" x14ac:dyDescent="0.3">
      <c r="A10832" t="s">
        <v>1190</v>
      </c>
    </row>
    <row r="10833" spans="1:1" x14ac:dyDescent="0.3">
      <c r="A10833" t="s">
        <v>5401</v>
      </c>
    </row>
    <row r="10834" spans="1:1" x14ac:dyDescent="0.3">
      <c r="A10834" t="s">
        <v>5402</v>
      </c>
    </row>
    <row r="10835" spans="1:1" x14ac:dyDescent="0.3">
      <c r="A10835" t="s">
        <v>4436</v>
      </c>
    </row>
    <row r="10836" spans="1:1" x14ac:dyDescent="0.3">
      <c r="A10836" t="s">
        <v>110</v>
      </c>
    </row>
    <row r="10837" spans="1:1" x14ac:dyDescent="0.3">
      <c r="A10837" t="s">
        <v>1154</v>
      </c>
    </row>
    <row r="10838" spans="1:1" x14ac:dyDescent="0.3">
      <c r="A10838" t="s">
        <v>5403</v>
      </c>
    </row>
    <row r="10839" spans="1:1" x14ac:dyDescent="0.3">
      <c r="A10839" t="s">
        <v>51</v>
      </c>
    </row>
    <row r="10840" spans="1:1" x14ac:dyDescent="0.3">
      <c r="A10840" t="s">
        <v>52</v>
      </c>
    </row>
    <row r="10841" spans="1:1" x14ac:dyDescent="0.3">
      <c r="A10841" t="s">
        <v>79</v>
      </c>
    </row>
    <row r="10842" spans="1:1" x14ac:dyDescent="0.3">
      <c r="A10842" t="s">
        <v>98</v>
      </c>
    </row>
    <row r="10843" spans="1:1" x14ac:dyDescent="0.3">
      <c r="A10843" t="s">
        <v>13</v>
      </c>
    </row>
    <row r="10844" spans="1:1" x14ac:dyDescent="0.3">
      <c r="A10844" t="s">
        <v>105</v>
      </c>
    </row>
    <row r="10845" spans="1:1" x14ac:dyDescent="0.3">
      <c r="A10845" t="s">
        <v>5404</v>
      </c>
    </row>
    <row r="10846" spans="1:1" x14ac:dyDescent="0.3">
      <c r="A10846" t="s">
        <v>1157</v>
      </c>
    </row>
    <row r="10847" spans="1:1" x14ac:dyDescent="0.3">
      <c r="A10847" t="s">
        <v>5405</v>
      </c>
    </row>
    <row r="10848" spans="1:1" x14ac:dyDescent="0.3">
      <c r="A10848" t="s">
        <v>12</v>
      </c>
    </row>
    <row r="10849" spans="1:1" x14ac:dyDescent="0.3">
      <c r="A10849" t="s">
        <v>13</v>
      </c>
    </row>
    <row r="10850" spans="1:1" x14ac:dyDescent="0.3">
      <c r="A10850" t="s">
        <v>106</v>
      </c>
    </row>
    <row r="10851" spans="1:1" x14ac:dyDescent="0.3">
      <c r="A10851" t="s">
        <v>5406</v>
      </c>
    </row>
    <row r="10852" spans="1:1" x14ac:dyDescent="0.3">
      <c r="A10852" t="s">
        <v>1157</v>
      </c>
    </row>
    <row r="10853" spans="1:1" x14ac:dyDescent="0.3">
      <c r="A10853" t="s">
        <v>5407</v>
      </c>
    </row>
    <row r="10854" spans="1:1" x14ac:dyDescent="0.3">
      <c r="A10854" t="s">
        <v>12</v>
      </c>
    </row>
    <row r="10855" spans="1:1" x14ac:dyDescent="0.3">
      <c r="A10855" t="s">
        <v>40</v>
      </c>
    </row>
    <row r="10857" spans="1:1" x14ac:dyDescent="0.3">
      <c r="A10857" t="s">
        <v>12</v>
      </c>
    </row>
    <row r="10858" spans="1:1" x14ac:dyDescent="0.3">
      <c r="A10858" t="s">
        <v>13</v>
      </c>
    </row>
    <row r="10859" spans="1:1" x14ac:dyDescent="0.3">
      <c r="A10859" t="s">
        <v>1193</v>
      </c>
    </row>
    <row r="10860" spans="1:1" x14ac:dyDescent="0.3">
      <c r="A10860" t="s">
        <v>5408</v>
      </c>
    </row>
    <row r="10861" spans="1:1" x14ac:dyDescent="0.3">
      <c r="A10861" t="s">
        <v>5409</v>
      </c>
    </row>
    <row r="10862" spans="1:1" x14ac:dyDescent="0.3">
      <c r="A10862" t="s">
        <v>4436</v>
      </c>
    </row>
    <row r="10863" spans="1:1" x14ac:dyDescent="0.3">
      <c r="A10863" t="s">
        <v>110</v>
      </c>
    </row>
    <row r="10864" spans="1:1" x14ac:dyDescent="0.3">
      <c r="A10864" t="s">
        <v>5410</v>
      </c>
    </row>
    <row r="10865" spans="1:1" x14ac:dyDescent="0.3">
      <c r="A10865" t="s">
        <v>5411</v>
      </c>
    </row>
    <row r="10866" spans="1:1" x14ac:dyDescent="0.3">
      <c r="A10866" t="s">
        <v>51</v>
      </c>
    </row>
    <row r="10867" spans="1:1" x14ac:dyDescent="0.3">
      <c r="A10867" t="s">
        <v>52</v>
      </c>
    </row>
    <row r="10868" spans="1:1" x14ac:dyDescent="0.3">
      <c r="A10868" t="s">
        <v>79</v>
      </c>
    </row>
    <row r="10869" spans="1:1" x14ac:dyDescent="0.3">
      <c r="A10869" t="s">
        <v>98</v>
      </c>
    </row>
    <row r="10870" spans="1:1" x14ac:dyDescent="0.3">
      <c r="A10870" t="s">
        <v>13</v>
      </c>
    </row>
    <row r="10871" spans="1:1" x14ac:dyDescent="0.3">
      <c r="A10871" t="s">
        <v>105</v>
      </c>
    </row>
    <row r="10872" spans="1:1" x14ac:dyDescent="0.3">
      <c r="A10872" t="s">
        <v>5412</v>
      </c>
    </row>
    <row r="10873" spans="1:1" x14ac:dyDescent="0.3">
      <c r="A10873" t="s">
        <v>1157</v>
      </c>
    </row>
    <row r="10874" spans="1:1" x14ac:dyDescent="0.3">
      <c r="A10874" t="s">
        <v>5413</v>
      </c>
    </row>
    <row r="10875" spans="1:1" x14ac:dyDescent="0.3">
      <c r="A10875" t="s">
        <v>12</v>
      </c>
    </row>
    <row r="10876" spans="1:1" x14ac:dyDescent="0.3">
      <c r="A10876" t="s">
        <v>13</v>
      </c>
    </row>
    <row r="10877" spans="1:1" x14ac:dyDescent="0.3">
      <c r="A10877" t="s">
        <v>106</v>
      </c>
    </row>
    <row r="10878" spans="1:1" x14ac:dyDescent="0.3">
      <c r="A10878" t="s">
        <v>5414</v>
      </c>
    </row>
    <row r="10879" spans="1:1" x14ac:dyDescent="0.3">
      <c r="A10879" t="s">
        <v>1157</v>
      </c>
    </row>
    <row r="10880" spans="1:1" x14ac:dyDescent="0.3">
      <c r="A10880" t="s">
        <v>5415</v>
      </c>
    </row>
    <row r="10881" spans="1:1" x14ac:dyDescent="0.3">
      <c r="A10881" t="s">
        <v>12</v>
      </c>
    </row>
    <row r="10882" spans="1:1" x14ac:dyDescent="0.3">
      <c r="A10882" t="s">
        <v>40</v>
      </c>
    </row>
    <row r="10884" spans="1:1" x14ac:dyDescent="0.3">
      <c r="A10884" t="s">
        <v>12</v>
      </c>
    </row>
    <row r="10885" spans="1:1" x14ac:dyDescent="0.3">
      <c r="A10885" t="s">
        <v>13</v>
      </c>
    </row>
    <row r="10886" spans="1:1" x14ac:dyDescent="0.3">
      <c r="A10886" t="s">
        <v>1201</v>
      </c>
    </row>
    <row r="10887" spans="1:1" x14ac:dyDescent="0.3">
      <c r="A10887" t="s">
        <v>5416</v>
      </c>
    </row>
    <row r="10888" spans="1:1" x14ac:dyDescent="0.3">
      <c r="A10888" t="s">
        <v>5417</v>
      </c>
    </row>
    <row r="10889" spans="1:1" x14ac:dyDescent="0.3">
      <c r="A10889" t="s">
        <v>4436</v>
      </c>
    </row>
    <row r="10890" spans="1:1" x14ac:dyDescent="0.3">
      <c r="A10890" t="s">
        <v>110</v>
      </c>
    </row>
    <row r="10891" spans="1:1" x14ac:dyDescent="0.3">
      <c r="A10891" t="s">
        <v>1154</v>
      </c>
    </row>
    <row r="10892" spans="1:1" x14ac:dyDescent="0.3">
      <c r="A10892" t="s">
        <v>5418</v>
      </c>
    </row>
    <row r="10893" spans="1:1" x14ac:dyDescent="0.3">
      <c r="A10893" t="s">
        <v>51</v>
      </c>
    </row>
    <row r="10894" spans="1:1" x14ac:dyDescent="0.3">
      <c r="A10894" t="s">
        <v>52</v>
      </c>
    </row>
    <row r="10895" spans="1:1" x14ac:dyDescent="0.3">
      <c r="A10895" t="s">
        <v>79</v>
      </c>
    </row>
    <row r="10896" spans="1:1" x14ac:dyDescent="0.3">
      <c r="A10896" t="s">
        <v>98</v>
      </c>
    </row>
    <row r="10897" spans="1:1" x14ac:dyDescent="0.3">
      <c r="A10897" t="s">
        <v>13</v>
      </c>
    </row>
    <row r="10898" spans="1:1" x14ac:dyDescent="0.3">
      <c r="A10898" t="s">
        <v>105</v>
      </c>
    </row>
    <row r="10899" spans="1:1" x14ac:dyDescent="0.3">
      <c r="A10899" t="s">
        <v>5419</v>
      </c>
    </row>
    <row r="10900" spans="1:1" x14ac:dyDescent="0.3">
      <c r="A10900" t="s">
        <v>1157</v>
      </c>
    </row>
    <row r="10901" spans="1:1" x14ac:dyDescent="0.3">
      <c r="A10901" t="s">
        <v>5420</v>
      </c>
    </row>
    <row r="10902" spans="1:1" x14ac:dyDescent="0.3">
      <c r="A10902" t="s">
        <v>12</v>
      </c>
    </row>
    <row r="10903" spans="1:1" x14ac:dyDescent="0.3">
      <c r="A10903" t="s">
        <v>13</v>
      </c>
    </row>
    <row r="10904" spans="1:1" x14ac:dyDescent="0.3">
      <c r="A10904" t="s">
        <v>106</v>
      </c>
    </row>
    <row r="10905" spans="1:1" x14ac:dyDescent="0.3">
      <c r="A10905" t="s">
        <v>5421</v>
      </c>
    </row>
    <row r="10906" spans="1:1" x14ac:dyDescent="0.3">
      <c r="A10906" t="s">
        <v>1157</v>
      </c>
    </row>
    <row r="10907" spans="1:1" x14ac:dyDescent="0.3">
      <c r="A10907" t="s">
        <v>5422</v>
      </c>
    </row>
    <row r="10908" spans="1:1" x14ac:dyDescent="0.3">
      <c r="A10908" t="s">
        <v>12</v>
      </c>
    </row>
    <row r="10909" spans="1:1" x14ac:dyDescent="0.3">
      <c r="A10909" t="s">
        <v>40</v>
      </c>
    </row>
    <row r="10911" spans="1:1" x14ac:dyDescent="0.3">
      <c r="A10911" t="s">
        <v>12</v>
      </c>
    </row>
    <row r="10912" spans="1:1" x14ac:dyDescent="0.3">
      <c r="A10912" t="s">
        <v>13</v>
      </c>
    </row>
    <row r="10913" spans="1:1" x14ac:dyDescent="0.3">
      <c r="A10913" t="s">
        <v>1204</v>
      </c>
    </row>
    <row r="10914" spans="1:1" x14ac:dyDescent="0.3">
      <c r="A10914" t="s">
        <v>5423</v>
      </c>
    </row>
    <row r="10915" spans="1:1" x14ac:dyDescent="0.3">
      <c r="A10915" t="s">
        <v>5424</v>
      </c>
    </row>
    <row r="10916" spans="1:1" x14ac:dyDescent="0.3">
      <c r="A10916" t="s">
        <v>4436</v>
      </c>
    </row>
    <row r="10917" spans="1:1" x14ac:dyDescent="0.3">
      <c r="A10917" t="s">
        <v>110</v>
      </c>
    </row>
    <row r="10918" spans="1:1" x14ac:dyDescent="0.3">
      <c r="A10918" t="s">
        <v>5425</v>
      </c>
    </row>
    <row r="10919" spans="1:1" x14ac:dyDescent="0.3">
      <c r="A10919" t="s">
        <v>5426</v>
      </c>
    </row>
    <row r="10920" spans="1:1" x14ac:dyDescent="0.3">
      <c r="A10920" t="s">
        <v>51</v>
      </c>
    </row>
    <row r="10921" spans="1:1" x14ac:dyDescent="0.3">
      <c r="A10921" t="s">
        <v>52</v>
      </c>
    </row>
    <row r="10922" spans="1:1" x14ac:dyDescent="0.3">
      <c r="A10922" t="s">
        <v>79</v>
      </c>
    </row>
    <row r="10924" spans="1:1" x14ac:dyDescent="0.3">
      <c r="A10924" t="s">
        <v>12</v>
      </c>
    </row>
    <row r="10925" spans="1:1" x14ac:dyDescent="0.3">
      <c r="A10925" t="s">
        <v>13</v>
      </c>
    </row>
    <row r="10926" spans="1:1" x14ac:dyDescent="0.3">
      <c r="A10926" t="s">
        <v>1212</v>
      </c>
    </row>
    <row r="10927" spans="1:1" x14ac:dyDescent="0.3">
      <c r="A10927" t="s">
        <v>5427</v>
      </c>
    </row>
    <row r="10928" spans="1:1" x14ac:dyDescent="0.3">
      <c r="A10928" t="s">
        <v>5428</v>
      </c>
    </row>
    <row r="10929" spans="1:1" x14ac:dyDescent="0.3">
      <c r="A10929" t="s">
        <v>4436</v>
      </c>
    </row>
    <row r="10930" spans="1:1" x14ac:dyDescent="0.3">
      <c r="A10930" t="s">
        <v>110</v>
      </c>
    </row>
    <row r="10931" spans="1:1" x14ac:dyDescent="0.3">
      <c r="A10931" t="s">
        <v>1154</v>
      </c>
    </row>
    <row r="10932" spans="1:1" x14ac:dyDescent="0.3">
      <c r="A10932" t="s">
        <v>5429</v>
      </c>
    </row>
    <row r="10933" spans="1:1" x14ac:dyDescent="0.3">
      <c r="A10933" t="s">
        <v>51</v>
      </c>
    </row>
    <row r="10934" spans="1:1" x14ac:dyDescent="0.3">
      <c r="A10934" t="s">
        <v>52</v>
      </c>
    </row>
    <row r="10935" spans="1:1" x14ac:dyDescent="0.3">
      <c r="A10935" t="s">
        <v>79</v>
      </c>
    </row>
    <row r="10936" spans="1:1" x14ac:dyDescent="0.3">
      <c r="A10936" t="s">
        <v>98</v>
      </c>
    </row>
    <row r="10937" spans="1:1" x14ac:dyDescent="0.3">
      <c r="A10937" t="s">
        <v>13</v>
      </c>
    </row>
    <row r="10938" spans="1:1" x14ac:dyDescent="0.3">
      <c r="A10938" t="s">
        <v>106</v>
      </c>
    </row>
    <row r="10939" spans="1:1" x14ac:dyDescent="0.3">
      <c r="A10939" t="s">
        <v>5430</v>
      </c>
    </row>
    <row r="10940" spans="1:1" x14ac:dyDescent="0.3">
      <c r="A10940" t="s">
        <v>1157</v>
      </c>
    </row>
    <row r="10941" spans="1:1" x14ac:dyDescent="0.3">
      <c r="A10941" t="s">
        <v>5431</v>
      </c>
    </row>
    <row r="10942" spans="1:1" x14ac:dyDescent="0.3">
      <c r="A10942" t="s">
        <v>12</v>
      </c>
    </row>
    <row r="10943" spans="1:1" x14ac:dyDescent="0.3">
      <c r="A10943" t="s">
        <v>40</v>
      </c>
    </row>
    <row r="10945" spans="1:1" x14ac:dyDescent="0.3">
      <c r="A10945" t="s">
        <v>12</v>
      </c>
    </row>
    <row r="10946" spans="1:1" x14ac:dyDescent="0.3">
      <c r="A10946" t="s">
        <v>13</v>
      </c>
    </row>
    <row r="10947" spans="1:1" x14ac:dyDescent="0.3">
      <c r="A10947" t="s">
        <v>1220</v>
      </c>
    </row>
    <row r="10948" spans="1:1" x14ac:dyDescent="0.3">
      <c r="A10948" t="s">
        <v>5432</v>
      </c>
    </row>
    <row r="10949" spans="1:1" x14ac:dyDescent="0.3">
      <c r="A10949" t="s">
        <v>5433</v>
      </c>
    </row>
    <row r="10950" spans="1:1" x14ac:dyDescent="0.3">
      <c r="A10950" t="s">
        <v>4436</v>
      </c>
    </row>
    <row r="10951" spans="1:1" x14ac:dyDescent="0.3">
      <c r="A10951" t="s">
        <v>110</v>
      </c>
    </row>
    <row r="10952" spans="1:1" x14ac:dyDescent="0.3">
      <c r="A10952" t="s">
        <v>5434</v>
      </c>
    </row>
    <row r="10953" spans="1:1" x14ac:dyDescent="0.3">
      <c r="A10953" t="s">
        <v>5435</v>
      </c>
    </row>
    <row r="10954" spans="1:1" x14ac:dyDescent="0.3">
      <c r="A10954" t="s">
        <v>51</v>
      </c>
    </row>
    <row r="10955" spans="1:1" x14ac:dyDescent="0.3">
      <c r="A10955" t="s">
        <v>52</v>
      </c>
    </row>
    <row r="10956" spans="1:1" x14ac:dyDescent="0.3">
      <c r="A10956" t="s">
        <v>79</v>
      </c>
    </row>
    <row r="10958" spans="1:1" x14ac:dyDescent="0.3">
      <c r="A10958" t="s">
        <v>12</v>
      </c>
    </row>
    <row r="10959" spans="1:1" x14ac:dyDescent="0.3">
      <c r="A10959" t="s">
        <v>13</v>
      </c>
    </row>
    <row r="10960" spans="1:1" x14ac:dyDescent="0.3">
      <c r="A10960" t="s">
        <v>1228</v>
      </c>
    </row>
    <row r="10961" spans="1:1" x14ac:dyDescent="0.3">
      <c r="A10961" t="s">
        <v>5436</v>
      </c>
    </row>
    <row r="10962" spans="1:1" x14ac:dyDescent="0.3">
      <c r="A10962" t="s">
        <v>5437</v>
      </c>
    </row>
    <row r="10963" spans="1:1" x14ac:dyDescent="0.3">
      <c r="A10963" t="s">
        <v>4436</v>
      </c>
    </row>
    <row r="10964" spans="1:1" x14ac:dyDescent="0.3">
      <c r="A10964" t="s">
        <v>110</v>
      </c>
    </row>
    <row r="10965" spans="1:1" x14ac:dyDescent="0.3">
      <c r="A10965" t="s">
        <v>1154</v>
      </c>
    </row>
    <row r="10966" spans="1:1" x14ac:dyDescent="0.3">
      <c r="A10966" t="s">
        <v>5438</v>
      </c>
    </row>
    <row r="10967" spans="1:1" x14ac:dyDescent="0.3">
      <c r="A10967" t="s">
        <v>51</v>
      </c>
    </row>
    <row r="10968" spans="1:1" x14ac:dyDescent="0.3">
      <c r="A10968" t="s">
        <v>52</v>
      </c>
    </row>
    <row r="10969" spans="1:1" x14ac:dyDescent="0.3">
      <c r="A10969" t="s">
        <v>79</v>
      </c>
    </row>
    <row r="10970" spans="1:1" x14ac:dyDescent="0.3">
      <c r="A10970" t="s">
        <v>98</v>
      </c>
    </row>
    <row r="10971" spans="1:1" x14ac:dyDescent="0.3">
      <c r="A10971" t="s">
        <v>13</v>
      </c>
    </row>
    <row r="10972" spans="1:1" x14ac:dyDescent="0.3">
      <c r="A10972" t="s">
        <v>105</v>
      </c>
    </row>
    <row r="10973" spans="1:1" x14ac:dyDescent="0.3">
      <c r="A10973" t="s">
        <v>5439</v>
      </c>
    </row>
    <row r="10974" spans="1:1" x14ac:dyDescent="0.3">
      <c r="A10974" t="s">
        <v>1157</v>
      </c>
    </row>
    <row r="10975" spans="1:1" x14ac:dyDescent="0.3">
      <c r="A10975" t="s">
        <v>5440</v>
      </c>
    </row>
    <row r="10976" spans="1:1" x14ac:dyDescent="0.3">
      <c r="A10976" t="s">
        <v>12</v>
      </c>
    </row>
    <row r="10977" spans="1:1" x14ac:dyDescent="0.3">
      <c r="A10977" t="s">
        <v>13</v>
      </c>
    </row>
    <row r="10978" spans="1:1" x14ac:dyDescent="0.3">
      <c r="A10978" t="s">
        <v>106</v>
      </c>
    </row>
    <row r="10979" spans="1:1" x14ac:dyDescent="0.3">
      <c r="A10979" t="s">
        <v>5441</v>
      </c>
    </row>
    <row r="10980" spans="1:1" x14ac:dyDescent="0.3">
      <c r="A10980" t="s">
        <v>1157</v>
      </c>
    </row>
    <row r="10981" spans="1:1" x14ac:dyDescent="0.3">
      <c r="A10981" t="s">
        <v>5442</v>
      </c>
    </row>
    <row r="10982" spans="1:1" x14ac:dyDescent="0.3">
      <c r="A10982" t="s">
        <v>12</v>
      </c>
    </row>
    <row r="10983" spans="1:1" x14ac:dyDescent="0.3">
      <c r="A10983" t="s">
        <v>40</v>
      </c>
    </row>
    <row r="10985" spans="1:1" x14ac:dyDescent="0.3">
      <c r="A10985" t="s">
        <v>12</v>
      </c>
    </row>
    <row r="10986" spans="1:1" x14ac:dyDescent="0.3">
      <c r="A10986" t="s">
        <v>13</v>
      </c>
    </row>
    <row r="10987" spans="1:1" x14ac:dyDescent="0.3">
      <c r="A10987" t="s">
        <v>1236</v>
      </c>
    </row>
    <row r="10988" spans="1:1" x14ac:dyDescent="0.3">
      <c r="A10988" t="s">
        <v>5443</v>
      </c>
    </row>
    <row r="10989" spans="1:1" x14ac:dyDescent="0.3">
      <c r="A10989" t="s">
        <v>5444</v>
      </c>
    </row>
    <row r="10990" spans="1:1" x14ac:dyDescent="0.3">
      <c r="A10990" t="s">
        <v>4436</v>
      </c>
    </row>
    <row r="10991" spans="1:1" x14ac:dyDescent="0.3">
      <c r="A10991" t="s">
        <v>110</v>
      </c>
    </row>
    <row r="10992" spans="1:1" x14ac:dyDescent="0.3">
      <c r="A10992" t="s">
        <v>1154</v>
      </c>
    </row>
    <row r="10993" spans="1:1" x14ac:dyDescent="0.3">
      <c r="A10993" t="s">
        <v>5445</v>
      </c>
    </row>
    <row r="10994" spans="1:1" x14ac:dyDescent="0.3">
      <c r="A10994" t="s">
        <v>51</v>
      </c>
    </row>
    <row r="10995" spans="1:1" x14ac:dyDescent="0.3">
      <c r="A10995" t="s">
        <v>52</v>
      </c>
    </row>
    <row r="10996" spans="1:1" x14ac:dyDescent="0.3">
      <c r="A10996" t="s">
        <v>79</v>
      </c>
    </row>
    <row r="10997" spans="1:1" x14ac:dyDescent="0.3">
      <c r="A10997" t="s">
        <v>98</v>
      </c>
    </row>
    <row r="10998" spans="1:1" x14ac:dyDescent="0.3">
      <c r="A10998" t="s">
        <v>13</v>
      </c>
    </row>
    <row r="10999" spans="1:1" x14ac:dyDescent="0.3">
      <c r="A10999" t="s">
        <v>105</v>
      </c>
    </row>
    <row r="11000" spans="1:1" x14ac:dyDescent="0.3">
      <c r="A11000" t="s">
        <v>5446</v>
      </c>
    </row>
    <row r="11001" spans="1:1" x14ac:dyDescent="0.3">
      <c r="A11001" t="s">
        <v>1157</v>
      </c>
    </row>
    <row r="11002" spans="1:1" x14ac:dyDescent="0.3">
      <c r="A11002" t="s">
        <v>5447</v>
      </c>
    </row>
    <row r="11003" spans="1:1" x14ac:dyDescent="0.3">
      <c r="A11003" t="s">
        <v>12</v>
      </c>
    </row>
    <row r="11004" spans="1:1" x14ac:dyDescent="0.3">
      <c r="A11004" t="s">
        <v>13</v>
      </c>
    </row>
    <row r="11005" spans="1:1" x14ac:dyDescent="0.3">
      <c r="A11005" t="s">
        <v>106</v>
      </c>
    </row>
    <row r="11006" spans="1:1" x14ac:dyDescent="0.3">
      <c r="A11006" t="s">
        <v>5448</v>
      </c>
    </row>
    <row r="11007" spans="1:1" x14ac:dyDescent="0.3">
      <c r="A11007" t="s">
        <v>1157</v>
      </c>
    </row>
    <row r="11008" spans="1:1" x14ac:dyDescent="0.3">
      <c r="A11008" t="s">
        <v>5449</v>
      </c>
    </row>
    <row r="11009" spans="1:1" x14ac:dyDescent="0.3">
      <c r="A11009" t="s">
        <v>12</v>
      </c>
    </row>
    <row r="11010" spans="1:1" x14ac:dyDescent="0.3">
      <c r="A11010" t="s">
        <v>40</v>
      </c>
    </row>
    <row r="11012" spans="1:1" x14ac:dyDescent="0.3">
      <c r="A11012" t="s">
        <v>12</v>
      </c>
    </row>
    <row r="11013" spans="1:1" x14ac:dyDescent="0.3">
      <c r="A11013" t="s">
        <v>13</v>
      </c>
    </row>
    <row r="11014" spans="1:1" x14ac:dyDescent="0.3">
      <c r="A11014" t="s">
        <v>1244</v>
      </c>
    </row>
    <row r="11015" spans="1:1" x14ac:dyDescent="0.3">
      <c r="A11015" t="s">
        <v>5450</v>
      </c>
    </row>
    <row r="11016" spans="1:1" x14ac:dyDescent="0.3">
      <c r="A11016" t="s">
        <v>5451</v>
      </c>
    </row>
    <row r="11017" spans="1:1" x14ac:dyDescent="0.3">
      <c r="A11017" t="s">
        <v>4436</v>
      </c>
    </row>
    <row r="11018" spans="1:1" x14ac:dyDescent="0.3">
      <c r="A11018" t="s">
        <v>110</v>
      </c>
    </row>
    <row r="11019" spans="1:1" x14ac:dyDescent="0.3">
      <c r="A11019" t="s">
        <v>1154</v>
      </c>
    </row>
    <row r="11020" spans="1:1" x14ac:dyDescent="0.3">
      <c r="A11020" t="s">
        <v>5452</v>
      </c>
    </row>
    <row r="11021" spans="1:1" x14ac:dyDescent="0.3">
      <c r="A11021" t="s">
        <v>51</v>
      </c>
    </row>
    <row r="11022" spans="1:1" x14ac:dyDescent="0.3">
      <c r="A11022" t="s">
        <v>52</v>
      </c>
    </row>
    <row r="11023" spans="1:1" x14ac:dyDescent="0.3">
      <c r="A11023" t="s">
        <v>79</v>
      </c>
    </row>
    <row r="11024" spans="1:1" x14ac:dyDescent="0.3">
      <c r="A11024" t="s">
        <v>98</v>
      </c>
    </row>
    <row r="11025" spans="1:1" x14ac:dyDescent="0.3">
      <c r="A11025" t="s">
        <v>13</v>
      </c>
    </row>
    <row r="11026" spans="1:1" x14ac:dyDescent="0.3">
      <c r="A11026" t="s">
        <v>105</v>
      </c>
    </row>
    <row r="11027" spans="1:1" x14ac:dyDescent="0.3">
      <c r="A11027" t="s">
        <v>5453</v>
      </c>
    </row>
    <row r="11028" spans="1:1" x14ac:dyDescent="0.3">
      <c r="A11028" t="s">
        <v>1157</v>
      </c>
    </row>
    <row r="11029" spans="1:1" x14ac:dyDescent="0.3">
      <c r="A11029" t="s">
        <v>5454</v>
      </c>
    </row>
    <row r="11030" spans="1:1" x14ac:dyDescent="0.3">
      <c r="A11030" t="s">
        <v>12</v>
      </c>
    </row>
    <row r="11031" spans="1:1" x14ac:dyDescent="0.3">
      <c r="A11031" t="s">
        <v>13</v>
      </c>
    </row>
    <row r="11032" spans="1:1" x14ac:dyDescent="0.3">
      <c r="A11032" t="s">
        <v>106</v>
      </c>
    </row>
    <row r="11033" spans="1:1" x14ac:dyDescent="0.3">
      <c r="A11033" t="s">
        <v>5455</v>
      </c>
    </row>
    <row r="11034" spans="1:1" x14ac:dyDescent="0.3">
      <c r="A11034" t="s">
        <v>1157</v>
      </c>
    </row>
    <row r="11035" spans="1:1" x14ac:dyDescent="0.3">
      <c r="A11035" t="s">
        <v>5456</v>
      </c>
    </row>
    <row r="11036" spans="1:1" x14ac:dyDescent="0.3">
      <c r="A11036" t="s">
        <v>12</v>
      </c>
    </row>
    <row r="11037" spans="1:1" x14ac:dyDescent="0.3">
      <c r="A11037" t="s">
        <v>40</v>
      </c>
    </row>
    <row r="11039" spans="1:1" x14ac:dyDescent="0.3">
      <c r="A11039" t="s">
        <v>12</v>
      </c>
    </row>
    <row r="11040" spans="1:1" x14ac:dyDescent="0.3">
      <c r="A11040" t="s">
        <v>13</v>
      </c>
    </row>
    <row r="11041" spans="1:1" x14ac:dyDescent="0.3">
      <c r="A11041" t="s">
        <v>1252</v>
      </c>
    </row>
    <row r="11042" spans="1:1" x14ac:dyDescent="0.3">
      <c r="A11042" t="s">
        <v>5457</v>
      </c>
    </row>
    <row r="11043" spans="1:1" x14ac:dyDescent="0.3">
      <c r="A11043" t="s">
        <v>5458</v>
      </c>
    </row>
    <row r="11044" spans="1:1" x14ac:dyDescent="0.3">
      <c r="A11044" t="s">
        <v>4436</v>
      </c>
    </row>
    <row r="11045" spans="1:1" x14ac:dyDescent="0.3">
      <c r="A11045" t="s">
        <v>110</v>
      </c>
    </row>
    <row r="11046" spans="1:1" x14ac:dyDescent="0.3">
      <c r="A11046" t="s">
        <v>5459</v>
      </c>
    </row>
    <row r="11047" spans="1:1" x14ac:dyDescent="0.3">
      <c r="A11047" t="s">
        <v>5460</v>
      </c>
    </row>
    <row r="11048" spans="1:1" x14ac:dyDescent="0.3">
      <c r="A11048" t="s">
        <v>51</v>
      </c>
    </row>
    <row r="11049" spans="1:1" x14ac:dyDescent="0.3">
      <c r="A11049" t="s">
        <v>52</v>
      </c>
    </row>
    <row r="11050" spans="1:1" x14ac:dyDescent="0.3">
      <c r="A11050" t="s">
        <v>79</v>
      </c>
    </row>
    <row r="11051" spans="1:1" x14ac:dyDescent="0.3">
      <c r="A11051" t="s">
        <v>98</v>
      </c>
    </row>
    <row r="11052" spans="1:1" x14ac:dyDescent="0.3">
      <c r="A11052" t="s">
        <v>13</v>
      </c>
    </row>
    <row r="11053" spans="1:1" x14ac:dyDescent="0.3">
      <c r="A11053" t="s">
        <v>105</v>
      </c>
    </row>
    <row r="11054" spans="1:1" x14ac:dyDescent="0.3">
      <c r="A11054" t="s">
        <v>5461</v>
      </c>
    </row>
    <row r="11055" spans="1:1" x14ac:dyDescent="0.3">
      <c r="A11055" t="s">
        <v>1157</v>
      </c>
    </row>
    <row r="11056" spans="1:1" x14ac:dyDescent="0.3">
      <c r="A11056" t="s">
        <v>5462</v>
      </c>
    </row>
    <row r="11057" spans="1:1" x14ac:dyDescent="0.3">
      <c r="A11057" t="s">
        <v>12</v>
      </c>
    </row>
    <row r="11058" spans="1:1" x14ac:dyDescent="0.3">
      <c r="A11058" t="s">
        <v>13</v>
      </c>
    </row>
    <row r="11059" spans="1:1" x14ac:dyDescent="0.3">
      <c r="A11059" t="s">
        <v>106</v>
      </c>
    </row>
    <row r="11060" spans="1:1" x14ac:dyDescent="0.3">
      <c r="A11060" t="s">
        <v>5463</v>
      </c>
    </row>
    <row r="11061" spans="1:1" x14ac:dyDescent="0.3">
      <c r="A11061" t="s">
        <v>1157</v>
      </c>
    </row>
    <row r="11062" spans="1:1" x14ac:dyDescent="0.3">
      <c r="A11062" t="s">
        <v>5464</v>
      </c>
    </row>
    <row r="11063" spans="1:1" x14ac:dyDescent="0.3">
      <c r="A11063" t="s">
        <v>12</v>
      </c>
    </row>
    <row r="11064" spans="1:1" x14ac:dyDescent="0.3">
      <c r="A11064" t="s">
        <v>40</v>
      </c>
    </row>
    <row r="11066" spans="1:1" x14ac:dyDescent="0.3">
      <c r="A11066" t="s">
        <v>12</v>
      </c>
    </row>
    <row r="11067" spans="1:1" x14ac:dyDescent="0.3">
      <c r="A11067" t="s">
        <v>13</v>
      </c>
    </row>
    <row r="11068" spans="1:1" x14ac:dyDescent="0.3">
      <c r="A11068" t="s">
        <v>1256</v>
      </c>
    </row>
    <row r="11069" spans="1:1" x14ac:dyDescent="0.3">
      <c r="A11069" t="s">
        <v>5465</v>
      </c>
    </row>
    <row r="11070" spans="1:1" x14ac:dyDescent="0.3">
      <c r="A11070" t="s">
        <v>5466</v>
      </c>
    </row>
    <row r="11071" spans="1:1" x14ac:dyDescent="0.3">
      <c r="A11071" t="s">
        <v>4436</v>
      </c>
    </row>
    <row r="11072" spans="1:1" x14ac:dyDescent="0.3">
      <c r="A11072" t="s">
        <v>110</v>
      </c>
    </row>
    <row r="11073" spans="1:1" x14ac:dyDescent="0.3">
      <c r="A11073" t="s">
        <v>1154</v>
      </c>
    </row>
    <row r="11074" spans="1:1" x14ac:dyDescent="0.3">
      <c r="A11074" t="s">
        <v>5467</v>
      </c>
    </row>
    <row r="11075" spans="1:1" x14ac:dyDescent="0.3">
      <c r="A11075" t="s">
        <v>51</v>
      </c>
    </row>
    <row r="11076" spans="1:1" x14ac:dyDescent="0.3">
      <c r="A11076" t="s">
        <v>52</v>
      </c>
    </row>
    <row r="11077" spans="1:1" x14ac:dyDescent="0.3">
      <c r="A11077" t="s">
        <v>79</v>
      </c>
    </row>
    <row r="11079" spans="1:1" x14ac:dyDescent="0.3">
      <c r="A11079" t="s">
        <v>12</v>
      </c>
    </row>
    <row r="11080" spans="1:1" x14ac:dyDescent="0.3">
      <c r="A11080" t="s">
        <v>13</v>
      </c>
    </row>
    <row r="11081" spans="1:1" x14ac:dyDescent="0.3">
      <c r="A11081" t="s">
        <v>1260</v>
      </c>
    </row>
    <row r="11082" spans="1:1" x14ac:dyDescent="0.3">
      <c r="A11082" t="s">
        <v>5468</v>
      </c>
    </row>
    <row r="11083" spans="1:1" x14ac:dyDescent="0.3">
      <c r="A11083" t="s">
        <v>5469</v>
      </c>
    </row>
    <row r="11084" spans="1:1" x14ac:dyDescent="0.3">
      <c r="A11084" t="s">
        <v>4436</v>
      </c>
    </row>
    <row r="11085" spans="1:1" x14ac:dyDescent="0.3">
      <c r="A11085" t="s">
        <v>110</v>
      </c>
    </row>
    <row r="11086" spans="1:1" x14ac:dyDescent="0.3">
      <c r="A11086" t="s">
        <v>1154</v>
      </c>
    </row>
    <row r="11087" spans="1:1" x14ac:dyDescent="0.3">
      <c r="A11087" t="s">
        <v>5470</v>
      </c>
    </row>
    <row r="11088" spans="1:1" x14ac:dyDescent="0.3">
      <c r="A11088" t="s">
        <v>51</v>
      </c>
    </row>
    <row r="11089" spans="1:1" x14ac:dyDescent="0.3">
      <c r="A11089" t="s">
        <v>52</v>
      </c>
    </row>
    <row r="11090" spans="1:1" x14ac:dyDescent="0.3">
      <c r="A11090" t="s">
        <v>79</v>
      </c>
    </row>
    <row r="11092" spans="1:1" x14ac:dyDescent="0.3">
      <c r="A11092" t="s">
        <v>12</v>
      </c>
    </row>
    <row r="11093" spans="1:1" x14ac:dyDescent="0.3">
      <c r="A11093" t="s">
        <v>13</v>
      </c>
    </row>
    <row r="11094" spans="1:1" x14ac:dyDescent="0.3">
      <c r="A11094" t="s">
        <v>1264</v>
      </c>
    </row>
    <row r="11095" spans="1:1" x14ac:dyDescent="0.3">
      <c r="A11095" t="s">
        <v>5471</v>
      </c>
    </row>
    <row r="11096" spans="1:1" x14ac:dyDescent="0.3">
      <c r="A11096" t="s">
        <v>5472</v>
      </c>
    </row>
    <row r="11097" spans="1:1" x14ac:dyDescent="0.3">
      <c r="A11097" t="s">
        <v>4436</v>
      </c>
    </row>
    <row r="11098" spans="1:1" x14ac:dyDescent="0.3">
      <c r="A11098" t="s">
        <v>110</v>
      </c>
    </row>
    <row r="11099" spans="1:1" x14ac:dyDescent="0.3">
      <c r="A11099" t="s">
        <v>5473</v>
      </c>
    </row>
    <row r="11100" spans="1:1" x14ac:dyDescent="0.3">
      <c r="A11100" t="s">
        <v>5474</v>
      </c>
    </row>
    <row r="11101" spans="1:1" x14ac:dyDescent="0.3">
      <c r="A11101" t="s">
        <v>51</v>
      </c>
    </row>
    <row r="11102" spans="1:1" x14ac:dyDescent="0.3">
      <c r="A11102" t="s">
        <v>52</v>
      </c>
    </row>
    <row r="11103" spans="1:1" x14ac:dyDescent="0.3">
      <c r="A11103" t="s">
        <v>79</v>
      </c>
    </row>
    <row r="11104" spans="1:1" x14ac:dyDescent="0.3">
      <c r="A11104" t="s">
        <v>98</v>
      </c>
    </row>
    <row r="11105" spans="1:1" x14ac:dyDescent="0.3">
      <c r="A11105" t="s">
        <v>13</v>
      </c>
    </row>
    <row r="11106" spans="1:1" x14ac:dyDescent="0.3">
      <c r="A11106" t="s">
        <v>105</v>
      </c>
    </row>
    <row r="11107" spans="1:1" x14ac:dyDescent="0.3">
      <c r="A11107" t="s">
        <v>5475</v>
      </c>
    </row>
    <row r="11108" spans="1:1" x14ac:dyDescent="0.3">
      <c r="A11108" t="s">
        <v>1157</v>
      </c>
    </row>
    <row r="11109" spans="1:1" x14ac:dyDescent="0.3">
      <c r="A11109" t="s">
        <v>5476</v>
      </c>
    </row>
    <row r="11110" spans="1:1" x14ac:dyDescent="0.3">
      <c r="A11110" t="s">
        <v>12</v>
      </c>
    </row>
    <row r="11111" spans="1:1" x14ac:dyDescent="0.3">
      <c r="A11111" t="s">
        <v>13</v>
      </c>
    </row>
    <row r="11112" spans="1:1" x14ac:dyDescent="0.3">
      <c r="A11112" t="s">
        <v>106</v>
      </c>
    </row>
    <row r="11113" spans="1:1" x14ac:dyDescent="0.3">
      <c r="A11113" t="s">
        <v>5477</v>
      </c>
    </row>
    <row r="11114" spans="1:1" x14ac:dyDescent="0.3">
      <c r="A11114" t="s">
        <v>1157</v>
      </c>
    </row>
    <row r="11115" spans="1:1" x14ac:dyDescent="0.3">
      <c r="A11115" t="s">
        <v>5478</v>
      </c>
    </row>
    <row r="11116" spans="1:1" x14ac:dyDescent="0.3">
      <c r="A11116" t="s">
        <v>12</v>
      </c>
    </row>
    <row r="11117" spans="1:1" x14ac:dyDescent="0.3">
      <c r="A11117" t="s">
        <v>40</v>
      </c>
    </row>
    <row r="11119" spans="1:1" x14ac:dyDescent="0.3">
      <c r="A11119" t="s">
        <v>12</v>
      </c>
    </row>
    <row r="11120" spans="1:1" x14ac:dyDescent="0.3">
      <c r="A11120" t="s">
        <v>13</v>
      </c>
    </row>
    <row r="11121" spans="1:1" x14ac:dyDescent="0.3">
      <c r="A11121" t="s">
        <v>1268</v>
      </c>
    </row>
    <row r="11122" spans="1:1" x14ac:dyDescent="0.3">
      <c r="A11122" t="s">
        <v>5479</v>
      </c>
    </row>
    <row r="11123" spans="1:1" x14ac:dyDescent="0.3">
      <c r="A11123" t="s">
        <v>5480</v>
      </c>
    </row>
    <row r="11124" spans="1:1" x14ac:dyDescent="0.3">
      <c r="A11124" t="s">
        <v>4436</v>
      </c>
    </row>
    <row r="11125" spans="1:1" x14ac:dyDescent="0.3">
      <c r="A11125" t="s">
        <v>110</v>
      </c>
    </row>
    <row r="11126" spans="1:1" x14ac:dyDescent="0.3">
      <c r="A11126" t="s">
        <v>1154</v>
      </c>
    </row>
    <row r="11127" spans="1:1" x14ac:dyDescent="0.3">
      <c r="A11127" t="s">
        <v>5481</v>
      </c>
    </row>
    <row r="11128" spans="1:1" x14ac:dyDescent="0.3">
      <c r="A11128" t="s">
        <v>51</v>
      </c>
    </row>
    <row r="11129" spans="1:1" x14ac:dyDescent="0.3">
      <c r="A11129" t="s">
        <v>52</v>
      </c>
    </row>
    <row r="11130" spans="1:1" x14ac:dyDescent="0.3">
      <c r="A11130" t="s">
        <v>79</v>
      </c>
    </row>
    <row r="11131" spans="1:1" x14ac:dyDescent="0.3">
      <c r="A11131" t="s">
        <v>98</v>
      </c>
    </row>
    <row r="11132" spans="1:1" x14ac:dyDescent="0.3">
      <c r="A11132" t="s">
        <v>13</v>
      </c>
    </row>
    <row r="11133" spans="1:1" x14ac:dyDescent="0.3">
      <c r="A11133" t="s">
        <v>105</v>
      </c>
    </row>
    <row r="11134" spans="1:1" x14ac:dyDescent="0.3">
      <c r="A11134" t="s">
        <v>5482</v>
      </c>
    </row>
    <row r="11135" spans="1:1" x14ac:dyDescent="0.3">
      <c r="A11135" t="s">
        <v>1157</v>
      </c>
    </row>
    <row r="11136" spans="1:1" x14ac:dyDescent="0.3">
      <c r="A11136" t="s">
        <v>5483</v>
      </c>
    </row>
    <row r="11137" spans="1:1" x14ac:dyDescent="0.3">
      <c r="A11137" t="s">
        <v>12</v>
      </c>
    </row>
    <row r="11138" spans="1:1" x14ac:dyDescent="0.3">
      <c r="A11138" t="s">
        <v>40</v>
      </c>
    </row>
    <row r="11140" spans="1:1" x14ac:dyDescent="0.3">
      <c r="A11140" t="s">
        <v>12</v>
      </c>
    </row>
    <row r="11141" spans="1:1" x14ac:dyDescent="0.3">
      <c r="A11141" t="s">
        <v>13</v>
      </c>
    </row>
    <row r="11142" spans="1:1" x14ac:dyDescent="0.3">
      <c r="A11142" t="s">
        <v>1276</v>
      </c>
    </row>
    <row r="11143" spans="1:1" x14ac:dyDescent="0.3">
      <c r="A11143" t="s">
        <v>5484</v>
      </c>
    </row>
    <row r="11144" spans="1:1" x14ac:dyDescent="0.3">
      <c r="A11144" t="s">
        <v>5485</v>
      </c>
    </row>
    <row r="11145" spans="1:1" x14ac:dyDescent="0.3">
      <c r="A11145" t="s">
        <v>4436</v>
      </c>
    </row>
    <row r="11146" spans="1:1" x14ac:dyDescent="0.3">
      <c r="A11146" t="s">
        <v>110</v>
      </c>
    </row>
    <row r="11147" spans="1:1" x14ac:dyDescent="0.3">
      <c r="A11147" t="s">
        <v>1154</v>
      </c>
    </row>
    <row r="11148" spans="1:1" x14ac:dyDescent="0.3">
      <c r="A11148" t="s">
        <v>5486</v>
      </c>
    </row>
    <row r="11149" spans="1:1" x14ac:dyDescent="0.3">
      <c r="A11149" t="s">
        <v>51</v>
      </c>
    </row>
    <row r="11150" spans="1:1" x14ac:dyDescent="0.3">
      <c r="A11150" t="s">
        <v>52</v>
      </c>
    </row>
    <row r="11151" spans="1:1" x14ac:dyDescent="0.3">
      <c r="A11151" t="s">
        <v>79</v>
      </c>
    </row>
    <row r="11152" spans="1:1" x14ac:dyDescent="0.3">
      <c r="A11152" t="s">
        <v>98</v>
      </c>
    </row>
    <row r="11153" spans="1:1" x14ac:dyDescent="0.3">
      <c r="A11153" t="s">
        <v>13</v>
      </c>
    </row>
    <row r="11154" spans="1:1" x14ac:dyDescent="0.3">
      <c r="A11154" t="s">
        <v>105</v>
      </c>
    </row>
    <row r="11155" spans="1:1" x14ac:dyDescent="0.3">
      <c r="A11155" t="s">
        <v>5487</v>
      </c>
    </row>
    <row r="11156" spans="1:1" x14ac:dyDescent="0.3">
      <c r="A11156" t="s">
        <v>1157</v>
      </c>
    </row>
    <row r="11157" spans="1:1" x14ac:dyDescent="0.3">
      <c r="A11157" t="s">
        <v>5488</v>
      </c>
    </row>
    <row r="11158" spans="1:1" x14ac:dyDescent="0.3">
      <c r="A11158" t="s">
        <v>12</v>
      </c>
    </row>
    <row r="11159" spans="1:1" x14ac:dyDescent="0.3">
      <c r="A11159" t="s">
        <v>13</v>
      </c>
    </row>
    <row r="11160" spans="1:1" x14ac:dyDescent="0.3">
      <c r="A11160" t="s">
        <v>106</v>
      </c>
    </row>
    <row r="11161" spans="1:1" x14ac:dyDescent="0.3">
      <c r="A11161" t="s">
        <v>5489</v>
      </c>
    </row>
    <row r="11162" spans="1:1" x14ac:dyDescent="0.3">
      <c r="A11162" t="s">
        <v>1157</v>
      </c>
    </row>
    <row r="11163" spans="1:1" x14ac:dyDescent="0.3">
      <c r="A11163" t="s">
        <v>5490</v>
      </c>
    </row>
    <row r="11164" spans="1:1" x14ac:dyDescent="0.3">
      <c r="A11164" t="s">
        <v>12</v>
      </c>
    </row>
    <row r="11165" spans="1:1" x14ac:dyDescent="0.3">
      <c r="A11165" t="s">
        <v>40</v>
      </c>
    </row>
    <row r="11167" spans="1:1" x14ac:dyDescent="0.3">
      <c r="A11167" t="s">
        <v>12</v>
      </c>
    </row>
    <row r="11168" spans="1:1" x14ac:dyDescent="0.3">
      <c r="A11168" t="s">
        <v>13</v>
      </c>
    </row>
    <row r="11169" spans="1:1" x14ac:dyDescent="0.3">
      <c r="A11169" t="s">
        <v>1279</v>
      </c>
    </row>
    <row r="11170" spans="1:1" x14ac:dyDescent="0.3">
      <c r="A11170" t="s">
        <v>5491</v>
      </c>
    </row>
    <row r="11171" spans="1:1" x14ac:dyDescent="0.3">
      <c r="A11171" t="s">
        <v>5492</v>
      </c>
    </row>
    <row r="11172" spans="1:1" x14ac:dyDescent="0.3">
      <c r="A11172" t="s">
        <v>4436</v>
      </c>
    </row>
    <row r="11173" spans="1:1" x14ac:dyDescent="0.3">
      <c r="A11173" t="s">
        <v>110</v>
      </c>
    </row>
    <row r="11174" spans="1:1" x14ac:dyDescent="0.3">
      <c r="A11174" t="s">
        <v>1154</v>
      </c>
    </row>
    <row r="11175" spans="1:1" x14ac:dyDescent="0.3">
      <c r="A11175" t="s">
        <v>5493</v>
      </c>
    </row>
    <row r="11176" spans="1:1" x14ac:dyDescent="0.3">
      <c r="A11176" t="s">
        <v>51</v>
      </c>
    </row>
    <row r="11177" spans="1:1" x14ac:dyDescent="0.3">
      <c r="A11177" t="s">
        <v>52</v>
      </c>
    </row>
    <row r="11178" spans="1:1" x14ac:dyDescent="0.3">
      <c r="A11178" t="s">
        <v>79</v>
      </c>
    </row>
    <row r="11179" spans="1:1" x14ac:dyDescent="0.3">
      <c r="A11179" t="s">
        <v>98</v>
      </c>
    </row>
    <row r="11180" spans="1:1" x14ac:dyDescent="0.3">
      <c r="A11180" t="s">
        <v>13</v>
      </c>
    </row>
    <row r="11181" spans="1:1" x14ac:dyDescent="0.3">
      <c r="A11181" t="s">
        <v>105</v>
      </c>
    </row>
    <row r="11182" spans="1:1" x14ac:dyDescent="0.3">
      <c r="A11182" t="s">
        <v>5494</v>
      </c>
    </row>
    <row r="11183" spans="1:1" x14ac:dyDescent="0.3">
      <c r="A11183" t="s">
        <v>1157</v>
      </c>
    </row>
    <row r="11184" spans="1:1" x14ac:dyDescent="0.3">
      <c r="A11184" t="s">
        <v>5495</v>
      </c>
    </row>
    <row r="11185" spans="1:1" x14ac:dyDescent="0.3">
      <c r="A11185" t="s">
        <v>12</v>
      </c>
    </row>
    <row r="11186" spans="1:1" x14ac:dyDescent="0.3">
      <c r="A11186" t="s">
        <v>13</v>
      </c>
    </row>
    <row r="11187" spans="1:1" x14ac:dyDescent="0.3">
      <c r="A11187" t="s">
        <v>106</v>
      </c>
    </row>
    <row r="11188" spans="1:1" x14ac:dyDescent="0.3">
      <c r="A11188" t="s">
        <v>5496</v>
      </c>
    </row>
    <row r="11189" spans="1:1" x14ac:dyDescent="0.3">
      <c r="A11189" t="s">
        <v>1157</v>
      </c>
    </row>
    <row r="11190" spans="1:1" x14ac:dyDescent="0.3">
      <c r="A11190" t="s">
        <v>5497</v>
      </c>
    </row>
    <row r="11191" spans="1:1" x14ac:dyDescent="0.3">
      <c r="A11191" t="s">
        <v>12</v>
      </c>
    </row>
    <row r="11192" spans="1:1" x14ac:dyDescent="0.3">
      <c r="A11192" t="s">
        <v>40</v>
      </c>
    </row>
    <row r="11194" spans="1:1" x14ac:dyDescent="0.3">
      <c r="A11194" t="s">
        <v>12</v>
      </c>
    </row>
    <row r="11195" spans="1:1" x14ac:dyDescent="0.3">
      <c r="A11195" t="s">
        <v>13</v>
      </c>
    </row>
    <row r="11196" spans="1:1" x14ac:dyDescent="0.3">
      <c r="A11196" t="s">
        <v>1287</v>
      </c>
    </row>
    <row r="11197" spans="1:1" x14ac:dyDescent="0.3">
      <c r="A11197" t="s">
        <v>5498</v>
      </c>
    </row>
    <row r="11198" spans="1:1" x14ac:dyDescent="0.3">
      <c r="A11198" t="s">
        <v>5499</v>
      </c>
    </row>
    <row r="11199" spans="1:1" x14ac:dyDescent="0.3">
      <c r="A11199" t="s">
        <v>4436</v>
      </c>
    </row>
    <row r="11200" spans="1:1" x14ac:dyDescent="0.3">
      <c r="A11200" t="s">
        <v>110</v>
      </c>
    </row>
    <row r="11201" spans="1:1" x14ac:dyDescent="0.3">
      <c r="A11201" t="s">
        <v>1154</v>
      </c>
    </row>
    <row r="11202" spans="1:1" x14ac:dyDescent="0.3">
      <c r="A11202" t="s">
        <v>5500</v>
      </c>
    </row>
    <row r="11203" spans="1:1" x14ac:dyDescent="0.3">
      <c r="A11203" t="s">
        <v>51</v>
      </c>
    </row>
    <row r="11204" spans="1:1" x14ac:dyDescent="0.3">
      <c r="A11204" t="s">
        <v>52</v>
      </c>
    </row>
    <row r="11205" spans="1:1" x14ac:dyDescent="0.3">
      <c r="A11205" t="s">
        <v>79</v>
      </c>
    </row>
    <row r="11206" spans="1:1" x14ac:dyDescent="0.3">
      <c r="A11206" t="s">
        <v>98</v>
      </c>
    </row>
    <row r="11207" spans="1:1" x14ac:dyDescent="0.3">
      <c r="A11207" t="s">
        <v>13</v>
      </c>
    </row>
    <row r="11208" spans="1:1" x14ac:dyDescent="0.3">
      <c r="A11208" t="s">
        <v>105</v>
      </c>
    </row>
    <row r="11209" spans="1:1" x14ac:dyDescent="0.3">
      <c r="A11209" t="s">
        <v>5501</v>
      </c>
    </row>
    <row r="11210" spans="1:1" x14ac:dyDescent="0.3">
      <c r="A11210" t="s">
        <v>1157</v>
      </c>
    </row>
    <row r="11211" spans="1:1" x14ac:dyDescent="0.3">
      <c r="A11211" t="s">
        <v>5502</v>
      </c>
    </row>
    <row r="11212" spans="1:1" x14ac:dyDescent="0.3">
      <c r="A11212" t="s">
        <v>12</v>
      </c>
    </row>
    <row r="11213" spans="1:1" x14ac:dyDescent="0.3">
      <c r="A11213" t="s">
        <v>13</v>
      </c>
    </row>
    <row r="11214" spans="1:1" x14ac:dyDescent="0.3">
      <c r="A11214" t="s">
        <v>106</v>
      </c>
    </row>
    <row r="11215" spans="1:1" x14ac:dyDescent="0.3">
      <c r="A11215" t="s">
        <v>5503</v>
      </c>
    </row>
    <row r="11216" spans="1:1" x14ac:dyDescent="0.3">
      <c r="A11216" t="s">
        <v>1157</v>
      </c>
    </row>
    <row r="11217" spans="1:1" x14ac:dyDescent="0.3">
      <c r="A11217" t="s">
        <v>5504</v>
      </c>
    </row>
    <row r="11218" spans="1:1" x14ac:dyDescent="0.3">
      <c r="A11218" t="s">
        <v>12</v>
      </c>
    </row>
    <row r="11219" spans="1:1" x14ac:dyDescent="0.3">
      <c r="A11219" t="s">
        <v>40</v>
      </c>
    </row>
    <row r="11221" spans="1:1" x14ac:dyDescent="0.3">
      <c r="A11221" t="s">
        <v>12</v>
      </c>
    </row>
    <row r="11222" spans="1:1" x14ac:dyDescent="0.3">
      <c r="A11222" t="s">
        <v>13</v>
      </c>
    </row>
    <row r="11223" spans="1:1" x14ac:dyDescent="0.3">
      <c r="A11223" t="s">
        <v>1295</v>
      </c>
    </row>
    <row r="11224" spans="1:1" x14ac:dyDescent="0.3">
      <c r="A11224" t="s">
        <v>5505</v>
      </c>
    </row>
    <row r="11225" spans="1:1" x14ac:dyDescent="0.3">
      <c r="A11225" t="s">
        <v>5506</v>
      </c>
    </row>
    <row r="11226" spans="1:1" x14ac:dyDescent="0.3">
      <c r="A11226" t="s">
        <v>4436</v>
      </c>
    </row>
    <row r="11227" spans="1:1" x14ac:dyDescent="0.3">
      <c r="A11227" t="s">
        <v>110</v>
      </c>
    </row>
    <row r="11228" spans="1:1" x14ac:dyDescent="0.3">
      <c r="A11228" t="s">
        <v>1154</v>
      </c>
    </row>
    <row r="11229" spans="1:1" x14ac:dyDescent="0.3">
      <c r="A11229" t="s">
        <v>5507</v>
      </c>
    </row>
    <row r="11230" spans="1:1" x14ac:dyDescent="0.3">
      <c r="A11230" t="s">
        <v>51</v>
      </c>
    </row>
    <row r="11231" spans="1:1" x14ac:dyDescent="0.3">
      <c r="A11231" t="s">
        <v>52</v>
      </c>
    </row>
    <row r="11232" spans="1:1" x14ac:dyDescent="0.3">
      <c r="A11232" t="s">
        <v>79</v>
      </c>
    </row>
    <row r="11233" spans="1:1" x14ac:dyDescent="0.3">
      <c r="A11233" t="s">
        <v>98</v>
      </c>
    </row>
    <row r="11234" spans="1:1" x14ac:dyDescent="0.3">
      <c r="A11234" t="s">
        <v>13</v>
      </c>
    </row>
    <row r="11235" spans="1:1" x14ac:dyDescent="0.3">
      <c r="A11235" t="s">
        <v>106</v>
      </c>
    </row>
    <row r="11236" spans="1:1" x14ac:dyDescent="0.3">
      <c r="A11236" t="s">
        <v>5508</v>
      </c>
    </row>
    <row r="11237" spans="1:1" x14ac:dyDescent="0.3">
      <c r="A11237" t="s">
        <v>1157</v>
      </c>
    </row>
    <row r="11238" spans="1:1" x14ac:dyDescent="0.3">
      <c r="A11238" t="s">
        <v>5509</v>
      </c>
    </row>
    <row r="11239" spans="1:1" x14ac:dyDescent="0.3">
      <c r="A11239" t="s">
        <v>12</v>
      </c>
    </row>
    <row r="11240" spans="1:1" x14ac:dyDescent="0.3">
      <c r="A11240" t="s">
        <v>40</v>
      </c>
    </row>
    <row r="11242" spans="1:1" x14ac:dyDescent="0.3">
      <c r="A11242" t="s">
        <v>12</v>
      </c>
    </row>
    <row r="11243" spans="1:1" x14ac:dyDescent="0.3">
      <c r="A11243" t="s">
        <v>13</v>
      </c>
    </row>
    <row r="11244" spans="1:1" x14ac:dyDescent="0.3">
      <c r="A11244" t="s">
        <v>1298</v>
      </c>
    </row>
    <row r="11245" spans="1:1" x14ac:dyDescent="0.3">
      <c r="A11245" t="s">
        <v>5510</v>
      </c>
    </row>
    <row r="11246" spans="1:1" x14ac:dyDescent="0.3">
      <c r="A11246" t="s">
        <v>5511</v>
      </c>
    </row>
    <row r="11247" spans="1:1" x14ac:dyDescent="0.3">
      <c r="A11247" t="s">
        <v>4436</v>
      </c>
    </row>
    <row r="11248" spans="1:1" x14ac:dyDescent="0.3">
      <c r="A11248" t="s">
        <v>110</v>
      </c>
    </row>
    <row r="11249" spans="1:1" x14ac:dyDescent="0.3">
      <c r="A11249" t="s">
        <v>1154</v>
      </c>
    </row>
    <row r="11250" spans="1:1" x14ac:dyDescent="0.3">
      <c r="A11250" t="s">
        <v>5512</v>
      </c>
    </row>
    <row r="11251" spans="1:1" x14ac:dyDescent="0.3">
      <c r="A11251" t="s">
        <v>51</v>
      </c>
    </row>
    <row r="11252" spans="1:1" x14ac:dyDescent="0.3">
      <c r="A11252" t="s">
        <v>52</v>
      </c>
    </row>
    <row r="11253" spans="1:1" x14ac:dyDescent="0.3">
      <c r="A11253" t="s">
        <v>79</v>
      </c>
    </row>
    <row r="11254" spans="1:1" x14ac:dyDescent="0.3">
      <c r="A11254" t="s">
        <v>98</v>
      </c>
    </row>
    <row r="11255" spans="1:1" x14ac:dyDescent="0.3">
      <c r="A11255" t="s">
        <v>13</v>
      </c>
    </row>
    <row r="11256" spans="1:1" x14ac:dyDescent="0.3">
      <c r="A11256" t="s">
        <v>105</v>
      </c>
    </row>
    <row r="11257" spans="1:1" x14ac:dyDescent="0.3">
      <c r="A11257" t="s">
        <v>5513</v>
      </c>
    </row>
    <row r="11258" spans="1:1" x14ac:dyDescent="0.3">
      <c r="A11258" t="s">
        <v>1157</v>
      </c>
    </row>
    <row r="11259" spans="1:1" x14ac:dyDescent="0.3">
      <c r="A11259" t="s">
        <v>5514</v>
      </c>
    </row>
    <row r="11260" spans="1:1" x14ac:dyDescent="0.3">
      <c r="A11260" t="s">
        <v>12</v>
      </c>
    </row>
    <row r="11261" spans="1:1" x14ac:dyDescent="0.3">
      <c r="A11261" t="s">
        <v>13</v>
      </c>
    </row>
    <row r="11262" spans="1:1" x14ac:dyDescent="0.3">
      <c r="A11262" t="s">
        <v>106</v>
      </c>
    </row>
    <row r="11263" spans="1:1" x14ac:dyDescent="0.3">
      <c r="A11263" t="s">
        <v>5515</v>
      </c>
    </row>
    <row r="11264" spans="1:1" x14ac:dyDescent="0.3">
      <c r="A11264" t="s">
        <v>1157</v>
      </c>
    </row>
    <row r="11265" spans="1:1" x14ac:dyDescent="0.3">
      <c r="A11265" t="s">
        <v>5516</v>
      </c>
    </row>
    <row r="11266" spans="1:1" x14ac:dyDescent="0.3">
      <c r="A11266" t="s">
        <v>12</v>
      </c>
    </row>
    <row r="11267" spans="1:1" x14ac:dyDescent="0.3">
      <c r="A11267" t="s">
        <v>40</v>
      </c>
    </row>
    <row r="11269" spans="1:1" x14ac:dyDescent="0.3">
      <c r="A11269" t="s">
        <v>12</v>
      </c>
    </row>
    <row r="11270" spans="1:1" x14ac:dyDescent="0.3">
      <c r="A11270" t="s">
        <v>13</v>
      </c>
    </row>
    <row r="11271" spans="1:1" x14ac:dyDescent="0.3">
      <c r="A11271" t="s">
        <v>1306</v>
      </c>
    </row>
    <row r="11272" spans="1:1" x14ac:dyDescent="0.3">
      <c r="A11272" t="s">
        <v>5517</v>
      </c>
    </row>
    <row r="11273" spans="1:1" x14ac:dyDescent="0.3">
      <c r="A11273" t="s">
        <v>5518</v>
      </c>
    </row>
    <row r="11274" spans="1:1" x14ac:dyDescent="0.3">
      <c r="A11274" t="s">
        <v>4436</v>
      </c>
    </row>
    <row r="11275" spans="1:1" x14ac:dyDescent="0.3">
      <c r="A11275" t="s">
        <v>110</v>
      </c>
    </row>
    <row r="11276" spans="1:1" x14ac:dyDescent="0.3">
      <c r="A11276" t="s">
        <v>5519</v>
      </c>
    </row>
    <row r="11277" spans="1:1" x14ac:dyDescent="0.3">
      <c r="A11277" t="s">
        <v>5520</v>
      </c>
    </row>
    <row r="11278" spans="1:1" x14ac:dyDescent="0.3">
      <c r="A11278" t="s">
        <v>51</v>
      </c>
    </row>
    <row r="11279" spans="1:1" x14ac:dyDescent="0.3">
      <c r="A11279" t="s">
        <v>52</v>
      </c>
    </row>
    <row r="11280" spans="1:1" x14ac:dyDescent="0.3">
      <c r="A11280" t="s">
        <v>79</v>
      </c>
    </row>
    <row r="11281" spans="1:1" x14ac:dyDescent="0.3">
      <c r="A11281" t="s">
        <v>98</v>
      </c>
    </row>
    <row r="11282" spans="1:1" x14ac:dyDescent="0.3">
      <c r="A11282" t="s">
        <v>13</v>
      </c>
    </row>
    <row r="11283" spans="1:1" x14ac:dyDescent="0.3">
      <c r="A11283" t="s">
        <v>105</v>
      </c>
    </row>
    <row r="11284" spans="1:1" x14ac:dyDescent="0.3">
      <c r="A11284" t="s">
        <v>5521</v>
      </c>
    </row>
    <row r="11285" spans="1:1" x14ac:dyDescent="0.3">
      <c r="A11285" t="s">
        <v>1157</v>
      </c>
    </row>
    <row r="11286" spans="1:1" x14ac:dyDescent="0.3">
      <c r="A11286" t="s">
        <v>5522</v>
      </c>
    </row>
    <row r="11287" spans="1:1" x14ac:dyDescent="0.3">
      <c r="A11287" t="s">
        <v>12</v>
      </c>
    </row>
    <row r="11288" spans="1:1" x14ac:dyDescent="0.3">
      <c r="A11288" t="s">
        <v>13</v>
      </c>
    </row>
    <row r="11289" spans="1:1" x14ac:dyDescent="0.3">
      <c r="A11289" t="s">
        <v>106</v>
      </c>
    </row>
    <row r="11290" spans="1:1" x14ac:dyDescent="0.3">
      <c r="A11290" t="s">
        <v>5523</v>
      </c>
    </row>
    <row r="11291" spans="1:1" x14ac:dyDescent="0.3">
      <c r="A11291" t="s">
        <v>1157</v>
      </c>
    </row>
    <row r="11292" spans="1:1" x14ac:dyDescent="0.3">
      <c r="A11292" t="s">
        <v>5524</v>
      </c>
    </row>
    <row r="11293" spans="1:1" x14ac:dyDescent="0.3">
      <c r="A11293" t="s">
        <v>12</v>
      </c>
    </row>
    <row r="11294" spans="1:1" x14ac:dyDescent="0.3">
      <c r="A11294" t="s">
        <v>40</v>
      </c>
    </row>
    <row r="11296" spans="1:1" x14ac:dyDescent="0.3">
      <c r="A11296" t="s">
        <v>12</v>
      </c>
    </row>
    <row r="11297" spans="1:1" x14ac:dyDescent="0.3">
      <c r="A11297" t="s">
        <v>13</v>
      </c>
    </row>
    <row r="11298" spans="1:1" x14ac:dyDescent="0.3">
      <c r="A11298" t="s">
        <v>1314</v>
      </c>
    </row>
    <row r="11299" spans="1:1" x14ac:dyDescent="0.3">
      <c r="A11299" t="s">
        <v>5498</v>
      </c>
    </row>
    <row r="11300" spans="1:1" x14ac:dyDescent="0.3">
      <c r="A11300" t="s">
        <v>5525</v>
      </c>
    </row>
    <row r="11301" spans="1:1" x14ac:dyDescent="0.3">
      <c r="A11301" t="s">
        <v>4436</v>
      </c>
    </row>
    <row r="11302" spans="1:1" x14ac:dyDescent="0.3">
      <c r="A11302" t="s">
        <v>110</v>
      </c>
    </row>
    <row r="11303" spans="1:1" x14ac:dyDescent="0.3">
      <c r="A11303" t="s">
        <v>1154</v>
      </c>
    </row>
    <row r="11304" spans="1:1" x14ac:dyDescent="0.3">
      <c r="A11304" t="s">
        <v>5526</v>
      </c>
    </row>
    <row r="11305" spans="1:1" x14ac:dyDescent="0.3">
      <c r="A11305" t="s">
        <v>51</v>
      </c>
    </row>
    <row r="11306" spans="1:1" x14ac:dyDescent="0.3">
      <c r="A11306" t="s">
        <v>52</v>
      </c>
    </row>
    <row r="11307" spans="1:1" x14ac:dyDescent="0.3">
      <c r="A11307" t="s">
        <v>79</v>
      </c>
    </row>
    <row r="11308" spans="1:1" x14ac:dyDescent="0.3">
      <c r="A11308" t="s">
        <v>98</v>
      </c>
    </row>
    <row r="11309" spans="1:1" x14ac:dyDescent="0.3">
      <c r="A11309" t="s">
        <v>13</v>
      </c>
    </row>
    <row r="11310" spans="1:1" x14ac:dyDescent="0.3">
      <c r="A11310" t="s">
        <v>105</v>
      </c>
    </row>
    <row r="11311" spans="1:1" x14ac:dyDescent="0.3">
      <c r="A11311" t="s">
        <v>5527</v>
      </c>
    </row>
    <row r="11312" spans="1:1" x14ac:dyDescent="0.3">
      <c r="A11312" t="s">
        <v>1157</v>
      </c>
    </row>
    <row r="11313" spans="1:1" x14ac:dyDescent="0.3">
      <c r="A11313" t="s">
        <v>5504</v>
      </c>
    </row>
    <row r="11314" spans="1:1" x14ac:dyDescent="0.3">
      <c r="A11314" t="s">
        <v>12</v>
      </c>
    </row>
    <row r="11315" spans="1:1" x14ac:dyDescent="0.3">
      <c r="A11315" t="s">
        <v>13</v>
      </c>
    </row>
    <row r="11316" spans="1:1" x14ac:dyDescent="0.3">
      <c r="A11316" t="s">
        <v>106</v>
      </c>
    </row>
    <row r="11317" spans="1:1" x14ac:dyDescent="0.3">
      <c r="A11317" t="s">
        <v>5528</v>
      </c>
    </row>
    <row r="11318" spans="1:1" x14ac:dyDescent="0.3">
      <c r="A11318" t="s">
        <v>1157</v>
      </c>
    </row>
    <row r="11319" spans="1:1" x14ac:dyDescent="0.3">
      <c r="A11319" t="s">
        <v>5529</v>
      </c>
    </row>
    <row r="11320" spans="1:1" x14ac:dyDescent="0.3">
      <c r="A11320" t="s">
        <v>12</v>
      </c>
    </row>
    <row r="11321" spans="1:1" x14ac:dyDescent="0.3">
      <c r="A11321" t="s">
        <v>40</v>
      </c>
    </row>
    <row r="11323" spans="1:1" x14ac:dyDescent="0.3">
      <c r="A11323" t="s">
        <v>12</v>
      </c>
    </row>
    <row r="11324" spans="1:1" x14ac:dyDescent="0.3">
      <c r="A11324" t="s">
        <v>13</v>
      </c>
    </row>
    <row r="11325" spans="1:1" x14ac:dyDescent="0.3">
      <c r="A11325" t="s">
        <v>1322</v>
      </c>
    </row>
    <row r="11326" spans="1:1" x14ac:dyDescent="0.3">
      <c r="A11326" t="s">
        <v>2098</v>
      </c>
    </row>
    <row r="11327" spans="1:1" x14ac:dyDescent="0.3">
      <c r="A11327" t="s">
        <v>5530</v>
      </c>
    </row>
    <row r="11328" spans="1:1" x14ac:dyDescent="0.3">
      <c r="A11328" t="s">
        <v>4436</v>
      </c>
    </row>
    <row r="11329" spans="1:1" x14ac:dyDescent="0.3">
      <c r="A11329" t="s">
        <v>110</v>
      </c>
    </row>
    <row r="11330" spans="1:1" x14ac:dyDescent="0.3">
      <c r="A11330" t="s">
        <v>1154</v>
      </c>
    </row>
    <row r="11331" spans="1:1" x14ac:dyDescent="0.3">
      <c r="A11331" t="s">
        <v>5531</v>
      </c>
    </row>
    <row r="11332" spans="1:1" x14ac:dyDescent="0.3">
      <c r="A11332" t="s">
        <v>51</v>
      </c>
    </row>
    <row r="11333" spans="1:1" x14ac:dyDescent="0.3">
      <c r="A11333" t="s">
        <v>52</v>
      </c>
    </row>
    <row r="11334" spans="1:1" x14ac:dyDescent="0.3">
      <c r="A11334" t="s">
        <v>79</v>
      </c>
    </row>
    <row r="11336" spans="1:1" x14ac:dyDescent="0.3">
      <c r="A11336" t="s">
        <v>12</v>
      </c>
    </row>
    <row r="11337" spans="1:1" x14ac:dyDescent="0.3">
      <c r="A11337" t="s">
        <v>13</v>
      </c>
    </row>
    <row r="11338" spans="1:1" x14ac:dyDescent="0.3">
      <c r="A11338" t="s">
        <v>1328</v>
      </c>
    </row>
    <row r="11339" spans="1:1" x14ac:dyDescent="0.3">
      <c r="A11339" t="s">
        <v>5532</v>
      </c>
    </row>
    <row r="11340" spans="1:1" x14ac:dyDescent="0.3">
      <c r="A11340" t="s">
        <v>5533</v>
      </c>
    </row>
    <row r="11341" spans="1:1" x14ac:dyDescent="0.3">
      <c r="A11341" t="s">
        <v>4436</v>
      </c>
    </row>
    <row r="11342" spans="1:1" x14ac:dyDescent="0.3">
      <c r="A11342" t="s">
        <v>110</v>
      </c>
    </row>
    <row r="11343" spans="1:1" x14ac:dyDescent="0.3">
      <c r="A11343" t="s">
        <v>1154</v>
      </c>
    </row>
    <row r="11344" spans="1:1" x14ac:dyDescent="0.3">
      <c r="A11344" t="s">
        <v>5534</v>
      </c>
    </row>
    <row r="11345" spans="1:1" x14ac:dyDescent="0.3">
      <c r="A11345" t="s">
        <v>51</v>
      </c>
    </row>
    <row r="11346" spans="1:1" x14ac:dyDescent="0.3">
      <c r="A11346" t="s">
        <v>52</v>
      </c>
    </row>
    <row r="11347" spans="1:1" x14ac:dyDescent="0.3">
      <c r="A11347" t="s">
        <v>79</v>
      </c>
    </row>
    <row r="11348" spans="1:1" x14ac:dyDescent="0.3">
      <c r="A11348" t="s">
        <v>98</v>
      </c>
    </row>
    <row r="11349" spans="1:1" x14ac:dyDescent="0.3">
      <c r="A11349" t="s">
        <v>13</v>
      </c>
    </row>
    <row r="11350" spans="1:1" x14ac:dyDescent="0.3">
      <c r="A11350" t="s">
        <v>105</v>
      </c>
    </row>
    <row r="11351" spans="1:1" x14ac:dyDescent="0.3">
      <c r="A11351" t="s">
        <v>5535</v>
      </c>
    </row>
    <row r="11352" spans="1:1" x14ac:dyDescent="0.3">
      <c r="A11352" t="s">
        <v>1157</v>
      </c>
    </row>
    <row r="11353" spans="1:1" x14ac:dyDescent="0.3">
      <c r="A11353" t="s">
        <v>5536</v>
      </c>
    </row>
    <row r="11354" spans="1:1" x14ac:dyDescent="0.3">
      <c r="A11354" t="s">
        <v>12</v>
      </c>
    </row>
    <row r="11355" spans="1:1" x14ac:dyDescent="0.3">
      <c r="A11355" t="s">
        <v>13</v>
      </c>
    </row>
    <row r="11356" spans="1:1" x14ac:dyDescent="0.3">
      <c r="A11356" t="s">
        <v>106</v>
      </c>
    </row>
    <row r="11357" spans="1:1" x14ac:dyDescent="0.3">
      <c r="A11357" t="s">
        <v>5537</v>
      </c>
    </row>
    <row r="11358" spans="1:1" x14ac:dyDescent="0.3">
      <c r="A11358" t="s">
        <v>1157</v>
      </c>
    </row>
    <row r="11359" spans="1:1" x14ac:dyDescent="0.3">
      <c r="A11359" t="s">
        <v>5538</v>
      </c>
    </row>
    <row r="11360" spans="1:1" x14ac:dyDescent="0.3">
      <c r="A11360" t="s">
        <v>12</v>
      </c>
    </row>
    <row r="11361" spans="1:1" x14ac:dyDescent="0.3">
      <c r="A11361" t="s">
        <v>40</v>
      </c>
    </row>
    <row r="11363" spans="1:1" x14ac:dyDescent="0.3">
      <c r="A11363" t="s">
        <v>12</v>
      </c>
    </row>
    <row r="11364" spans="1:1" x14ac:dyDescent="0.3">
      <c r="A11364" t="s">
        <v>13</v>
      </c>
    </row>
    <row r="11365" spans="1:1" x14ac:dyDescent="0.3">
      <c r="A11365" t="s">
        <v>1332</v>
      </c>
    </row>
    <row r="11366" spans="1:1" x14ac:dyDescent="0.3">
      <c r="A11366" t="s">
        <v>5539</v>
      </c>
    </row>
    <row r="11367" spans="1:1" x14ac:dyDescent="0.3">
      <c r="A11367" t="s">
        <v>5540</v>
      </c>
    </row>
    <row r="11368" spans="1:1" x14ac:dyDescent="0.3">
      <c r="A11368" t="s">
        <v>4436</v>
      </c>
    </row>
    <row r="11369" spans="1:1" x14ac:dyDescent="0.3">
      <c r="A11369" t="s">
        <v>110</v>
      </c>
    </row>
    <row r="11370" spans="1:1" x14ac:dyDescent="0.3">
      <c r="A11370" t="s">
        <v>1154</v>
      </c>
    </row>
    <row r="11371" spans="1:1" x14ac:dyDescent="0.3">
      <c r="A11371" t="s">
        <v>5541</v>
      </c>
    </row>
    <row r="11372" spans="1:1" x14ac:dyDescent="0.3">
      <c r="A11372" t="s">
        <v>51</v>
      </c>
    </row>
    <row r="11373" spans="1:1" x14ac:dyDescent="0.3">
      <c r="A11373" t="s">
        <v>52</v>
      </c>
    </row>
    <row r="11374" spans="1:1" x14ac:dyDescent="0.3">
      <c r="A11374" t="s">
        <v>79</v>
      </c>
    </row>
    <row r="11375" spans="1:1" x14ac:dyDescent="0.3">
      <c r="A11375" t="s">
        <v>98</v>
      </c>
    </row>
    <row r="11376" spans="1:1" x14ac:dyDescent="0.3">
      <c r="A11376" t="s">
        <v>13</v>
      </c>
    </row>
    <row r="11377" spans="1:1" x14ac:dyDescent="0.3">
      <c r="A11377" t="s">
        <v>105</v>
      </c>
    </row>
    <row r="11378" spans="1:1" x14ac:dyDescent="0.3">
      <c r="A11378" t="s">
        <v>5542</v>
      </c>
    </row>
    <row r="11379" spans="1:1" x14ac:dyDescent="0.3">
      <c r="A11379" t="s">
        <v>1157</v>
      </c>
    </row>
    <row r="11380" spans="1:1" x14ac:dyDescent="0.3">
      <c r="A11380" t="s">
        <v>5543</v>
      </c>
    </row>
    <row r="11381" spans="1:1" x14ac:dyDescent="0.3">
      <c r="A11381" t="s">
        <v>12</v>
      </c>
    </row>
    <row r="11382" spans="1:1" x14ac:dyDescent="0.3">
      <c r="A11382" t="s">
        <v>13</v>
      </c>
    </row>
    <row r="11383" spans="1:1" x14ac:dyDescent="0.3">
      <c r="A11383" t="s">
        <v>106</v>
      </c>
    </row>
    <row r="11384" spans="1:1" x14ac:dyDescent="0.3">
      <c r="A11384" t="s">
        <v>5544</v>
      </c>
    </row>
    <row r="11385" spans="1:1" x14ac:dyDescent="0.3">
      <c r="A11385" t="s">
        <v>1157</v>
      </c>
    </row>
    <row r="11386" spans="1:1" x14ac:dyDescent="0.3">
      <c r="A11386" t="s">
        <v>5545</v>
      </c>
    </row>
    <row r="11387" spans="1:1" x14ac:dyDescent="0.3">
      <c r="A11387" t="s">
        <v>12</v>
      </c>
    </row>
    <row r="11388" spans="1:1" x14ac:dyDescent="0.3">
      <c r="A11388" t="s">
        <v>40</v>
      </c>
    </row>
    <row r="11390" spans="1:1" x14ac:dyDescent="0.3">
      <c r="A11390" t="s">
        <v>12</v>
      </c>
    </row>
    <row r="11391" spans="1:1" x14ac:dyDescent="0.3">
      <c r="A11391" t="s">
        <v>13</v>
      </c>
    </row>
    <row r="11392" spans="1:1" x14ac:dyDescent="0.3">
      <c r="A11392" t="s">
        <v>1336</v>
      </c>
    </row>
    <row r="11393" spans="1:1" x14ac:dyDescent="0.3">
      <c r="A11393" t="s">
        <v>5546</v>
      </c>
    </row>
    <row r="11394" spans="1:1" x14ac:dyDescent="0.3">
      <c r="A11394" t="s">
        <v>5547</v>
      </c>
    </row>
    <row r="11395" spans="1:1" x14ac:dyDescent="0.3">
      <c r="A11395" t="s">
        <v>4436</v>
      </c>
    </row>
    <row r="11396" spans="1:1" x14ac:dyDescent="0.3">
      <c r="A11396" t="s">
        <v>110</v>
      </c>
    </row>
    <row r="11397" spans="1:1" x14ac:dyDescent="0.3">
      <c r="A11397" t="s">
        <v>1154</v>
      </c>
    </row>
    <row r="11398" spans="1:1" x14ac:dyDescent="0.3">
      <c r="A11398" t="s">
        <v>5548</v>
      </c>
    </row>
    <row r="11399" spans="1:1" x14ac:dyDescent="0.3">
      <c r="A11399" t="s">
        <v>51</v>
      </c>
    </row>
    <row r="11400" spans="1:1" x14ac:dyDescent="0.3">
      <c r="A11400" t="s">
        <v>52</v>
      </c>
    </row>
    <row r="11401" spans="1:1" x14ac:dyDescent="0.3">
      <c r="A11401" t="s">
        <v>79</v>
      </c>
    </row>
    <row r="11403" spans="1:1" x14ac:dyDescent="0.3">
      <c r="A11403" t="s">
        <v>12</v>
      </c>
    </row>
    <row r="11404" spans="1:1" x14ac:dyDescent="0.3">
      <c r="A11404" t="s">
        <v>13</v>
      </c>
    </row>
    <row r="11405" spans="1:1" x14ac:dyDescent="0.3">
      <c r="A11405" t="s">
        <v>1340</v>
      </c>
    </row>
    <row r="11406" spans="1:1" x14ac:dyDescent="0.3">
      <c r="A11406" t="s">
        <v>5549</v>
      </c>
    </row>
    <row r="11407" spans="1:1" x14ac:dyDescent="0.3">
      <c r="A11407" t="s">
        <v>5550</v>
      </c>
    </row>
    <row r="11408" spans="1:1" x14ac:dyDescent="0.3">
      <c r="A11408" t="s">
        <v>4436</v>
      </c>
    </row>
    <row r="11409" spans="1:1" x14ac:dyDescent="0.3">
      <c r="A11409" t="s">
        <v>110</v>
      </c>
    </row>
    <row r="11410" spans="1:1" x14ac:dyDescent="0.3">
      <c r="A11410" t="s">
        <v>1154</v>
      </c>
    </row>
    <row r="11411" spans="1:1" x14ac:dyDescent="0.3">
      <c r="A11411" t="s">
        <v>5551</v>
      </c>
    </row>
    <row r="11412" spans="1:1" x14ac:dyDescent="0.3">
      <c r="A11412" t="s">
        <v>51</v>
      </c>
    </row>
    <row r="11413" spans="1:1" x14ac:dyDescent="0.3">
      <c r="A11413" t="s">
        <v>52</v>
      </c>
    </row>
    <row r="11414" spans="1:1" x14ac:dyDescent="0.3">
      <c r="A11414" t="s">
        <v>79</v>
      </c>
    </row>
    <row r="11416" spans="1:1" x14ac:dyDescent="0.3">
      <c r="A11416" t="s">
        <v>12</v>
      </c>
    </row>
    <row r="11417" spans="1:1" x14ac:dyDescent="0.3">
      <c r="A11417" t="s">
        <v>13</v>
      </c>
    </row>
    <row r="11418" spans="1:1" x14ac:dyDescent="0.3">
      <c r="A11418" t="s">
        <v>1343</v>
      </c>
    </row>
    <row r="11419" spans="1:1" x14ac:dyDescent="0.3">
      <c r="A11419" t="s">
        <v>5552</v>
      </c>
    </row>
    <row r="11420" spans="1:1" x14ac:dyDescent="0.3">
      <c r="A11420" t="s">
        <v>5553</v>
      </c>
    </row>
    <row r="11421" spans="1:1" x14ac:dyDescent="0.3">
      <c r="A11421" t="s">
        <v>4436</v>
      </c>
    </row>
    <row r="11422" spans="1:1" x14ac:dyDescent="0.3">
      <c r="A11422" t="s">
        <v>110</v>
      </c>
    </row>
    <row r="11423" spans="1:1" x14ac:dyDescent="0.3">
      <c r="A11423" t="s">
        <v>1154</v>
      </c>
    </row>
    <row r="11424" spans="1:1" x14ac:dyDescent="0.3">
      <c r="A11424" t="s">
        <v>5554</v>
      </c>
    </row>
    <row r="11425" spans="1:1" x14ac:dyDescent="0.3">
      <c r="A11425" t="s">
        <v>51</v>
      </c>
    </row>
    <row r="11426" spans="1:1" x14ac:dyDescent="0.3">
      <c r="A11426" t="s">
        <v>52</v>
      </c>
    </row>
    <row r="11427" spans="1:1" x14ac:dyDescent="0.3">
      <c r="A11427" t="s">
        <v>79</v>
      </c>
    </row>
    <row r="11429" spans="1:1" x14ac:dyDescent="0.3">
      <c r="A11429" t="s">
        <v>12</v>
      </c>
    </row>
    <row r="11430" spans="1:1" x14ac:dyDescent="0.3">
      <c r="A11430" t="s">
        <v>13</v>
      </c>
    </row>
    <row r="11431" spans="1:1" x14ac:dyDescent="0.3">
      <c r="A11431" t="s">
        <v>1351</v>
      </c>
    </row>
    <row r="11432" spans="1:1" x14ac:dyDescent="0.3">
      <c r="A11432" t="s">
        <v>5555</v>
      </c>
    </row>
    <row r="11433" spans="1:1" x14ac:dyDescent="0.3">
      <c r="A11433" t="s">
        <v>5556</v>
      </c>
    </row>
    <row r="11434" spans="1:1" x14ac:dyDescent="0.3">
      <c r="A11434" t="s">
        <v>4436</v>
      </c>
    </row>
    <row r="11435" spans="1:1" x14ac:dyDescent="0.3">
      <c r="A11435" t="s">
        <v>110</v>
      </c>
    </row>
    <row r="11436" spans="1:1" x14ac:dyDescent="0.3">
      <c r="A11436" t="s">
        <v>1154</v>
      </c>
    </row>
    <row r="11437" spans="1:1" x14ac:dyDescent="0.3">
      <c r="A11437" t="s">
        <v>5557</v>
      </c>
    </row>
    <row r="11438" spans="1:1" x14ac:dyDescent="0.3">
      <c r="A11438" t="s">
        <v>51</v>
      </c>
    </row>
    <row r="11439" spans="1:1" x14ac:dyDescent="0.3">
      <c r="A11439" t="s">
        <v>52</v>
      </c>
    </row>
    <row r="11440" spans="1:1" x14ac:dyDescent="0.3">
      <c r="A11440" t="s">
        <v>79</v>
      </c>
    </row>
    <row r="11442" spans="1:1" x14ac:dyDescent="0.3">
      <c r="A11442" t="s">
        <v>12</v>
      </c>
    </row>
    <row r="11443" spans="1:1" x14ac:dyDescent="0.3">
      <c r="A11443" t="s">
        <v>13</v>
      </c>
    </row>
    <row r="11444" spans="1:1" x14ac:dyDescent="0.3">
      <c r="A11444" t="s">
        <v>1359</v>
      </c>
    </row>
    <row r="11445" spans="1:1" x14ac:dyDescent="0.3">
      <c r="A11445" t="s">
        <v>5558</v>
      </c>
    </row>
    <row r="11446" spans="1:1" x14ac:dyDescent="0.3">
      <c r="A11446" t="s">
        <v>5559</v>
      </c>
    </row>
    <row r="11447" spans="1:1" x14ac:dyDescent="0.3">
      <c r="A11447" t="s">
        <v>4436</v>
      </c>
    </row>
    <row r="11448" spans="1:1" x14ac:dyDescent="0.3">
      <c r="A11448" t="s">
        <v>110</v>
      </c>
    </row>
    <row r="11449" spans="1:1" x14ac:dyDescent="0.3">
      <c r="A11449" t="s">
        <v>5560</v>
      </c>
    </row>
    <row r="11450" spans="1:1" x14ac:dyDescent="0.3">
      <c r="A11450" t="s">
        <v>5561</v>
      </c>
    </row>
    <row r="11451" spans="1:1" x14ac:dyDescent="0.3">
      <c r="A11451" t="s">
        <v>51</v>
      </c>
    </row>
    <row r="11452" spans="1:1" x14ac:dyDescent="0.3">
      <c r="A11452" t="s">
        <v>52</v>
      </c>
    </row>
    <row r="11453" spans="1:1" x14ac:dyDescent="0.3">
      <c r="A11453" t="s">
        <v>79</v>
      </c>
    </row>
    <row r="11455" spans="1:1" x14ac:dyDescent="0.3">
      <c r="A11455" t="s">
        <v>12</v>
      </c>
    </row>
    <row r="11456" spans="1:1" x14ac:dyDescent="0.3">
      <c r="A11456" t="s">
        <v>13</v>
      </c>
    </row>
    <row r="11457" spans="1:1" x14ac:dyDescent="0.3">
      <c r="A11457" t="s">
        <v>1367</v>
      </c>
    </row>
    <row r="11458" spans="1:1" x14ac:dyDescent="0.3">
      <c r="A11458" t="s">
        <v>5562</v>
      </c>
    </row>
    <row r="11459" spans="1:1" x14ac:dyDescent="0.3">
      <c r="A11459" t="s">
        <v>5563</v>
      </c>
    </row>
    <row r="11460" spans="1:1" x14ac:dyDescent="0.3">
      <c r="A11460" t="s">
        <v>4436</v>
      </c>
    </row>
    <row r="11461" spans="1:1" x14ac:dyDescent="0.3">
      <c r="A11461" t="s">
        <v>110</v>
      </c>
    </row>
    <row r="11462" spans="1:1" x14ac:dyDescent="0.3">
      <c r="A11462" t="s">
        <v>1154</v>
      </c>
    </row>
    <row r="11463" spans="1:1" x14ac:dyDescent="0.3">
      <c r="A11463" t="s">
        <v>5564</v>
      </c>
    </row>
    <row r="11464" spans="1:1" x14ac:dyDescent="0.3">
      <c r="A11464" t="s">
        <v>51</v>
      </c>
    </row>
    <row r="11465" spans="1:1" x14ac:dyDescent="0.3">
      <c r="A11465" t="s">
        <v>52</v>
      </c>
    </row>
    <row r="11466" spans="1:1" x14ac:dyDescent="0.3">
      <c r="A11466" t="s">
        <v>79</v>
      </c>
    </row>
    <row r="11467" spans="1:1" x14ac:dyDescent="0.3">
      <c r="A11467" t="s">
        <v>98</v>
      </c>
    </row>
    <row r="11468" spans="1:1" x14ac:dyDescent="0.3">
      <c r="A11468" t="s">
        <v>13</v>
      </c>
    </row>
    <row r="11469" spans="1:1" x14ac:dyDescent="0.3">
      <c r="A11469" t="s">
        <v>105</v>
      </c>
    </row>
    <row r="11470" spans="1:1" x14ac:dyDescent="0.3">
      <c r="A11470" t="s">
        <v>5565</v>
      </c>
    </row>
    <row r="11471" spans="1:1" x14ac:dyDescent="0.3">
      <c r="A11471" t="s">
        <v>1157</v>
      </c>
    </row>
    <row r="11472" spans="1:1" x14ac:dyDescent="0.3">
      <c r="A11472" t="s">
        <v>5566</v>
      </c>
    </row>
    <row r="11473" spans="1:1" x14ac:dyDescent="0.3">
      <c r="A11473" t="s">
        <v>12</v>
      </c>
    </row>
    <row r="11474" spans="1:1" x14ac:dyDescent="0.3">
      <c r="A11474" t="s">
        <v>13</v>
      </c>
    </row>
    <row r="11475" spans="1:1" x14ac:dyDescent="0.3">
      <c r="A11475" t="s">
        <v>106</v>
      </c>
    </row>
    <row r="11476" spans="1:1" x14ac:dyDescent="0.3">
      <c r="A11476" t="s">
        <v>5567</v>
      </c>
    </row>
    <row r="11477" spans="1:1" x14ac:dyDescent="0.3">
      <c r="A11477" t="s">
        <v>1157</v>
      </c>
    </row>
    <row r="11478" spans="1:1" x14ac:dyDescent="0.3">
      <c r="A11478" t="s">
        <v>5568</v>
      </c>
    </row>
    <row r="11479" spans="1:1" x14ac:dyDescent="0.3">
      <c r="A11479" t="s">
        <v>12</v>
      </c>
    </row>
    <row r="11480" spans="1:1" x14ac:dyDescent="0.3">
      <c r="A11480" t="s">
        <v>40</v>
      </c>
    </row>
    <row r="11482" spans="1:1" x14ac:dyDescent="0.3">
      <c r="A11482" t="s">
        <v>12</v>
      </c>
    </row>
    <row r="11483" spans="1:1" x14ac:dyDescent="0.3">
      <c r="A11483" t="s">
        <v>13</v>
      </c>
    </row>
    <row r="11484" spans="1:1" x14ac:dyDescent="0.3">
      <c r="A11484" t="s">
        <v>1373</v>
      </c>
    </row>
    <row r="11485" spans="1:1" x14ac:dyDescent="0.3">
      <c r="A11485" t="s">
        <v>5569</v>
      </c>
    </row>
    <row r="11486" spans="1:1" x14ac:dyDescent="0.3">
      <c r="A11486" t="s">
        <v>5570</v>
      </c>
    </row>
    <row r="11487" spans="1:1" x14ac:dyDescent="0.3">
      <c r="A11487" t="s">
        <v>4436</v>
      </c>
    </row>
    <row r="11488" spans="1:1" x14ac:dyDescent="0.3">
      <c r="A11488" t="s">
        <v>110</v>
      </c>
    </row>
    <row r="11489" spans="1:1" x14ac:dyDescent="0.3">
      <c r="A11489" t="s">
        <v>1154</v>
      </c>
    </row>
    <row r="11490" spans="1:1" x14ac:dyDescent="0.3">
      <c r="A11490" t="s">
        <v>5571</v>
      </c>
    </row>
    <row r="11491" spans="1:1" x14ac:dyDescent="0.3">
      <c r="A11491" t="s">
        <v>51</v>
      </c>
    </row>
    <row r="11492" spans="1:1" x14ac:dyDescent="0.3">
      <c r="A11492" t="s">
        <v>52</v>
      </c>
    </row>
    <row r="11493" spans="1:1" x14ac:dyDescent="0.3">
      <c r="A11493" t="s">
        <v>79</v>
      </c>
    </row>
    <row r="11494" spans="1:1" x14ac:dyDescent="0.3">
      <c r="A11494" t="s">
        <v>98</v>
      </c>
    </row>
    <row r="11495" spans="1:1" x14ac:dyDescent="0.3">
      <c r="A11495" t="s">
        <v>13</v>
      </c>
    </row>
    <row r="11496" spans="1:1" x14ac:dyDescent="0.3">
      <c r="A11496" t="s">
        <v>105</v>
      </c>
    </row>
    <row r="11497" spans="1:1" x14ac:dyDescent="0.3">
      <c r="A11497" t="s">
        <v>5572</v>
      </c>
    </row>
    <row r="11498" spans="1:1" x14ac:dyDescent="0.3">
      <c r="A11498" t="s">
        <v>1157</v>
      </c>
    </row>
    <row r="11499" spans="1:1" x14ac:dyDescent="0.3">
      <c r="A11499" t="s">
        <v>5573</v>
      </c>
    </row>
    <row r="11500" spans="1:1" x14ac:dyDescent="0.3">
      <c r="A11500" t="s">
        <v>12</v>
      </c>
    </row>
    <row r="11501" spans="1:1" x14ac:dyDescent="0.3">
      <c r="A11501" t="s">
        <v>13</v>
      </c>
    </row>
    <row r="11502" spans="1:1" x14ac:dyDescent="0.3">
      <c r="A11502" t="s">
        <v>106</v>
      </c>
    </row>
    <row r="11503" spans="1:1" x14ac:dyDescent="0.3">
      <c r="A11503" t="s">
        <v>5574</v>
      </c>
    </row>
    <row r="11504" spans="1:1" x14ac:dyDescent="0.3">
      <c r="A11504" t="s">
        <v>1157</v>
      </c>
    </row>
    <row r="11505" spans="1:1" x14ac:dyDescent="0.3">
      <c r="A11505" t="s">
        <v>5575</v>
      </c>
    </row>
    <row r="11506" spans="1:1" x14ac:dyDescent="0.3">
      <c r="A11506" t="s">
        <v>12</v>
      </c>
    </row>
    <row r="11507" spans="1:1" x14ac:dyDescent="0.3">
      <c r="A11507" t="s">
        <v>40</v>
      </c>
    </row>
    <row r="11509" spans="1:1" x14ac:dyDescent="0.3">
      <c r="A11509" t="s">
        <v>12</v>
      </c>
    </row>
    <row r="11510" spans="1:1" x14ac:dyDescent="0.3">
      <c r="A11510" t="s">
        <v>13</v>
      </c>
    </row>
    <row r="11511" spans="1:1" x14ac:dyDescent="0.3">
      <c r="A11511" t="s">
        <v>1640</v>
      </c>
    </row>
    <row r="11512" spans="1:1" x14ac:dyDescent="0.3">
      <c r="A11512" t="s">
        <v>5576</v>
      </c>
    </row>
    <row r="11513" spans="1:1" x14ac:dyDescent="0.3">
      <c r="A11513" t="s">
        <v>5577</v>
      </c>
    </row>
    <row r="11514" spans="1:1" x14ac:dyDescent="0.3">
      <c r="A11514" t="s">
        <v>4436</v>
      </c>
    </row>
    <row r="11515" spans="1:1" x14ac:dyDescent="0.3">
      <c r="A11515" t="s">
        <v>110</v>
      </c>
    </row>
    <row r="11516" spans="1:1" x14ac:dyDescent="0.3">
      <c r="A11516" t="s">
        <v>5578</v>
      </c>
    </row>
    <row r="11517" spans="1:1" x14ac:dyDescent="0.3">
      <c r="A11517" t="s">
        <v>5579</v>
      </c>
    </row>
    <row r="11518" spans="1:1" x14ac:dyDescent="0.3">
      <c r="A11518" t="s">
        <v>51</v>
      </c>
    </row>
    <row r="11519" spans="1:1" x14ac:dyDescent="0.3">
      <c r="A11519" t="s">
        <v>52</v>
      </c>
    </row>
    <row r="11520" spans="1:1" x14ac:dyDescent="0.3">
      <c r="A11520" t="s">
        <v>79</v>
      </c>
    </row>
    <row r="11521" spans="1:1" x14ac:dyDescent="0.3">
      <c r="A11521" t="s">
        <v>98</v>
      </c>
    </row>
    <row r="11522" spans="1:1" x14ac:dyDescent="0.3">
      <c r="A11522" t="s">
        <v>13</v>
      </c>
    </row>
    <row r="11523" spans="1:1" x14ac:dyDescent="0.3">
      <c r="A11523" t="s">
        <v>105</v>
      </c>
    </row>
    <row r="11524" spans="1:1" x14ac:dyDescent="0.3">
      <c r="A11524" t="s">
        <v>5580</v>
      </c>
    </row>
    <row r="11525" spans="1:1" x14ac:dyDescent="0.3">
      <c r="A11525" t="s">
        <v>1157</v>
      </c>
    </row>
    <row r="11526" spans="1:1" x14ac:dyDescent="0.3">
      <c r="A11526" t="s">
        <v>5581</v>
      </c>
    </row>
    <row r="11527" spans="1:1" x14ac:dyDescent="0.3">
      <c r="A11527" t="s">
        <v>12</v>
      </c>
    </row>
    <row r="11528" spans="1:1" x14ac:dyDescent="0.3">
      <c r="A11528" t="s">
        <v>13</v>
      </c>
    </row>
    <row r="11529" spans="1:1" x14ac:dyDescent="0.3">
      <c r="A11529" t="s">
        <v>106</v>
      </c>
    </row>
    <row r="11530" spans="1:1" x14ac:dyDescent="0.3">
      <c r="A11530" t="s">
        <v>5582</v>
      </c>
    </row>
    <row r="11531" spans="1:1" x14ac:dyDescent="0.3">
      <c r="A11531" t="s">
        <v>1157</v>
      </c>
    </row>
    <row r="11532" spans="1:1" x14ac:dyDescent="0.3">
      <c r="A11532" t="s">
        <v>5583</v>
      </c>
    </row>
    <row r="11533" spans="1:1" x14ac:dyDescent="0.3">
      <c r="A11533" t="s">
        <v>12</v>
      </c>
    </row>
    <row r="11534" spans="1:1" x14ac:dyDescent="0.3">
      <c r="A11534" t="s">
        <v>40</v>
      </c>
    </row>
    <row r="11536" spans="1:1" x14ac:dyDescent="0.3">
      <c r="A11536" t="s">
        <v>12</v>
      </c>
    </row>
    <row r="11537" spans="1:1" x14ac:dyDescent="0.3">
      <c r="A11537" t="s">
        <v>13</v>
      </c>
    </row>
    <row r="11538" spans="1:1" x14ac:dyDescent="0.3">
      <c r="A11538" t="s">
        <v>1643</v>
      </c>
    </row>
    <row r="11539" spans="1:1" x14ac:dyDescent="0.3">
      <c r="A11539" t="s">
        <v>5584</v>
      </c>
    </row>
    <row r="11540" spans="1:1" x14ac:dyDescent="0.3">
      <c r="A11540" t="s">
        <v>5585</v>
      </c>
    </row>
    <row r="11541" spans="1:1" x14ac:dyDescent="0.3">
      <c r="A11541" t="s">
        <v>4436</v>
      </c>
    </row>
    <row r="11542" spans="1:1" x14ac:dyDescent="0.3">
      <c r="A11542" t="s">
        <v>110</v>
      </c>
    </row>
    <row r="11543" spans="1:1" x14ac:dyDescent="0.3">
      <c r="A11543" t="s">
        <v>1154</v>
      </c>
    </row>
    <row r="11544" spans="1:1" x14ac:dyDescent="0.3">
      <c r="A11544" t="s">
        <v>5586</v>
      </c>
    </row>
    <row r="11545" spans="1:1" x14ac:dyDescent="0.3">
      <c r="A11545" t="s">
        <v>51</v>
      </c>
    </row>
    <row r="11546" spans="1:1" x14ac:dyDescent="0.3">
      <c r="A11546" t="s">
        <v>52</v>
      </c>
    </row>
    <row r="11547" spans="1:1" x14ac:dyDescent="0.3">
      <c r="A11547" t="s">
        <v>79</v>
      </c>
    </row>
    <row r="11548" spans="1:1" x14ac:dyDescent="0.3">
      <c r="A11548" t="s">
        <v>98</v>
      </c>
    </row>
    <row r="11549" spans="1:1" x14ac:dyDescent="0.3">
      <c r="A11549" t="s">
        <v>13</v>
      </c>
    </row>
    <row r="11550" spans="1:1" x14ac:dyDescent="0.3">
      <c r="A11550" t="s">
        <v>105</v>
      </c>
    </row>
    <row r="11551" spans="1:1" x14ac:dyDescent="0.3">
      <c r="A11551" t="s">
        <v>5587</v>
      </c>
    </row>
    <row r="11552" spans="1:1" x14ac:dyDescent="0.3">
      <c r="A11552" t="s">
        <v>1157</v>
      </c>
    </row>
    <row r="11553" spans="1:1" x14ac:dyDescent="0.3">
      <c r="A11553" t="s">
        <v>5588</v>
      </c>
    </row>
    <row r="11554" spans="1:1" x14ac:dyDescent="0.3">
      <c r="A11554" t="s">
        <v>12</v>
      </c>
    </row>
    <row r="11555" spans="1:1" x14ac:dyDescent="0.3">
      <c r="A11555" t="s">
        <v>13</v>
      </c>
    </row>
    <row r="11556" spans="1:1" x14ac:dyDescent="0.3">
      <c r="A11556" t="s">
        <v>106</v>
      </c>
    </row>
    <row r="11557" spans="1:1" x14ac:dyDescent="0.3">
      <c r="A11557" t="s">
        <v>5589</v>
      </c>
    </row>
    <row r="11558" spans="1:1" x14ac:dyDescent="0.3">
      <c r="A11558" t="s">
        <v>1157</v>
      </c>
    </row>
    <row r="11559" spans="1:1" x14ac:dyDescent="0.3">
      <c r="A11559" t="s">
        <v>5590</v>
      </c>
    </row>
    <row r="11560" spans="1:1" x14ac:dyDescent="0.3">
      <c r="A11560" t="s">
        <v>12</v>
      </c>
    </row>
    <row r="11561" spans="1:1" x14ac:dyDescent="0.3">
      <c r="A11561" t="s">
        <v>40</v>
      </c>
    </row>
    <row r="11563" spans="1:1" x14ac:dyDescent="0.3">
      <c r="A11563" t="s">
        <v>12</v>
      </c>
    </row>
    <row r="11564" spans="1:1" x14ac:dyDescent="0.3">
      <c r="A11564" t="s">
        <v>40</v>
      </c>
    </row>
    <row r="11565" spans="1:1" x14ac:dyDescent="0.3">
      <c r="A11565" t="s">
        <v>12</v>
      </c>
    </row>
    <row r="11566" spans="1:1" x14ac:dyDescent="0.3">
      <c r="A11566" t="s">
        <v>13</v>
      </c>
    </row>
    <row r="11567" spans="1:1" x14ac:dyDescent="0.3">
      <c r="A11567" t="s">
        <v>5591</v>
      </c>
    </row>
    <row r="11568" spans="1:1" x14ac:dyDescent="0.3">
      <c r="A11568" t="s">
        <v>5592</v>
      </c>
    </row>
    <row r="11569" spans="1:1" x14ac:dyDescent="0.3">
      <c r="A11569" t="s">
        <v>39</v>
      </c>
    </row>
    <row r="11570" spans="1:1" x14ac:dyDescent="0.3">
      <c r="A11570" t="s">
        <v>13</v>
      </c>
    </row>
    <row r="11571" spans="1:1" x14ac:dyDescent="0.3">
      <c r="A11571" t="s">
        <v>50</v>
      </c>
    </row>
    <row r="11572" spans="1:1" x14ac:dyDescent="0.3">
      <c r="A11572" t="s">
        <v>5593</v>
      </c>
    </row>
    <row r="11573" spans="1:1" x14ac:dyDescent="0.3">
      <c r="A11573" t="s">
        <v>5594</v>
      </c>
    </row>
    <row r="11574" spans="1:1" x14ac:dyDescent="0.3">
      <c r="A11574" t="s">
        <v>4436</v>
      </c>
    </row>
    <row r="11575" spans="1:1" x14ac:dyDescent="0.3">
      <c r="A11575" t="s">
        <v>110</v>
      </c>
    </row>
    <row r="11576" spans="1:1" x14ac:dyDescent="0.3">
      <c r="A11576" t="s">
        <v>1154</v>
      </c>
    </row>
    <row r="11577" spans="1:1" x14ac:dyDescent="0.3">
      <c r="A11577" t="s">
        <v>5595</v>
      </c>
    </row>
    <row r="11578" spans="1:1" x14ac:dyDescent="0.3">
      <c r="A11578" t="s">
        <v>51</v>
      </c>
    </row>
    <row r="11579" spans="1:1" x14ac:dyDescent="0.3">
      <c r="A11579" t="s">
        <v>52</v>
      </c>
    </row>
    <row r="11580" spans="1:1" x14ac:dyDescent="0.3">
      <c r="A11580" t="s">
        <v>79</v>
      </c>
    </row>
    <row r="11581" spans="1:1" x14ac:dyDescent="0.3">
      <c r="A11581" t="s">
        <v>98</v>
      </c>
    </row>
    <row r="11582" spans="1:1" x14ac:dyDescent="0.3">
      <c r="A11582" t="s">
        <v>13</v>
      </c>
    </row>
    <row r="11583" spans="1:1" x14ac:dyDescent="0.3">
      <c r="A11583" t="s">
        <v>105</v>
      </c>
    </row>
    <row r="11584" spans="1:1" x14ac:dyDescent="0.3">
      <c r="A11584" t="s">
        <v>5596</v>
      </c>
    </row>
    <row r="11585" spans="1:1" x14ac:dyDescent="0.3">
      <c r="A11585" t="s">
        <v>1157</v>
      </c>
    </row>
    <row r="11586" spans="1:1" x14ac:dyDescent="0.3">
      <c r="A11586" t="s">
        <v>5597</v>
      </c>
    </row>
    <row r="11587" spans="1:1" x14ac:dyDescent="0.3">
      <c r="A11587" t="s">
        <v>12</v>
      </c>
    </row>
    <row r="11588" spans="1:1" x14ac:dyDescent="0.3">
      <c r="A11588" t="s">
        <v>13</v>
      </c>
    </row>
    <row r="11589" spans="1:1" x14ac:dyDescent="0.3">
      <c r="A11589" t="s">
        <v>106</v>
      </c>
    </row>
    <row r="11590" spans="1:1" x14ac:dyDescent="0.3">
      <c r="A11590" t="s">
        <v>5598</v>
      </c>
    </row>
    <row r="11591" spans="1:1" x14ac:dyDescent="0.3">
      <c r="A11591" t="s">
        <v>1157</v>
      </c>
    </row>
    <row r="11592" spans="1:1" x14ac:dyDescent="0.3">
      <c r="A11592" t="s">
        <v>5599</v>
      </c>
    </row>
    <row r="11593" spans="1:1" x14ac:dyDescent="0.3">
      <c r="A11593" t="s">
        <v>12</v>
      </c>
    </row>
    <row r="11594" spans="1:1" x14ac:dyDescent="0.3">
      <c r="A11594" t="s">
        <v>40</v>
      </c>
    </row>
    <row r="11596" spans="1:1" x14ac:dyDescent="0.3">
      <c r="A11596" t="s">
        <v>12</v>
      </c>
    </row>
    <row r="11597" spans="1:1" x14ac:dyDescent="0.3">
      <c r="A11597" t="s">
        <v>13</v>
      </c>
    </row>
    <row r="11598" spans="1:1" x14ac:dyDescent="0.3">
      <c r="A11598" t="s">
        <v>53</v>
      </c>
    </row>
    <row r="11599" spans="1:1" x14ac:dyDescent="0.3">
      <c r="A11599" t="s">
        <v>5600</v>
      </c>
    </row>
    <row r="11600" spans="1:1" x14ac:dyDescent="0.3">
      <c r="A11600" t="s">
        <v>5601</v>
      </c>
    </row>
    <row r="11601" spans="1:1" x14ac:dyDescent="0.3">
      <c r="A11601" t="s">
        <v>4436</v>
      </c>
    </row>
    <row r="11602" spans="1:1" x14ac:dyDescent="0.3">
      <c r="A11602" t="s">
        <v>110</v>
      </c>
    </row>
    <row r="11603" spans="1:1" x14ac:dyDescent="0.3">
      <c r="A11603" t="s">
        <v>1154</v>
      </c>
    </row>
    <row r="11604" spans="1:1" x14ac:dyDescent="0.3">
      <c r="A11604" t="s">
        <v>5602</v>
      </c>
    </row>
    <row r="11605" spans="1:1" x14ac:dyDescent="0.3">
      <c r="A11605" t="s">
        <v>51</v>
      </c>
    </row>
    <row r="11606" spans="1:1" x14ac:dyDescent="0.3">
      <c r="A11606" t="s">
        <v>52</v>
      </c>
    </row>
    <row r="11607" spans="1:1" x14ac:dyDescent="0.3">
      <c r="A11607" t="s">
        <v>79</v>
      </c>
    </row>
    <row r="11608" spans="1:1" x14ac:dyDescent="0.3">
      <c r="A11608" t="s">
        <v>98</v>
      </c>
    </row>
    <row r="11609" spans="1:1" x14ac:dyDescent="0.3">
      <c r="A11609" t="s">
        <v>13</v>
      </c>
    </row>
    <row r="11610" spans="1:1" x14ac:dyDescent="0.3">
      <c r="A11610" t="s">
        <v>105</v>
      </c>
    </row>
    <row r="11611" spans="1:1" x14ac:dyDescent="0.3">
      <c r="A11611" t="s">
        <v>5603</v>
      </c>
    </row>
    <row r="11612" spans="1:1" x14ac:dyDescent="0.3">
      <c r="A11612" t="s">
        <v>1157</v>
      </c>
    </row>
    <row r="11613" spans="1:1" x14ac:dyDescent="0.3">
      <c r="A11613" t="s">
        <v>5604</v>
      </c>
    </row>
    <row r="11614" spans="1:1" x14ac:dyDescent="0.3">
      <c r="A11614" t="s">
        <v>12</v>
      </c>
    </row>
    <row r="11615" spans="1:1" x14ac:dyDescent="0.3">
      <c r="A11615" t="s">
        <v>13</v>
      </c>
    </row>
    <row r="11616" spans="1:1" x14ac:dyDescent="0.3">
      <c r="A11616" t="s">
        <v>106</v>
      </c>
    </row>
    <row r="11617" spans="1:1" x14ac:dyDescent="0.3">
      <c r="A11617" t="s">
        <v>5605</v>
      </c>
    </row>
    <row r="11618" spans="1:1" x14ac:dyDescent="0.3">
      <c r="A11618" t="s">
        <v>1157</v>
      </c>
    </row>
    <row r="11619" spans="1:1" x14ac:dyDescent="0.3">
      <c r="A11619" t="s">
        <v>5606</v>
      </c>
    </row>
    <row r="11620" spans="1:1" x14ac:dyDescent="0.3">
      <c r="A11620" t="s">
        <v>12</v>
      </c>
    </row>
    <row r="11621" spans="1:1" x14ac:dyDescent="0.3">
      <c r="A11621" t="s">
        <v>40</v>
      </c>
    </row>
    <row r="11623" spans="1:1" x14ac:dyDescent="0.3">
      <c r="A11623" t="s">
        <v>12</v>
      </c>
    </row>
    <row r="11624" spans="1:1" x14ac:dyDescent="0.3">
      <c r="A11624" t="s">
        <v>13</v>
      </c>
    </row>
    <row r="11625" spans="1:1" x14ac:dyDescent="0.3">
      <c r="A11625" t="s">
        <v>54</v>
      </c>
    </row>
    <row r="11626" spans="1:1" x14ac:dyDescent="0.3">
      <c r="A11626" t="s">
        <v>5607</v>
      </c>
    </row>
    <row r="11627" spans="1:1" x14ac:dyDescent="0.3">
      <c r="A11627" t="s">
        <v>5608</v>
      </c>
    </row>
    <row r="11628" spans="1:1" x14ac:dyDescent="0.3">
      <c r="A11628" t="s">
        <v>4436</v>
      </c>
    </row>
    <row r="11629" spans="1:1" x14ac:dyDescent="0.3">
      <c r="A11629" t="s">
        <v>110</v>
      </c>
    </row>
    <row r="11630" spans="1:1" x14ac:dyDescent="0.3">
      <c r="A11630" t="s">
        <v>1154</v>
      </c>
    </row>
    <row r="11631" spans="1:1" x14ac:dyDescent="0.3">
      <c r="A11631" t="s">
        <v>5609</v>
      </c>
    </row>
    <row r="11632" spans="1:1" x14ac:dyDescent="0.3">
      <c r="A11632" t="s">
        <v>51</v>
      </c>
    </row>
    <row r="11633" spans="1:1" x14ac:dyDescent="0.3">
      <c r="A11633" t="s">
        <v>52</v>
      </c>
    </row>
    <row r="11634" spans="1:1" x14ac:dyDescent="0.3">
      <c r="A11634" t="s">
        <v>79</v>
      </c>
    </row>
    <row r="11635" spans="1:1" x14ac:dyDescent="0.3">
      <c r="A11635" t="s">
        <v>98</v>
      </c>
    </row>
    <row r="11636" spans="1:1" x14ac:dyDescent="0.3">
      <c r="A11636" t="s">
        <v>13</v>
      </c>
    </row>
    <row r="11637" spans="1:1" x14ac:dyDescent="0.3">
      <c r="A11637" t="s">
        <v>105</v>
      </c>
    </row>
    <row r="11638" spans="1:1" x14ac:dyDescent="0.3">
      <c r="A11638" t="s">
        <v>5610</v>
      </c>
    </row>
    <row r="11639" spans="1:1" x14ac:dyDescent="0.3">
      <c r="A11639" t="s">
        <v>1157</v>
      </c>
    </row>
    <row r="11640" spans="1:1" x14ac:dyDescent="0.3">
      <c r="A11640" t="s">
        <v>5611</v>
      </c>
    </row>
    <row r="11641" spans="1:1" x14ac:dyDescent="0.3">
      <c r="A11641" t="s">
        <v>12</v>
      </c>
    </row>
    <row r="11642" spans="1:1" x14ac:dyDescent="0.3">
      <c r="A11642" t="s">
        <v>13</v>
      </c>
    </row>
    <row r="11643" spans="1:1" x14ac:dyDescent="0.3">
      <c r="A11643" t="s">
        <v>106</v>
      </c>
    </row>
    <row r="11644" spans="1:1" x14ac:dyDescent="0.3">
      <c r="A11644" t="s">
        <v>5612</v>
      </c>
    </row>
    <row r="11645" spans="1:1" x14ac:dyDescent="0.3">
      <c r="A11645" t="s">
        <v>1157</v>
      </c>
    </row>
    <row r="11646" spans="1:1" x14ac:dyDescent="0.3">
      <c r="A11646" t="s">
        <v>5613</v>
      </c>
    </row>
    <row r="11647" spans="1:1" x14ac:dyDescent="0.3">
      <c r="A11647" t="s">
        <v>12</v>
      </c>
    </row>
    <row r="11648" spans="1:1" x14ac:dyDescent="0.3">
      <c r="A11648" t="s">
        <v>40</v>
      </c>
    </row>
    <row r="11650" spans="1:1" x14ac:dyDescent="0.3">
      <c r="A11650" t="s">
        <v>12</v>
      </c>
    </row>
    <row r="11651" spans="1:1" x14ac:dyDescent="0.3">
      <c r="A11651" t="s">
        <v>13</v>
      </c>
    </row>
    <row r="11652" spans="1:1" x14ac:dyDescent="0.3">
      <c r="A11652" t="s">
        <v>107</v>
      </c>
    </row>
    <row r="11653" spans="1:1" x14ac:dyDescent="0.3">
      <c r="A11653" t="s">
        <v>4777</v>
      </c>
    </row>
    <row r="11654" spans="1:1" x14ac:dyDescent="0.3">
      <c r="A11654" t="s">
        <v>5614</v>
      </c>
    </row>
    <row r="11655" spans="1:1" x14ac:dyDescent="0.3">
      <c r="A11655" t="s">
        <v>4436</v>
      </c>
    </row>
    <row r="11656" spans="1:1" x14ac:dyDescent="0.3">
      <c r="A11656" t="s">
        <v>110</v>
      </c>
    </row>
    <row r="11657" spans="1:1" x14ac:dyDescent="0.3">
      <c r="A11657" t="s">
        <v>1154</v>
      </c>
    </row>
    <row r="11658" spans="1:1" x14ac:dyDescent="0.3">
      <c r="A11658" t="s">
        <v>5615</v>
      </c>
    </row>
    <row r="11659" spans="1:1" x14ac:dyDescent="0.3">
      <c r="A11659" t="s">
        <v>51</v>
      </c>
    </row>
    <row r="11660" spans="1:1" x14ac:dyDescent="0.3">
      <c r="A11660" t="s">
        <v>52</v>
      </c>
    </row>
    <row r="11661" spans="1:1" x14ac:dyDescent="0.3">
      <c r="A11661" t="s">
        <v>79</v>
      </c>
    </row>
    <row r="11662" spans="1:1" x14ac:dyDescent="0.3">
      <c r="A11662" t="s">
        <v>98</v>
      </c>
    </row>
    <row r="11663" spans="1:1" x14ac:dyDescent="0.3">
      <c r="A11663" t="s">
        <v>13</v>
      </c>
    </row>
    <row r="11664" spans="1:1" x14ac:dyDescent="0.3">
      <c r="A11664" t="s">
        <v>105</v>
      </c>
    </row>
    <row r="11665" spans="1:1" x14ac:dyDescent="0.3">
      <c r="A11665" t="s">
        <v>5616</v>
      </c>
    </row>
    <row r="11666" spans="1:1" x14ac:dyDescent="0.3">
      <c r="A11666" t="s">
        <v>1157</v>
      </c>
    </row>
    <row r="11667" spans="1:1" x14ac:dyDescent="0.3">
      <c r="A11667" t="s">
        <v>5617</v>
      </c>
    </row>
    <row r="11668" spans="1:1" x14ac:dyDescent="0.3">
      <c r="A11668" t="s">
        <v>12</v>
      </c>
    </row>
    <row r="11669" spans="1:1" x14ac:dyDescent="0.3">
      <c r="A11669" t="s">
        <v>13</v>
      </c>
    </row>
    <row r="11670" spans="1:1" x14ac:dyDescent="0.3">
      <c r="A11670" t="s">
        <v>106</v>
      </c>
    </row>
    <row r="11671" spans="1:1" x14ac:dyDescent="0.3">
      <c r="A11671" t="s">
        <v>5618</v>
      </c>
    </row>
    <row r="11672" spans="1:1" x14ac:dyDescent="0.3">
      <c r="A11672" t="s">
        <v>1157</v>
      </c>
    </row>
    <row r="11673" spans="1:1" x14ac:dyDescent="0.3">
      <c r="A11673" t="s">
        <v>5619</v>
      </c>
    </row>
    <row r="11674" spans="1:1" x14ac:dyDescent="0.3">
      <c r="A11674" t="s">
        <v>12</v>
      </c>
    </row>
    <row r="11675" spans="1:1" x14ac:dyDescent="0.3">
      <c r="A11675" t="s">
        <v>40</v>
      </c>
    </row>
    <row r="11677" spans="1:1" x14ac:dyDescent="0.3">
      <c r="A11677" t="s">
        <v>12</v>
      </c>
    </row>
    <row r="11678" spans="1:1" x14ac:dyDescent="0.3">
      <c r="A11678" t="s">
        <v>13</v>
      </c>
    </row>
    <row r="11679" spans="1:1" x14ac:dyDescent="0.3">
      <c r="A11679" t="s">
        <v>108</v>
      </c>
    </row>
    <row r="11680" spans="1:1" x14ac:dyDescent="0.3">
      <c r="A11680" t="s">
        <v>5620</v>
      </c>
    </row>
    <row r="11681" spans="1:1" x14ac:dyDescent="0.3">
      <c r="A11681" t="s">
        <v>5621</v>
      </c>
    </row>
    <row r="11682" spans="1:1" x14ac:dyDescent="0.3">
      <c r="A11682" t="s">
        <v>4436</v>
      </c>
    </row>
    <row r="11683" spans="1:1" x14ac:dyDescent="0.3">
      <c r="A11683" t="s">
        <v>110</v>
      </c>
    </row>
    <row r="11684" spans="1:1" x14ac:dyDescent="0.3">
      <c r="A11684" t="s">
        <v>1154</v>
      </c>
    </row>
    <row r="11685" spans="1:1" x14ac:dyDescent="0.3">
      <c r="A11685" t="s">
        <v>5622</v>
      </c>
    </row>
    <row r="11686" spans="1:1" x14ac:dyDescent="0.3">
      <c r="A11686" t="s">
        <v>51</v>
      </c>
    </row>
    <row r="11687" spans="1:1" x14ac:dyDescent="0.3">
      <c r="A11687" t="s">
        <v>52</v>
      </c>
    </row>
    <row r="11688" spans="1:1" x14ac:dyDescent="0.3">
      <c r="A11688" t="s">
        <v>79</v>
      </c>
    </row>
    <row r="11690" spans="1:1" x14ac:dyDescent="0.3">
      <c r="A11690" t="s">
        <v>12</v>
      </c>
    </row>
    <row r="11691" spans="1:1" x14ac:dyDescent="0.3">
      <c r="A11691" t="s">
        <v>13</v>
      </c>
    </row>
    <row r="11692" spans="1:1" x14ac:dyDescent="0.3">
      <c r="A11692" t="s">
        <v>1184</v>
      </c>
    </row>
    <row r="11693" spans="1:1" x14ac:dyDescent="0.3">
      <c r="A11693" t="s">
        <v>5623</v>
      </c>
    </row>
    <row r="11694" spans="1:1" x14ac:dyDescent="0.3">
      <c r="A11694" t="s">
        <v>5624</v>
      </c>
    </row>
    <row r="11695" spans="1:1" x14ac:dyDescent="0.3">
      <c r="A11695" t="s">
        <v>4436</v>
      </c>
    </row>
    <row r="11696" spans="1:1" x14ac:dyDescent="0.3">
      <c r="A11696" t="s">
        <v>110</v>
      </c>
    </row>
    <row r="11697" spans="1:1" x14ac:dyDescent="0.3">
      <c r="A11697" t="s">
        <v>1154</v>
      </c>
    </row>
    <row r="11698" spans="1:1" x14ac:dyDescent="0.3">
      <c r="A11698" t="s">
        <v>5625</v>
      </c>
    </row>
    <row r="11699" spans="1:1" x14ac:dyDescent="0.3">
      <c r="A11699" t="s">
        <v>51</v>
      </c>
    </row>
    <row r="11700" spans="1:1" x14ac:dyDescent="0.3">
      <c r="A11700" t="s">
        <v>52</v>
      </c>
    </row>
    <row r="11701" spans="1:1" x14ac:dyDescent="0.3">
      <c r="A11701" t="s">
        <v>79</v>
      </c>
    </row>
    <row r="11702" spans="1:1" x14ac:dyDescent="0.3">
      <c r="A11702" t="s">
        <v>98</v>
      </c>
    </row>
    <row r="11703" spans="1:1" x14ac:dyDescent="0.3">
      <c r="A11703" t="s">
        <v>13</v>
      </c>
    </row>
    <row r="11704" spans="1:1" x14ac:dyDescent="0.3">
      <c r="A11704" t="s">
        <v>105</v>
      </c>
    </row>
    <row r="11705" spans="1:1" x14ac:dyDescent="0.3">
      <c r="A11705" t="s">
        <v>5626</v>
      </c>
    </row>
    <row r="11706" spans="1:1" x14ac:dyDescent="0.3">
      <c r="A11706" t="s">
        <v>1157</v>
      </c>
    </row>
    <row r="11707" spans="1:1" x14ac:dyDescent="0.3">
      <c r="A11707" t="s">
        <v>5627</v>
      </c>
    </row>
    <row r="11708" spans="1:1" x14ac:dyDescent="0.3">
      <c r="A11708" t="s">
        <v>12</v>
      </c>
    </row>
    <row r="11709" spans="1:1" x14ac:dyDescent="0.3">
      <c r="A11709" t="s">
        <v>13</v>
      </c>
    </row>
    <row r="11710" spans="1:1" x14ac:dyDescent="0.3">
      <c r="A11710" t="s">
        <v>106</v>
      </c>
    </row>
    <row r="11711" spans="1:1" x14ac:dyDescent="0.3">
      <c r="A11711" t="s">
        <v>5628</v>
      </c>
    </row>
    <row r="11712" spans="1:1" x14ac:dyDescent="0.3">
      <c r="A11712" t="s">
        <v>1157</v>
      </c>
    </row>
    <row r="11713" spans="1:1" x14ac:dyDescent="0.3">
      <c r="A11713" t="s">
        <v>5629</v>
      </c>
    </row>
    <row r="11714" spans="1:1" x14ac:dyDescent="0.3">
      <c r="A11714" t="s">
        <v>12</v>
      </c>
    </row>
    <row r="11715" spans="1:1" x14ac:dyDescent="0.3">
      <c r="A11715" t="s">
        <v>40</v>
      </c>
    </row>
    <row r="11717" spans="1:1" x14ac:dyDescent="0.3">
      <c r="A11717" t="s">
        <v>12</v>
      </c>
    </row>
    <row r="11718" spans="1:1" x14ac:dyDescent="0.3">
      <c r="A11718" t="s">
        <v>13</v>
      </c>
    </row>
    <row r="11719" spans="1:1" x14ac:dyDescent="0.3">
      <c r="A11719" t="s">
        <v>1187</v>
      </c>
    </row>
    <row r="11720" spans="1:1" x14ac:dyDescent="0.3">
      <c r="A11720" t="s">
        <v>5630</v>
      </c>
    </row>
    <row r="11721" spans="1:1" x14ac:dyDescent="0.3">
      <c r="A11721" t="s">
        <v>5631</v>
      </c>
    </row>
    <row r="11722" spans="1:1" x14ac:dyDescent="0.3">
      <c r="A11722" t="s">
        <v>4436</v>
      </c>
    </row>
    <row r="11723" spans="1:1" x14ac:dyDescent="0.3">
      <c r="A11723" t="s">
        <v>110</v>
      </c>
    </row>
    <row r="11724" spans="1:1" x14ac:dyDescent="0.3">
      <c r="A11724" t="s">
        <v>1154</v>
      </c>
    </row>
    <row r="11725" spans="1:1" x14ac:dyDescent="0.3">
      <c r="A11725" t="s">
        <v>5632</v>
      </c>
    </row>
    <row r="11726" spans="1:1" x14ac:dyDescent="0.3">
      <c r="A11726" t="s">
        <v>51</v>
      </c>
    </row>
    <row r="11727" spans="1:1" x14ac:dyDescent="0.3">
      <c r="A11727" t="s">
        <v>52</v>
      </c>
    </row>
    <row r="11728" spans="1:1" x14ac:dyDescent="0.3">
      <c r="A11728" t="s">
        <v>79</v>
      </c>
    </row>
    <row r="11729" spans="1:1" x14ac:dyDescent="0.3">
      <c r="A11729" t="s">
        <v>98</v>
      </c>
    </row>
    <row r="11730" spans="1:1" x14ac:dyDescent="0.3">
      <c r="A11730" t="s">
        <v>13</v>
      </c>
    </row>
    <row r="11731" spans="1:1" x14ac:dyDescent="0.3">
      <c r="A11731" t="s">
        <v>105</v>
      </c>
    </row>
    <row r="11732" spans="1:1" x14ac:dyDescent="0.3">
      <c r="A11732" t="s">
        <v>5633</v>
      </c>
    </row>
    <row r="11733" spans="1:1" x14ac:dyDescent="0.3">
      <c r="A11733" t="s">
        <v>1157</v>
      </c>
    </row>
    <row r="11734" spans="1:1" x14ac:dyDescent="0.3">
      <c r="A11734" t="s">
        <v>5634</v>
      </c>
    </row>
    <row r="11735" spans="1:1" x14ac:dyDescent="0.3">
      <c r="A11735" t="s">
        <v>12</v>
      </c>
    </row>
    <row r="11736" spans="1:1" x14ac:dyDescent="0.3">
      <c r="A11736" t="s">
        <v>13</v>
      </c>
    </row>
    <row r="11737" spans="1:1" x14ac:dyDescent="0.3">
      <c r="A11737" t="s">
        <v>106</v>
      </c>
    </row>
    <row r="11738" spans="1:1" x14ac:dyDescent="0.3">
      <c r="A11738" t="s">
        <v>5635</v>
      </c>
    </row>
    <row r="11739" spans="1:1" x14ac:dyDescent="0.3">
      <c r="A11739" t="s">
        <v>1157</v>
      </c>
    </row>
    <row r="11740" spans="1:1" x14ac:dyDescent="0.3">
      <c r="A11740" t="s">
        <v>5636</v>
      </c>
    </row>
    <row r="11741" spans="1:1" x14ac:dyDescent="0.3">
      <c r="A11741" t="s">
        <v>12</v>
      </c>
    </row>
    <row r="11742" spans="1:1" x14ac:dyDescent="0.3">
      <c r="A11742" t="s">
        <v>40</v>
      </c>
    </row>
    <row r="11744" spans="1:1" x14ac:dyDescent="0.3">
      <c r="A11744" t="s">
        <v>12</v>
      </c>
    </row>
    <row r="11745" spans="1:1" x14ac:dyDescent="0.3">
      <c r="A11745" t="s">
        <v>13</v>
      </c>
    </row>
    <row r="11746" spans="1:1" x14ac:dyDescent="0.3">
      <c r="A11746" t="s">
        <v>1190</v>
      </c>
    </row>
    <row r="11747" spans="1:1" x14ac:dyDescent="0.3">
      <c r="A11747" t="s">
        <v>5637</v>
      </c>
    </row>
    <row r="11748" spans="1:1" x14ac:dyDescent="0.3">
      <c r="A11748" t="s">
        <v>5638</v>
      </c>
    </row>
    <row r="11749" spans="1:1" x14ac:dyDescent="0.3">
      <c r="A11749" t="s">
        <v>4436</v>
      </c>
    </row>
    <row r="11750" spans="1:1" x14ac:dyDescent="0.3">
      <c r="A11750" t="s">
        <v>110</v>
      </c>
    </row>
    <row r="11751" spans="1:1" x14ac:dyDescent="0.3">
      <c r="A11751" t="s">
        <v>1154</v>
      </c>
    </row>
    <row r="11752" spans="1:1" x14ac:dyDescent="0.3">
      <c r="A11752" t="s">
        <v>5639</v>
      </c>
    </row>
    <row r="11753" spans="1:1" x14ac:dyDescent="0.3">
      <c r="A11753" t="s">
        <v>51</v>
      </c>
    </row>
    <row r="11754" spans="1:1" x14ac:dyDescent="0.3">
      <c r="A11754" t="s">
        <v>52</v>
      </c>
    </row>
    <row r="11755" spans="1:1" x14ac:dyDescent="0.3">
      <c r="A11755" t="s">
        <v>79</v>
      </c>
    </row>
    <row r="11756" spans="1:1" x14ac:dyDescent="0.3">
      <c r="A11756" t="s">
        <v>98</v>
      </c>
    </row>
    <row r="11757" spans="1:1" x14ac:dyDescent="0.3">
      <c r="A11757" t="s">
        <v>13</v>
      </c>
    </row>
    <row r="11758" spans="1:1" x14ac:dyDescent="0.3">
      <c r="A11758" t="s">
        <v>106</v>
      </c>
    </row>
    <row r="11759" spans="1:1" x14ac:dyDescent="0.3">
      <c r="A11759" t="s">
        <v>5640</v>
      </c>
    </row>
    <row r="11760" spans="1:1" x14ac:dyDescent="0.3">
      <c r="A11760" t="s">
        <v>1157</v>
      </c>
    </row>
    <row r="11761" spans="1:1" x14ac:dyDescent="0.3">
      <c r="A11761" t="s">
        <v>5641</v>
      </c>
    </row>
    <row r="11762" spans="1:1" x14ac:dyDescent="0.3">
      <c r="A11762" t="s">
        <v>12</v>
      </c>
    </row>
    <row r="11763" spans="1:1" x14ac:dyDescent="0.3">
      <c r="A11763" t="s">
        <v>40</v>
      </c>
    </row>
    <row r="11765" spans="1:1" x14ac:dyDescent="0.3">
      <c r="A11765" t="s">
        <v>12</v>
      </c>
    </row>
    <row r="11766" spans="1:1" x14ac:dyDescent="0.3">
      <c r="A11766" t="s">
        <v>13</v>
      </c>
    </row>
    <row r="11767" spans="1:1" x14ac:dyDescent="0.3">
      <c r="A11767" t="s">
        <v>1193</v>
      </c>
    </row>
    <row r="11768" spans="1:1" x14ac:dyDescent="0.3">
      <c r="A11768" t="s">
        <v>5642</v>
      </c>
    </row>
    <row r="11769" spans="1:1" x14ac:dyDescent="0.3">
      <c r="A11769" t="s">
        <v>5643</v>
      </c>
    </row>
    <row r="11770" spans="1:1" x14ac:dyDescent="0.3">
      <c r="A11770" t="s">
        <v>4436</v>
      </c>
    </row>
    <row r="11771" spans="1:1" x14ac:dyDescent="0.3">
      <c r="A11771" t="s">
        <v>110</v>
      </c>
    </row>
    <row r="11772" spans="1:1" x14ac:dyDescent="0.3">
      <c r="A11772" t="s">
        <v>1154</v>
      </c>
    </row>
    <row r="11773" spans="1:1" x14ac:dyDescent="0.3">
      <c r="A11773" t="s">
        <v>5644</v>
      </c>
    </row>
    <row r="11774" spans="1:1" x14ac:dyDescent="0.3">
      <c r="A11774" t="s">
        <v>51</v>
      </c>
    </row>
    <row r="11775" spans="1:1" x14ac:dyDescent="0.3">
      <c r="A11775" t="s">
        <v>52</v>
      </c>
    </row>
    <row r="11776" spans="1:1" x14ac:dyDescent="0.3">
      <c r="A11776" t="s">
        <v>79</v>
      </c>
    </row>
    <row r="11778" spans="1:1" x14ac:dyDescent="0.3">
      <c r="A11778" t="s">
        <v>12</v>
      </c>
    </row>
    <row r="11779" spans="1:1" x14ac:dyDescent="0.3">
      <c r="A11779" t="s">
        <v>13</v>
      </c>
    </row>
    <row r="11780" spans="1:1" x14ac:dyDescent="0.3">
      <c r="A11780" t="s">
        <v>1201</v>
      </c>
    </row>
    <row r="11781" spans="1:1" x14ac:dyDescent="0.3">
      <c r="A11781" t="s">
        <v>5645</v>
      </c>
    </row>
    <row r="11782" spans="1:1" x14ac:dyDescent="0.3">
      <c r="A11782" t="s">
        <v>5646</v>
      </c>
    </row>
    <row r="11783" spans="1:1" x14ac:dyDescent="0.3">
      <c r="A11783" t="s">
        <v>4436</v>
      </c>
    </row>
    <row r="11784" spans="1:1" x14ac:dyDescent="0.3">
      <c r="A11784" t="s">
        <v>110</v>
      </c>
    </row>
    <row r="11785" spans="1:1" x14ac:dyDescent="0.3">
      <c r="A11785" t="s">
        <v>1154</v>
      </c>
    </row>
    <row r="11786" spans="1:1" x14ac:dyDescent="0.3">
      <c r="A11786" t="s">
        <v>5647</v>
      </c>
    </row>
    <row r="11787" spans="1:1" x14ac:dyDescent="0.3">
      <c r="A11787" t="s">
        <v>51</v>
      </c>
    </row>
    <row r="11788" spans="1:1" x14ac:dyDescent="0.3">
      <c r="A11788" t="s">
        <v>52</v>
      </c>
    </row>
    <row r="11789" spans="1:1" x14ac:dyDescent="0.3">
      <c r="A11789" t="s">
        <v>79</v>
      </c>
    </row>
    <row r="11790" spans="1:1" x14ac:dyDescent="0.3">
      <c r="A11790" t="s">
        <v>98</v>
      </c>
    </row>
    <row r="11791" spans="1:1" x14ac:dyDescent="0.3">
      <c r="A11791" t="s">
        <v>13</v>
      </c>
    </row>
    <row r="11792" spans="1:1" x14ac:dyDescent="0.3">
      <c r="A11792" t="s">
        <v>105</v>
      </c>
    </row>
    <row r="11793" spans="1:1" x14ac:dyDescent="0.3">
      <c r="A11793" t="s">
        <v>5648</v>
      </c>
    </row>
    <row r="11794" spans="1:1" x14ac:dyDescent="0.3">
      <c r="A11794" t="s">
        <v>1157</v>
      </c>
    </row>
    <row r="11795" spans="1:1" x14ac:dyDescent="0.3">
      <c r="A11795" t="s">
        <v>5649</v>
      </c>
    </row>
    <row r="11796" spans="1:1" x14ac:dyDescent="0.3">
      <c r="A11796" t="s">
        <v>12</v>
      </c>
    </row>
    <row r="11797" spans="1:1" x14ac:dyDescent="0.3">
      <c r="A11797" t="s">
        <v>13</v>
      </c>
    </row>
    <row r="11798" spans="1:1" x14ac:dyDescent="0.3">
      <c r="A11798" t="s">
        <v>106</v>
      </c>
    </row>
    <row r="11799" spans="1:1" x14ac:dyDescent="0.3">
      <c r="A11799" t="s">
        <v>5650</v>
      </c>
    </row>
    <row r="11800" spans="1:1" x14ac:dyDescent="0.3">
      <c r="A11800" t="s">
        <v>1157</v>
      </c>
    </row>
    <row r="11801" spans="1:1" x14ac:dyDescent="0.3">
      <c r="A11801" t="s">
        <v>5651</v>
      </c>
    </row>
    <row r="11802" spans="1:1" x14ac:dyDescent="0.3">
      <c r="A11802" t="s">
        <v>12</v>
      </c>
    </row>
    <row r="11803" spans="1:1" x14ac:dyDescent="0.3">
      <c r="A11803" t="s">
        <v>40</v>
      </c>
    </row>
    <row r="11805" spans="1:1" x14ac:dyDescent="0.3">
      <c r="A11805" t="s">
        <v>12</v>
      </c>
    </row>
    <row r="11806" spans="1:1" x14ac:dyDescent="0.3">
      <c r="A11806" t="s">
        <v>13</v>
      </c>
    </row>
    <row r="11807" spans="1:1" x14ac:dyDescent="0.3">
      <c r="A11807" t="s">
        <v>1204</v>
      </c>
    </row>
    <row r="11808" spans="1:1" x14ac:dyDescent="0.3">
      <c r="A11808" t="s">
        <v>5652</v>
      </c>
    </row>
    <row r="11809" spans="1:1" x14ac:dyDescent="0.3">
      <c r="A11809" t="s">
        <v>5653</v>
      </c>
    </row>
    <row r="11810" spans="1:1" x14ac:dyDescent="0.3">
      <c r="A11810" t="s">
        <v>4436</v>
      </c>
    </row>
    <row r="11811" spans="1:1" x14ac:dyDescent="0.3">
      <c r="A11811" t="s">
        <v>110</v>
      </c>
    </row>
    <row r="11812" spans="1:1" x14ac:dyDescent="0.3">
      <c r="A11812" t="s">
        <v>1154</v>
      </c>
    </row>
    <row r="11813" spans="1:1" x14ac:dyDescent="0.3">
      <c r="A11813" t="s">
        <v>5654</v>
      </c>
    </row>
    <row r="11814" spans="1:1" x14ac:dyDescent="0.3">
      <c r="A11814" t="s">
        <v>51</v>
      </c>
    </row>
    <row r="11815" spans="1:1" x14ac:dyDescent="0.3">
      <c r="A11815" t="s">
        <v>52</v>
      </c>
    </row>
    <row r="11816" spans="1:1" x14ac:dyDescent="0.3">
      <c r="A11816" t="s">
        <v>79</v>
      </c>
    </row>
    <row r="11817" spans="1:1" x14ac:dyDescent="0.3">
      <c r="A11817" t="s">
        <v>98</v>
      </c>
    </row>
    <row r="11818" spans="1:1" x14ac:dyDescent="0.3">
      <c r="A11818" t="s">
        <v>13</v>
      </c>
    </row>
    <row r="11819" spans="1:1" x14ac:dyDescent="0.3">
      <c r="A11819" t="s">
        <v>105</v>
      </c>
    </row>
    <row r="11820" spans="1:1" x14ac:dyDescent="0.3">
      <c r="A11820" t="s">
        <v>5655</v>
      </c>
    </row>
    <row r="11821" spans="1:1" x14ac:dyDescent="0.3">
      <c r="A11821" t="s">
        <v>1157</v>
      </c>
    </row>
    <row r="11822" spans="1:1" x14ac:dyDescent="0.3">
      <c r="A11822" t="s">
        <v>5656</v>
      </c>
    </row>
    <row r="11823" spans="1:1" x14ac:dyDescent="0.3">
      <c r="A11823" t="s">
        <v>12</v>
      </c>
    </row>
    <row r="11824" spans="1:1" x14ac:dyDescent="0.3">
      <c r="A11824" t="s">
        <v>13</v>
      </c>
    </row>
    <row r="11825" spans="1:1" x14ac:dyDescent="0.3">
      <c r="A11825" t="s">
        <v>106</v>
      </c>
    </row>
    <row r="11826" spans="1:1" x14ac:dyDescent="0.3">
      <c r="A11826" t="s">
        <v>5657</v>
      </c>
    </row>
    <row r="11827" spans="1:1" x14ac:dyDescent="0.3">
      <c r="A11827" t="s">
        <v>1157</v>
      </c>
    </row>
    <row r="11828" spans="1:1" x14ac:dyDescent="0.3">
      <c r="A11828" t="s">
        <v>5658</v>
      </c>
    </row>
    <row r="11829" spans="1:1" x14ac:dyDescent="0.3">
      <c r="A11829" t="s">
        <v>12</v>
      </c>
    </row>
    <row r="11830" spans="1:1" x14ac:dyDescent="0.3">
      <c r="A11830" t="s">
        <v>40</v>
      </c>
    </row>
    <row r="11832" spans="1:1" x14ac:dyDescent="0.3">
      <c r="A11832" t="s">
        <v>12</v>
      </c>
    </row>
    <row r="11833" spans="1:1" x14ac:dyDescent="0.3">
      <c r="A11833" t="s">
        <v>13</v>
      </c>
    </row>
    <row r="11834" spans="1:1" x14ac:dyDescent="0.3">
      <c r="A11834" t="s">
        <v>1212</v>
      </c>
    </row>
    <row r="11835" spans="1:1" x14ac:dyDescent="0.3">
      <c r="A11835" t="s">
        <v>5659</v>
      </c>
    </row>
    <row r="11836" spans="1:1" x14ac:dyDescent="0.3">
      <c r="A11836" t="s">
        <v>5660</v>
      </c>
    </row>
    <row r="11837" spans="1:1" x14ac:dyDescent="0.3">
      <c r="A11837" t="s">
        <v>4436</v>
      </c>
    </row>
    <row r="11838" spans="1:1" x14ac:dyDescent="0.3">
      <c r="A11838" t="s">
        <v>110</v>
      </c>
    </row>
    <row r="11839" spans="1:1" x14ac:dyDescent="0.3">
      <c r="A11839" t="s">
        <v>5661</v>
      </c>
    </row>
    <row r="11840" spans="1:1" x14ac:dyDescent="0.3">
      <c r="A11840" t="s">
        <v>5662</v>
      </c>
    </row>
    <row r="11841" spans="1:1" x14ac:dyDescent="0.3">
      <c r="A11841" t="s">
        <v>51</v>
      </c>
    </row>
    <row r="11842" spans="1:1" x14ac:dyDescent="0.3">
      <c r="A11842" t="s">
        <v>52</v>
      </c>
    </row>
    <row r="11843" spans="1:1" x14ac:dyDescent="0.3">
      <c r="A11843" t="s">
        <v>79</v>
      </c>
    </row>
    <row r="11844" spans="1:1" x14ac:dyDescent="0.3">
      <c r="A11844" t="s">
        <v>98</v>
      </c>
    </row>
    <row r="11845" spans="1:1" x14ac:dyDescent="0.3">
      <c r="A11845" t="s">
        <v>13</v>
      </c>
    </row>
    <row r="11846" spans="1:1" x14ac:dyDescent="0.3">
      <c r="A11846" t="s">
        <v>105</v>
      </c>
    </row>
    <row r="11847" spans="1:1" x14ac:dyDescent="0.3">
      <c r="A11847" t="s">
        <v>5663</v>
      </c>
    </row>
    <row r="11848" spans="1:1" x14ac:dyDescent="0.3">
      <c r="A11848" t="s">
        <v>1157</v>
      </c>
    </row>
    <row r="11849" spans="1:1" x14ac:dyDescent="0.3">
      <c r="A11849" t="s">
        <v>5664</v>
      </c>
    </row>
    <row r="11850" spans="1:1" x14ac:dyDescent="0.3">
      <c r="A11850" t="s">
        <v>12</v>
      </c>
    </row>
    <row r="11851" spans="1:1" x14ac:dyDescent="0.3">
      <c r="A11851" t="s">
        <v>40</v>
      </c>
    </row>
    <row r="11853" spans="1:1" x14ac:dyDescent="0.3">
      <c r="A11853" t="s">
        <v>12</v>
      </c>
    </row>
    <row r="11854" spans="1:1" x14ac:dyDescent="0.3">
      <c r="A11854" t="s">
        <v>13</v>
      </c>
    </row>
    <row r="11855" spans="1:1" x14ac:dyDescent="0.3">
      <c r="A11855" t="s">
        <v>1220</v>
      </c>
    </row>
    <row r="11856" spans="1:1" x14ac:dyDescent="0.3">
      <c r="A11856" t="s">
        <v>5665</v>
      </c>
    </row>
    <row r="11857" spans="1:1" x14ac:dyDescent="0.3">
      <c r="A11857" t="s">
        <v>5666</v>
      </c>
    </row>
    <row r="11858" spans="1:1" x14ac:dyDescent="0.3">
      <c r="A11858" t="s">
        <v>4436</v>
      </c>
    </row>
    <row r="11859" spans="1:1" x14ac:dyDescent="0.3">
      <c r="A11859" t="s">
        <v>110</v>
      </c>
    </row>
    <row r="11860" spans="1:1" x14ac:dyDescent="0.3">
      <c r="A11860" t="s">
        <v>5667</v>
      </c>
    </row>
    <row r="11861" spans="1:1" x14ac:dyDescent="0.3">
      <c r="A11861" t="s">
        <v>5668</v>
      </c>
    </row>
    <row r="11862" spans="1:1" x14ac:dyDescent="0.3">
      <c r="A11862" t="s">
        <v>51</v>
      </c>
    </row>
    <row r="11863" spans="1:1" x14ac:dyDescent="0.3">
      <c r="A11863" t="s">
        <v>52</v>
      </c>
    </row>
    <row r="11864" spans="1:1" x14ac:dyDescent="0.3">
      <c r="A11864" t="s">
        <v>79</v>
      </c>
    </row>
    <row r="11865" spans="1:1" x14ac:dyDescent="0.3">
      <c r="A11865" t="s">
        <v>98</v>
      </c>
    </row>
    <row r="11866" spans="1:1" x14ac:dyDescent="0.3">
      <c r="A11866" t="s">
        <v>13</v>
      </c>
    </row>
    <row r="11867" spans="1:1" x14ac:dyDescent="0.3">
      <c r="A11867" t="s">
        <v>106</v>
      </c>
    </row>
    <row r="11868" spans="1:1" x14ac:dyDescent="0.3">
      <c r="A11868" t="s">
        <v>5669</v>
      </c>
    </row>
    <row r="11869" spans="1:1" x14ac:dyDescent="0.3">
      <c r="A11869" t="s">
        <v>1157</v>
      </c>
    </row>
    <row r="11870" spans="1:1" x14ac:dyDescent="0.3">
      <c r="A11870" t="s">
        <v>5670</v>
      </c>
    </row>
    <row r="11871" spans="1:1" x14ac:dyDescent="0.3">
      <c r="A11871" t="s">
        <v>12</v>
      </c>
    </row>
    <row r="11872" spans="1:1" x14ac:dyDescent="0.3">
      <c r="A11872" t="s">
        <v>40</v>
      </c>
    </row>
    <row r="11874" spans="1:1" x14ac:dyDescent="0.3">
      <c r="A11874" t="s">
        <v>12</v>
      </c>
    </row>
    <row r="11875" spans="1:1" x14ac:dyDescent="0.3">
      <c r="A11875" t="s">
        <v>13</v>
      </c>
    </row>
    <row r="11876" spans="1:1" x14ac:dyDescent="0.3">
      <c r="A11876" t="s">
        <v>1228</v>
      </c>
    </row>
    <row r="11877" spans="1:1" x14ac:dyDescent="0.3">
      <c r="A11877" t="s">
        <v>5671</v>
      </c>
    </row>
    <row r="11878" spans="1:1" x14ac:dyDescent="0.3">
      <c r="A11878" t="s">
        <v>5672</v>
      </c>
    </row>
    <row r="11879" spans="1:1" x14ac:dyDescent="0.3">
      <c r="A11879" t="s">
        <v>4436</v>
      </c>
    </row>
    <row r="11880" spans="1:1" x14ac:dyDescent="0.3">
      <c r="A11880" t="s">
        <v>110</v>
      </c>
    </row>
    <row r="11881" spans="1:1" x14ac:dyDescent="0.3">
      <c r="A11881" t="s">
        <v>5673</v>
      </c>
    </row>
    <row r="11882" spans="1:1" x14ac:dyDescent="0.3">
      <c r="A11882" t="s">
        <v>5674</v>
      </c>
    </row>
    <row r="11883" spans="1:1" x14ac:dyDescent="0.3">
      <c r="A11883" t="s">
        <v>51</v>
      </c>
    </row>
    <row r="11884" spans="1:1" x14ac:dyDescent="0.3">
      <c r="A11884" t="s">
        <v>52</v>
      </c>
    </row>
    <row r="11885" spans="1:1" x14ac:dyDescent="0.3">
      <c r="A11885" t="s">
        <v>79</v>
      </c>
    </row>
    <row r="11886" spans="1:1" x14ac:dyDescent="0.3">
      <c r="A11886" t="s">
        <v>98</v>
      </c>
    </row>
    <row r="11887" spans="1:1" x14ac:dyDescent="0.3">
      <c r="A11887" t="s">
        <v>13</v>
      </c>
    </row>
    <row r="11888" spans="1:1" x14ac:dyDescent="0.3">
      <c r="A11888" t="s">
        <v>105</v>
      </c>
    </row>
    <row r="11889" spans="1:1" x14ac:dyDescent="0.3">
      <c r="A11889" t="s">
        <v>5675</v>
      </c>
    </row>
    <row r="11890" spans="1:1" x14ac:dyDescent="0.3">
      <c r="A11890" t="s">
        <v>1157</v>
      </c>
    </row>
    <row r="11891" spans="1:1" x14ac:dyDescent="0.3">
      <c r="A11891" t="s">
        <v>5676</v>
      </c>
    </row>
    <row r="11892" spans="1:1" x14ac:dyDescent="0.3">
      <c r="A11892" t="s">
        <v>12</v>
      </c>
    </row>
    <row r="11893" spans="1:1" x14ac:dyDescent="0.3">
      <c r="A11893" t="s">
        <v>13</v>
      </c>
    </row>
    <row r="11894" spans="1:1" x14ac:dyDescent="0.3">
      <c r="A11894" t="s">
        <v>106</v>
      </c>
    </row>
    <row r="11895" spans="1:1" x14ac:dyDescent="0.3">
      <c r="A11895" t="s">
        <v>5677</v>
      </c>
    </row>
    <row r="11896" spans="1:1" x14ac:dyDescent="0.3">
      <c r="A11896" t="s">
        <v>1157</v>
      </c>
    </row>
    <row r="11897" spans="1:1" x14ac:dyDescent="0.3">
      <c r="A11897" t="s">
        <v>5678</v>
      </c>
    </row>
    <row r="11898" spans="1:1" x14ac:dyDescent="0.3">
      <c r="A11898" t="s">
        <v>12</v>
      </c>
    </row>
    <row r="11899" spans="1:1" x14ac:dyDescent="0.3">
      <c r="A11899" t="s">
        <v>40</v>
      </c>
    </row>
    <row r="11901" spans="1:1" x14ac:dyDescent="0.3">
      <c r="A11901" t="s">
        <v>12</v>
      </c>
    </row>
    <row r="11902" spans="1:1" x14ac:dyDescent="0.3">
      <c r="A11902" t="s">
        <v>13</v>
      </c>
    </row>
    <row r="11903" spans="1:1" x14ac:dyDescent="0.3">
      <c r="A11903" t="s">
        <v>1236</v>
      </c>
    </row>
    <row r="11904" spans="1:1" x14ac:dyDescent="0.3">
      <c r="A11904" t="s">
        <v>5679</v>
      </c>
    </row>
    <row r="11905" spans="1:1" x14ac:dyDescent="0.3">
      <c r="A11905" t="s">
        <v>5680</v>
      </c>
    </row>
    <row r="11906" spans="1:1" x14ac:dyDescent="0.3">
      <c r="A11906" t="s">
        <v>4436</v>
      </c>
    </row>
    <row r="11907" spans="1:1" x14ac:dyDescent="0.3">
      <c r="A11907" t="s">
        <v>110</v>
      </c>
    </row>
    <row r="11908" spans="1:1" x14ac:dyDescent="0.3">
      <c r="A11908" t="s">
        <v>1154</v>
      </c>
    </row>
    <row r="11909" spans="1:1" x14ac:dyDescent="0.3">
      <c r="A11909" t="s">
        <v>5681</v>
      </c>
    </row>
    <row r="11910" spans="1:1" x14ac:dyDescent="0.3">
      <c r="A11910" t="s">
        <v>51</v>
      </c>
    </row>
    <row r="11911" spans="1:1" x14ac:dyDescent="0.3">
      <c r="A11911" t="s">
        <v>52</v>
      </c>
    </row>
    <row r="11912" spans="1:1" x14ac:dyDescent="0.3">
      <c r="A11912" t="s">
        <v>79</v>
      </c>
    </row>
    <row r="11913" spans="1:1" x14ac:dyDescent="0.3">
      <c r="A11913" t="s">
        <v>98</v>
      </c>
    </row>
    <row r="11914" spans="1:1" x14ac:dyDescent="0.3">
      <c r="A11914" t="s">
        <v>13</v>
      </c>
    </row>
    <row r="11915" spans="1:1" x14ac:dyDescent="0.3">
      <c r="A11915" t="s">
        <v>105</v>
      </c>
    </row>
    <row r="11916" spans="1:1" x14ac:dyDescent="0.3">
      <c r="A11916" t="s">
        <v>5682</v>
      </c>
    </row>
    <row r="11917" spans="1:1" x14ac:dyDescent="0.3">
      <c r="A11917" t="s">
        <v>1157</v>
      </c>
    </row>
    <row r="11918" spans="1:1" x14ac:dyDescent="0.3">
      <c r="A11918" t="s">
        <v>5683</v>
      </c>
    </row>
    <row r="11919" spans="1:1" x14ac:dyDescent="0.3">
      <c r="A11919" t="s">
        <v>12</v>
      </c>
    </row>
    <row r="11920" spans="1:1" x14ac:dyDescent="0.3">
      <c r="A11920" t="s">
        <v>13</v>
      </c>
    </row>
    <row r="11921" spans="1:1" x14ac:dyDescent="0.3">
      <c r="A11921" t="s">
        <v>106</v>
      </c>
    </row>
    <row r="11922" spans="1:1" x14ac:dyDescent="0.3">
      <c r="A11922" t="s">
        <v>5684</v>
      </c>
    </row>
    <row r="11923" spans="1:1" x14ac:dyDescent="0.3">
      <c r="A11923" t="s">
        <v>1157</v>
      </c>
    </row>
    <row r="11924" spans="1:1" x14ac:dyDescent="0.3">
      <c r="A11924" t="s">
        <v>5685</v>
      </c>
    </row>
    <row r="11925" spans="1:1" x14ac:dyDescent="0.3">
      <c r="A11925" t="s">
        <v>12</v>
      </c>
    </row>
    <row r="11926" spans="1:1" x14ac:dyDescent="0.3">
      <c r="A11926" t="s">
        <v>40</v>
      </c>
    </row>
    <row r="11928" spans="1:1" x14ac:dyDescent="0.3">
      <c r="A11928" t="s">
        <v>12</v>
      </c>
    </row>
    <row r="11929" spans="1:1" x14ac:dyDescent="0.3">
      <c r="A11929" t="s">
        <v>13</v>
      </c>
    </row>
    <row r="11930" spans="1:1" x14ac:dyDescent="0.3">
      <c r="A11930" t="s">
        <v>1244</v>
      </c>
    </row>
    <row r="11931" spans="1:1" x14ac:dyDescent="0.3">
      <c r="A11931" t="s">
        <v>5686</v>
      </c>
    </row>
    <row r="11932" spans="1:1" x14ac:dyDescent="0.3">
      <c r="A11932" t="s">
        <v>5687</v>
      </c>
    </row>
    <row r="11933" spans="1:1" x14ac:dyDescent="0.3">
      <c r="A11933" t="s">
        <v>4436</v>
      </c>
    </row>
    <row r="11934" spans="1:1" x14ac:dyDescent="0.3">
      <c r="A11934" t="s">
        <v>110</v>
      </c>
    </row>
    <row r="11935" spans="1:1" x14ac:dyDescent="0.3">
      <c r="A11935" t="s">
        <v>5688</v>
      </c>
    </row>
    <row r="11936" spans="1:1" x14ac:dyDescent="0.3">
      <c r="A11936" t="s">
        <v>5689</v>
      </c>
    </row>
    <row r="11937" spans="1:1" x14ac:dyDescent="0.3">
      <c r="A11937" t="s">
        <v>51</v>
      </c>
    </row>
    <row r="11938" spans="1:1" x14ac:dyDescent="0.3">
      <c r="A11938" t="s">
        <v>52</v>
      </c>
    </row>
    <row r="11939" spans="1:1" x14ac:dyDescent="0.3">
      <c r="A11939" t="s">
        <v>79</v>
      </c>
    </row>
    <row r="11940" spans="1:1" x14ac:dyDescent="0.3">
      <c r="A11940" t="s">
        <v>98</v>
      </c>
    </row>
    <row r="11941" spans="1:1" x14ac:dyDescent="0.3">
      <c r="A11941" t="s">
        <v>13</v>
      </c>
    </row>
    <row r="11942" spans="1:1" x14ac:dyDescent="0.3">
      <c r="A11942" t="s">
        <v>105</v>
      </c>
    </row>
    <row r="11943" spans="1:1" x14ac:dyDescent="0.3">
      <c r="A11943" t="s">
        <v>5690</v>
      </c>
    </row>
    <row r="11944" spans="1:1" x14ac:dyDescent="0.3">
      <c r="A11944" t="s">
        <v>1157</v>
      </c>
    </row>
    <row r="11945" spans="1:1" x14ac:dyDescent="0.3">
      <c r="A11945" t="s">
        <v>5691</v>
      </c>
    </row>
    <row r="11946" spans="1:1" x14ac:dyDescent="0.3">
      <c r="A11946" t="s">
        <v>12</v>
      </c>
    </row>
    <row r="11947" spans="1:1" x14ac:dyDescent="0.3">
      <c r="A11947" t="s">
        <v>40</v>
      </c>
    </row>
    <row r="11949" spans="1:1" x14ac:dyDescent="0.3">
      <c r="A11949" t="s">
        <v>12</v>
      </c>
    </row>
    <row r="11950" spans="1:1" x14ac:dyDescent="0.3">
      <c r="A11950" t="s">
        <v>13</v>
      </c>
    </row>
    <row r="11951" spans="1:1" x14ac:dyDescent="0.3">
      <c r="A11951" t="s">
        <v>1252</v>
      </c>
    </row>
    <row r="11952" spans="1:1" x14ac:dyDescent="0.3">
      <c r="A11952" t="s">
        <v>5692</v>
      </c>
    </row>
    <row r="11953" spans="1:1" x14ac:dyDescent="0.3">
      <c r="A11953" t="s">
        <v>5693</v>
      </c>
    </row>
    <row r="11954" spans="1:1" x14ac:dyDescent="0.3">
      <c r="A11954" t="s">
        <v>4436</v>
      </c>
    </row>
    <row r="11955" spans="1:1" x14ac:dyDescent="0.3">
      <c r="A11955" t="s">
        <v>110</v>
      </c>
    </row>
    <row r="11956" spans="1:1" x14ac:dyDescent="0.3">
      <c r="A11956" t="s">
        <v>5694</v>
      </c>
    </row>
    <row r="11957" spans="1:1" x14ac:dyDescent="0.3">
      <c r="A11957" t="s">
        <v>5695</v>
      </c>
    </row>
    <row r="11958" spans="1:1" x14ac:dyDescent="0.3">
      <c r="A11958" t="s">
        <v>51</v>
      </c>
    </row>
    <row r="11959" spans="1:1" x14ac:dyDescent="0.3">
      <c r="A11959" t="s">
        <v>52</v>
      </c>
    </row>
    <row r="11960" spans="1:1" x14ac:dyDescent="0.3">
      <c r="A11960" t="s">
        <v>79</v>
      </c>
    </row>
    <row r="11962" spans="1:1" x14ac:dyDescent="0.3">
      <c r="A11962" t="s">
        <v>12</v>
      </c>
    </row>
    <row r="11963" spans="1:1" x14ac:dyDescent="0.3">
      <c r="A11963" t="s">
        <v>13</v>
      </c>
    </row>
    <row r="11964" spans="1:1" x14ac:dyDescent="0.3">
      <c r="A11964" t="s">
        <v>1256</v>
      </c>
    </row>
    <row r="11965" spans="1:1" x14ac:dyDescent="0.3">
      <c r="A11965" t="s">
        <v>2179</v>
      </c>
    </row>
    <row r="11966" spans="1:1" x14ac:dyDescent="0.3">
      <c r="A11966" t="s">
        <v>5696</v>
      </c>
    </row>
    <row r="11967" spans="1:1" x14ac:dyDescent="0.3">
      <c r="A11967" t="s">
        <v>4436</v>
      </c>
    </row>
    <row r="11968" spans="1:1" x14ac:dyDescent="0.3">
      <c r="A11968" t="s">
        <v>110</v>
      </c>
    </row>
    <row r="11969" spans="1:1" x14ac:dyDescent="0.3">
      <c r="A11969" t="s">
        <v>1154</v>
      </c>
    </row>
    <row r="11970" spans="1:1" x14ac:dyDescent="0.3">
      <c r="A11970" t="s">
        <v>5697</v>
      </c>
    </row>
    <row r="11971" spans="1:1" x14ac:dyDescent="0.3">
      <c r="A11971" t="s">
        <v>51</v>
      </c>
    </row>
    <row r="11972" spans="1:1" x14ac:dyDescent="0.3">
      <c r="A11972" t="s">
        <v>52</v>
      </c>
    </row>
    <row r="11973" spans="1:1" x14ac:dyDescent="0.3">
      <c r="A11973" t="s">
        <v>79</v>
      </c>
    </row>
    <row r="11975" spans="1:1" x14ac:dyDescent="0.3">
      <c r="A11975" t="s">
        <v>12</v>
      </c>
    </row>
    <row r="11976" spans="1:1" x14ac:dyDescent="0.3">
      <c r="A11976" t="s">
        <v>13</v>
      </c>
    </row>
    <row r="11977" spans="1:1" x14ac:dyDescent="0.3">
      <c r="A11977" t="s">
        <v>1260</v>
      </c>
    </row>
    <row r="11978" spans="1:1" x14ac:dyDescent="0.3">
      <c r="A11978" t="s">
        <v>5698</v>
      </c>
    </row>
    <row r="11979" spans="1:1" x14ac:dyDescent="0.3">
      <c r="A11979" t="s">
        <v>5699</v>
      </c>
    </row>
    <row r="11980" spans="1:1" x14ac:dyDescent="0.3">
      <c r="A11980" t="s">
        <v>4436</v>
      </c>
    </row>
    <row r="11981" spans="1:1" x14ac:dyDescent="0.3">
      <c r="A11981" t="s">
        <v>110</v>
      </c>
    </row>
    <row r="11982" spans="1:1" x14ac:dyDescent="0.3">
      <c r="A11982" t="s">
        <v>5700</v>
      </c>
    </row>
    <row r="11983" spans="1:1" x14ac:dyDescent="0.3">
      <c r="A11983" t="s">
        <v>5701</v>
      </c>
    </row>
    <row r="11984" spans="1:1" x14ac:dyDescent="0.3">
      <c r="A11984" t="s">
        <v>51</v>
      </c>
    </row>
    <row r="11985" spans="1:1" x14ac:dyDescent="0.3">
      <c r="A11985" t="s">
        <v>52</v>
      </c>
    </row>
    <row r="11986" spans="1:1" x14ac:dyDescent="0.3">
      <c r="A11986" t="s">
        <v>79</v>
      </c>
    </row>
    <row r="11988" spans="1:1" x14ac:dyDescent="0.3">
      <c r="A11988" t="s">
        <v>12</v>
      </c>
    </row>
    <row r="11989" spans="1:1" x14ac:dyDescent="0.3">
      <c r="A11989" t="s">
        <v>13</v>
      </c>
    </row>
    <row r="11990" spans="1:1" x14ac:dyDescent="0.3">
      <c r="A11990" t="s">
        <v>1264</v>
      </c>
    </row>
    <row r="11991" spans="1:1" x14ac:dyDescent="0.3">
      <c r="A11991" t="s">
        <v>5702</v>
      </c>
    </row>
    <row r="11992" spans="1:1" x14ac:dyDescent="0.3">
      <c r="A11992" t="s">
        <v>5703</v>
      </c>
    </row>
    <row r="11993" spans="1:1" x14ac:dyDescent="0.3">
      <c r="A11993" t="s">
        <v>4436</v>
      </c>
    </row>
    <row r="11994" spans="1:1" x14ac:dyDescent="0.3">
      <c r="A11994" t="s">
        <v>110</v>
      </c>
    </row>
    <row r="11995" spans="1:1" x14ac:dyDescent="0.3">
      <c r="A11995" t="s">
        <v>5704</v>
      </c>
    </row>
    <row r="11996" spans="1:1" x14ac:dyDescent="0.3">
      <c r="A11996" t="s">
        <v>5705</v>
      </c>
    </row>
    <row r="11997" spans="1:1" x14ac:dyDescent="0.3">
      <c r="A11997" t="s">
        <v>51</v>
      </c>
    </row>
    <row r="11998" spans="1:1" x14ac:dyDescent="0.3">
      <c r="A11998" t="s">
        <v>52</v>
      </c>
    </row>
    <row r="11999" spans="1:1" x14ac:dyDescent="0.3">
      <c r="A11999" t="s">
        <v>79</v>
      </c>
    </row>
    <row r="12001" spans="1:1" x14ac:dyDescent="0.3">
      <c r="A12001" t="s">
        <v>12</v>
      </c>
    </row>
    <row r="12002" spans="1:1" x14ac:dyDescent="0.3">
      <c r="A12002" t="s">
        <v>13</v>
      </c>
    </row>
    <row r="12003" spans="1:1" x14ac:dyDescent="0.3">
      <c r="A12003" t="s">
        <v>1268</v>
      </c>
    </row>
    <row r="12004" spans="1:1" x14ac:dyDescent="0.3">
      <c r="A12004" t="s">
        <v>5706</v>
      </c>
    </row>
    <row r="12005" spans="1:1" x14ac:dyDescent="0.3">
      <c r="A12005" t="s">
        <v>5707</v>
      </c>
    </row>
    <row r="12006" spans="1:1" x14ac:dyDescent="0.3">
      <c r="A12006" t="s">
        <v>4436</v>
      </c>
    </row>
    <row r="12007" spans="1:1" x14ac:dyDescent="0.3">
      <c r="A12007" t="s">
        <v>110</v>
      </c>
    </row>
    <row r="12008" spans="1:1" x14ac:dyDescent="0.3">
      <c r="A12008" t="s">
        <v>1154</v>
      </c>
    </row>
    <row r="12009" spans="1:1" x14ac:dyDescent="0.3">
      <c r="A12009" t="s">
        <v>5708</v>
      </c>
    </row>
    <row r="12010" spans="1:1" x14ac:dyDescent="0.3">
      <c r="A12010" t="s">
        <v>51</v>
      </c>
    </row>
    <row r="12011" spans="1:1" x14ac:dyDescent="0.3">
      <c r="A12011" t="s">
        <v>52</v>
      </c>
    </row>
    <row r="12012" spans="1:1" x14ac:dyDescent="0.3">
      <c r="A12012" t="s">
        <v>79</v>
      </c>
    </row>
    <row r="12013" spans="1:1" x14ac:dyDescent="0.3">
      <c r="A12013" t="s">
        <v>98</v>
      </c>
    </row>
    <row r="12014" spans="1:1" x14ac:dyDescent="0.3">
      <c r="A12014" t="s">
        <v>13</v>
      </c>
    </row>
    <row r="12015" spans="1:1" x14ac:dyDescent="0.3">
      <c r="A12015" t="s">
        <v>105</v>
      </c>
    </row>
    <row r="12016" spans="1:1" x14ac:dyDescent="0.3">
      <c r="A12016" t="s">
        <v>5709</v>
      </c>
    </row>
    <row r="12017" spans="1:1" x14ac:dyDescent="0.3">
      <c r="A12017" t="s">
        <v>1157</v>
      </c>
    </row>
    <row r="12018" spans="1:1" x14ac:dyDescent="0.3">
      <c r="A12018" t="s">
        <v>5710</v>
      </c>
    </row>
    <row r="12019" spans="1:1" x14ac:dyDescent="0.3">
      <c r="A12019" t="s">
        <v>12</v>
      </c>
    </row>
    <row r="12020" spans="1:1" x14ac:dyDescent="0.3">
      <c r="A12020" t="s">
        <v>13</v>
      </c>
    </row>
    <row r="12021" spans="1:1" x14ac:dyDescent="0.3">
      <c r="A12021" t="s">
        <v>106</v>
      </c>
    </row>
    <row r="12022" spans="1:1" x14ac:dyDescent="0.3">
      <c r="A12022" t="s">
        <v>5711</v>
      </c>
    </row>
    <row r="12023" spans="1:1" x14ac:dyDescent="0.3">
      <c r="A12023" t="s">
        <v>1157</v>
      </c>
    </row>
    <row r="12024" spans="1:1" x14ac:dyDescent="0.3">
      <c r="A12024" t="s">
        <v>5712</v>
      </c>
    </row>
    <row r="12025" spans="1:1" x14ac:dyDescent="0.3">
      <c r="A12025" t="s">
        <v>12</v>
      </c>
    </row>
    <row r="12026" spans="1:1" x14ac:dyDescent="0.3">
      <c r="A12026" t="s">
        <v>40</v>
      </c>
    </row>
    <row r="12028" spans="1:1" x14ac:dyDescent="0.3">
      <c r="A12028" t="s">
        <v>12</v>
      </c>
    </row>
    <row r="12029" spans="1:1" x14ac:dyDescent="0.3">
      <c r="A12029" t="s">
        <v>13</v>
      </c>
    </row>
    <row r="12030" spans="1:1" x14ac:dyDescent="0.3">
      <c r="A12030" t="s">
        <v>1276</v>
      </c>
    </row>
    <row r="12031" spans="1:1" x14ac:dyDescent="0.3">
      <c r="A12031" t="s">
        <v>2726</v>
      </c>
    </row>
    <row r="12032" spans="1:1" x14ac:dyDescent="0.3">
      <c r="A12032" t="s">
        <v>5713</v>
      </c>
    </row>
    <row r="12033" spans="1:1" x14ac:dyDescent="0.3">
      <c r="A12033" t="s">
        <v>4436</v>
      </c>
    </row>
    <row r="12034" spans="1:1" x14ac:dyDescent="0.3">
      <c r="A12034" t="s">
        <v>110</v>
      </c>
    </row>
    <row r="12035" spans="1:1" x14ac:dyDescent="0.3">
      <c r="A12035" t="s">
        <v>1154</v>
      </c>
    </row>
    <row r="12036" spans="1:1" x14ac:dyDescent="0.3">
      <c r="A12036" t="s">
        <v>5714</v>
      </c>
    </row>
    <row r="12037" spans="1:1" x14ac:dyDescent="0.3">
      <c r="A12037" t="s">
        <v>51</v>
      </c>
    </row>
    <row r="12038" spans="1:1" x14ac:dyDescent="0.3">
      <c r="A12038" t="s">
        <v>52</v>
      </c>
    </row>
    <row r="12039" spans="1:1" x14ac:dyDescent="0.3">
      <c r="A12039" t="s">
        <v>79</v>
      </c>
    </row>
    <row r="12041" spans="1:1" x14ac:dyDescent="0.3">
      <c r="A12041" t="s">
        <v>12</v>
      </c>
    </row>
    <row r="12042" spans="1:1" x14ac:dyDescent="0.3">
      <c r="A12042" t="s">
        <v>13</v>
      </c>
    </row>
    <row r="12043" spans="1:1" x14ac:dyDescent="0.3">
      <c r="A12043" t="s">
        <v>1279</v>
      </c>
    </row>
    <row r="12044" spans="1:1" x14ac:dyDescent="0.3">
      <c r="A12044" t="s">
        <v>5715</v>
      </c>
    </row>
    <row r="12045" spans="1:1" x14ac:dyDescent="0.3">
      <c r="A12045" t="s">
        <v>5716</v>
      </c>
    </row>
    <row r="12046" spans="1:1" x14ac:dyDescent="0.3">
      <c r="A12046" t="s">
        <v>4436</v>
      </c>
    </row>
    <row r="12047" spans="1:1" x14ac:dyDescent="0.3">
      <c r="A12047" t="s">
        <v>110</v>
      </c>
    </row>
    <row r="12048" spans="1:1" x14ac:dyDescent="0.3">
      <c r="A12048" t="s">
        <v>1154</v>
      </c>
    </row>
    <row r="12049" spans="1:1" x14ac:dyDescent="0.3">
      <c r="A12049" t="s">
        <v>5717</v>
      </c>
    </row>
    <row r="12050" spans="1:1" x14ac:dyDescent="0.3">
      <c r="A12050" t="s">
        <v>51</v>
      </c>
    </row>
    <row r="12051" spans="1:1" x14ac:dyDescent="0.3">
      <c r="A12051" t="s">
        <v>52</v>
      </c>
    </row>
    <row r="12052" spans="1:1" x14ac:dyDescent="0.3">
      <c r="A12052" t="s">
        <v>79</v>
      </c>
    </row>
    <row r="12053" spans="1:1" x14ac:dyDescent="0.3">
      <c r="A12053" t="s">
        <v>98</v>
      </c>
    </row>
    <row r="12054" spans="1:1" x14ac:dyDescent="0.3">
      <c r="A12054" t="s">
        <v>13</v>
      </c>
    </row>
    <row r="12055" spans="1:1" x14ac:dyDescent="0.3">
      <c r="A12055" t="s">
        <v>105</v>
      </c>
    </row>
    <row r="12056" spans="1:1" x14ac:dyDescent="0.3">
      <c r="A12056" t="s">
        <v>5718</v>
      </c>
    </row>
    <row r="12057" spans="1:1" x14ac:dyDescent="0.3">
      <c r="A12057" t="s">
        <v>1157</v>
      </c>
    </row>
    <row r="12058" spans="1:1" x14ac:dyDescent="0.3">
      <c r="A12058" t="s">
        <v>4509</v>
      </c>
    </row>
    <row r="12059" spans="1:1" x14ac:dyDescent="0.3">
      <c r="A12059" t="s">
        <v>12</v>
      </c>
    </row>
    <row r="12060" spans="1:1" x14ac:dyDescent="0.3">
      <c r="A12060" t="s">
        <v>13</v>
      </c>
    </row>
    <row r="12061" spans="1:1" x14ac:dyDescent="0.3">
      <c r="A12061" t="s">
        <v>106</v>
      </c>
    </row>
    <row r="12062" spans="1:1" x14ac:dyDescent="0.3">
      <c r="A12062" t="s">
        <v>5719</v>
      </c>
    </row>
    <row r="12063" spans="1:1" x14ac:dyDescent="0.3">
      <c r="A12063" t="s">
        <v>1157</v>
      </c>
    </row>
    <row r="12064" spans="1:1" x14ac:dyDescent="0.3">
      <c r="A12064" t="s">
        <v>5720</v>
      </c>
    </row>
    <row r="12065" spans="1:1" x14ac:dyDescent="0.3">
      <c r="A12065" t="s">
        <v>12</v>
      </c>
    </row>
    <row r="12066" spans="1:1" x14ac:dyDescent="0.3">
      <c r="A12066" t="s">
        <v>40</v>
      </c>
    </row>
    <row r="12068" spans="1:1" x14ac:dyDescent="0.3">
      <c r="A12068" t="s">
        <v>12</v>
      </c>
    </row>
    <row r="12069" spans="1:1" x14ac:dyDescent="0.3">
      <c r="A12069" t="s">
        <v>13</v>
      </c>
    </row>
    <row r="12070" spans="1:1" x14ac:dyDescent="0.3">
      <c r="A12070" t="s">
        <v>1287</v>
      </c>
    </row>
    <row r="12071" spans="1:1" x14ac:dyDescent="0.3">
      <c r="A12071" t="s">
        <v>5721</v>
      </c>
    </row>
    <row r="12072" spans="1:1" x14ac:dyDescent="0.3">
      <c r="A12072" t="s">
        <v>5722</v>
      </c>
    </row>
    <row r="12073" spans="1:1" x14ac:dyDescent="0.3">
      <c r="A12073" t="s">
        <v>4436</v>
      </c>
    </row>
    <row r="12074" spans="1:1" x14ac:dyDescent="0.3">
      <c r="A12074" t="s">
        <v>110</v>
      </c>
    </row>
    <row r="12075" spans="1:1" x14ac:dyDescent="0.3">
      <c r="A12075" t="s">
        <v>5723</v>
      </c>
    </row>
    <row r="12076" spans="1:1" x14ac:dyDescent="0.3">
      <c r="A12076" t="s">
        <v>5724</v>
      </c>
    </row>
    <row r="12077" spans="1:1" x14ac:dyDescent="0.3">
      <c r="A12077" t="s">
        <v>51</v>
      </c>
    </row>
    <row r="12078" spans="1:1" x14ac:dyDescent="0.3">
      <c r="A12078" t="s">
        <v>52</v>
      </c>
    </row>
    <row r="12079" spans="1:1" x14ac:dyDescent="0.3">
      <c r="A12079" t="s">
        <v>79</v>
      </c>
    </row>
    <row r="12080" spans="1:1" x14ac:dyDescent="0.3">
      <c r="A12080" t="s">
        <v>98</v>
      </c>
    </row>
    <row r="12081" spans="1:1" x14ac:dyDescent="0.3">
      <c r="A12081" t="s">
        <v>13</v>
      </c>
    </row>
    <row r="12082" spans="1:1" x14ac:dyDescent="0.3">
      <c r="A12082" t="s">
        <v>105</v>
      </c>
    </row>
    <row r="12083" spans="1:1" x14ac:dyDescent="0.3">
      <c r="A12083" t="s">
        <v>5725</v>
      </c>
    </row>
    <row r="12084" spans="1:1" x14ac:dyDescent="0.3">
      <c r="A12084" t="s">
        <v>1157</v>
      </c>
    </row>
    <row r="12085" spans="1:1" x14ac:dyDescent="0.3">
      <c r="A12085" t="s">
        <v>5726</v>
      </c>
    </row>
    <row r="12086" spans="1:1" x14ac:dyDescent="0.3">
      <c r="A12086" t="s">
        <v>12</v>
      </c>
    </row>
    <row r="12087" spans="1:1" x14ac:dyDescent="0.3">
      <c r="A12087" t="s">
        <v>13</v>
      </c>
    </row>
    <row r="12088" spans="1:1" x14ac:dyDescent="0.3">
      <c r="A12088" t="s">
        <v>106</v>
      </c>
    </row>
    <row r="12089" spans="1:1" x14ac:dyDescent="0.3">
      <c r="A12089" t="s">
        <v>5727</v>
      </c>
    </row>
    <row r="12090" spans="1:1" x14ac:dyDescent="0.3">
      <c r="A12090" t="s">
        <v>1157</v>
      </c>
    </row>
    <row r="12091" spans="1:1" x14ac:dyDescent="0.3">
      <c r="A12091" t="s">
        <v>5728</v>
      </c>
    </row>
    <row r="12092" spans="1:1" x14ac:dyDescent="0.3">
      <c r="A12092" t="s">
        <v>12</v>
      </c>
    </row>
    <row r="12093" spans="1:1" x14ac:dyDescent="0.3">
      <c r="A12093" t="s">
        <v>40</v>
      </c>
    </row>
    <row r="12095" spans="1:1" x14ac:dyDescent="0.3">
      <c r="A12095" t="s">
        <v>12</v>
      </c>
    </row>
    <row r="12096" spans="1:1" x14ac:dyDescent="0.3">
      <c r="A12096" t="s">
        <v>13</v>
      </c>
    </row>
    <row r="12097" spans="1:1" x14ac:dyDescent="0.3">
      <c r="A12097" t="s">
        <v>1295</v>
      </c>
    </row>
    <row r="12098" spans="1:1" x14ac:dyDescent="0.3">
      <c r="A12098" t="s">
        <v>5729</v>
      </c>
    </row>
    <row r="12099" spans="1:1" x14ac:dyDescent="0.3">
      <c r="A12099" t="s">
        <v>5730</v>
      </c>
    </row>
    <row r="12100" spans="1:1" x14ac:dyDescent="0.3">
      <c r="A12100" t="s">
        <v>4436</v>
      </c>
    </row>
    <row r="12101" spans="1:1" x14ac:dyDescent="0.3">
      <c r="A12101" t="s">
        <v>110</v>
      </c>
    </row>
    <row r="12102" spans="1:1" x14ac:dyDescent="0.3">
      <c r="A12102" t="s">
        <v>1154</v>
      </c>
    </row>
    <row r="12103" spans="1:1" x14ac:dyDescent="0.3">
      <c r="A12103" t="s">
        <v>5731</v>
      </c>
    </row>
    <row r="12104" spans="1:1" x14ac:dyDescent="0.3">
      <c r="A12104" t="s">
        <v>51</v>
      </c>
    </row>
    <row r="12105" spans="1:1" x14ac:dyDescent="0.3">
      <c r="A12105" t="s">
        <v>52</v>
      </c>
    </row>
    <row r="12106" spans="1:1" x14ac:dyDescent="0.3">
      <c r="A12106" t="s">
        <v>79</v>
      </c>
    </row>
    <row r="12107" spans="1:1" x14ac:dyDescent="0.3">
      <c r="A12107" t="s">
        <v>98</v>
      </c>
    </row>
    <row r="12108" spans="1:1" x14ac:dyDescent="0.3">
      <c r="A12108" t="s">
        <v>13</v>
      </c>
    </row>
    <row r="12109" spans="1:1" x14ac:dyDescent="0.3">
      <c r="A12109" t="s">
        <v>105</v>
      </c>
    </row>
    <row r="12110" spans="1:1" x14ac:dyDescent="0.3">
      <c r="A12110" t="s">
        <v>5732</v>
      </c>
    </row>
    <row r="12111" spans="1:1" x14ac:dyDescent="0.3">
      <c r="A12111" t="s">
        <v>1157</v>
      </c>
    </row>
    <row r="12112" spans="1:1" x14ac:dyDescent="0.3">
      <c r="A12112" t="s">
        <v>5733</v>
      </c>
    </row>
    <row r="12113" spans="1:1" x14ac:dyDescent="0.3">
      <c r="A12113" t="s">
        <v>12</v>
      </c>
    </row>
    <row r="12114" spans="1:1" x14ac:dyDescent="0.3">
      <c r="A12114" t="s">
        <v>13</v>
      </c>
    </row>
    <row r="12115" spans="1:1" x14ac:dyDescent="0.3">
      <c r="A12115" t="s">
        <v>106</v>
      </c>
    </row>
    <row r="12116" spans="1:1" x14ac:dyDescent="0.3">
      <c r="A12116" t="s">
        <v>5734</v>
      </c>
    </row>
    <row r="12117" spans="1:1" x14ac:dyDescent="0.3">
      <c r="A12117" t="s">
        <v>1157</v>
      </c>
    </row>
    <row r="12118" spans="1:1" x14ac:dyDescent="0.3">
      <c r="A12118" t="s">
        <v>5735</v>
      </c>
    </row>
    <row r="12119" spans="1:1" x14ac:dyDescent="0.3">
      <c r="A12119" t="s">
        <v>12</v>
      </c>
    </row>
    <row r="12120" spans="1:1" x14ac:dyDescent="0.3">
      <c r="A12120" t="s">
        <v>40</v>
      </c>
    </row>
    <row r="12122" spans="1:1" x14ac:dyDescent="0.3">
      <c r="A12122" t="s">
        <v>12</v>
      </c>
    </row>
    <row r="12123" spans="1:1" x14ac:dyDescent="0.3">
      <c r="A12123" t="s">
        <v>13</v>
      </c>
    </row>
    <row r="12124" spans="1:1" x14ac:dyDescent="0.3">
      <c r="A12124" t="s">
        <v>1298</v>
      </c>
    </row>
    <row r="12125" spans="1:1" x14ac:dyDescent="0.3">
      <c r="A12125" t="s">
        <v>4891</v>
      </c>
    </row>
    <row r="12126" spans="1:1" x14ac:dyDescent="0.3">
      <c r="A12126" t="s">
        <v>5736</v>
      </c>
    </row>
    <row r="12127" spans="1:1" x14ac:dyDescent="0.3">
      <c r="A12127" t="s">
        <v>4436</v>
      </c>
    </row>
    <row r="12128" spans="1:1" x14ac:dyDescent="0.3">
      <c r="A12128" t="s">
        <v>110</v>
      </c>
    </row>
    <row r="12129" spans="1:1" x14ac:dyDescent="0.3">
      <c r="A12129" t="s">
        <v>1154</v>
      </c>
    </row>
    <row r="12130" spans="1:1" x14ac:dyDescent="0.3">
      <c r="A12130" t="s">
        <v>5737</v>
      </c>
    </row>
    <row r="12131" spans="1:1" x14ac:dyDescent="0.3">
      <c r="A12131" t="s">
        <v>51</v>
      </c>
    </row>
    <row r="12132" spans="1:1" x14ac:dyDescent="0.3">
      <c r="A12132" t="s">
        <v>52</v>
      </c>
    </row>
    <row r="12133" spans="1:1" x14ac:dyDescent="0.3">
      <c r="A12133" t="s">
        <v>79</v>
      </c>
    </row>
    <row r="12134" spans="1:1" x14ac:dyDescent="0.3">
      <c r="A12134" t="s">
        <v>98</v>
      </c>
    </row>
    <row r="12135" spans="1:1" x14ac:dyDescent="0.3">
      <c r="A12135" t="s">
        <v>13</v>
      </c>
    </row>
    <row r="12136" spans="1:1" x14ac:dyDescent="0.3">
      <c r="A12136" t="s">
        <v>105</v>
      </c>
    </row>
    <row r="12137" spans="1:1" x14ac:dyDescent="0.3">
      <c r="A12137" t="s">
        <v>5738</v>
      </c>
    </row>
    <row r="12138" spans="1:1" x14ac:dyDescent="0.3">
      <c r="A12138" t="s">
        <v>1157</v>
      </c>
    </row>
    <row r="12139" spans="1:1" x14ac:dyDescent="0.3">
      <c r="A12139" t="s">
        <v>5739</v>
      </c>
    </row>
    <row r="12140" spans="1:1" x14ac:dyDescent="0.3">
      <c r="A12140" t="s">
        <v>12</v>
      </c>
    </row>
    <row r="12141" spans="1:1" x14ac:dyDescent="0.3">
      <c r="A12141" t="s">
        <v>13</v>
      </c>
    </row>
    <row r="12142" spans="1:1" x14ac:dyDescent="0.3">
      <c r="A12142" t="s">
        <v>106</v>
      </c>
    </row>
    <row r="12143" spans="1:1" x14ac:dyDescent="0.3">
      <c r="A12143" t="s">
        <v>5740</v>
      </c>
    </row>
    <row r="12144" spans="1:1" x14ac:dyDescent="0.3">
      <c r="A12144" t="s">
        <v>1157</v>
      </c>
    </row>
    <row r="12145" spans="1:1" x14ac:dyDescent="0.3">
      <c r="A12145" t="s">
        <v>4895</v>
      </c>
    </row>
    <row r="12146" spans="1:1" x14ac:dyDescent="0.3">
      <c r="A12146" t="s">
        <v>12</v>
      </c>
    </row>
    <row r="12147" spans="1:1" x14ac:dyDescent="0.3">
      <c r="A12147" t="s">
        <v>40</v>
      </c>
    </row>
    <row r="12149" spans="1:1" x14ac:dyDescent="0.3">
      <c r="A12149" t="s">
        <v>12</v>
      </c>
    </row>
    <row r="12150" spans="1:1" x14ac:dyDescent="0.3">
      <c r="A12150" t="s">
        <v>13</v>
      </c>
    </row>
    <row r="12151" spans="1:1" x14ac:dyDescent="0.3">
      <c r="A12151" t="s">
        <v>1306</v>
      </c>
    </row>
    <row r="12152" spans="1:1" x14ac:dyDescent="0.3">
      <c r="A12152" t="s">
        <v>5741</v>
      </c>
    </row>
    <row r="12153" spans="1:1" x14ac:dyDescent="0.3">
      <c r="A12153" t="s">
        <v>5742</v>
      </c>
    </row>
    <row r="12154" spans="1:1" x14ac:dyDescent="0.3">
      <c r="A12154" t="s">
        <v>4436</v>
      </c>
    </row>
    <row r="12155" spans="1:1" x14ac:dyDescent="0.3">
      <c r="A12155" t="s">
        <v>110</v>
      </c>
    </row>
    <row r="12156" spans="1:1" x14ac:dyDescent="0.3">
      <c r="A12156" t="s">
        <v>1154</v>
      </c>
    </row>
    <row r="12157" spans="1:1" x14ac:dyDescent="0.3">
      <c r="A12157" t="s">
        <v>5743</v>
      </c>
    </row>
    <row r="12158" spans="1:1" x14ac:dyDescent="0.3">
      <c r="A12158" t="s">
        <v>51</v>
      </c>
    </row>
    <row r="12159" spans="1:1" x14ac:dyDescent="0.3">
      <c r="A12159" t="s">
        <v>52</v>
      </c>
    </row>
    <row r="12160" spans="1:1" x14ac:dyDescent="0.3">
      <c r="A12160" t="s">
        <v>79</v>
      </c>
    </row>
    <row r="12162" spans="1:1" x14ac:dyDescent="0.3">
      <c r="A12162" t="s">
        <v>12</v>
      </c>
    </row>
    <row r="12163" spans="1:1" x14ac:dyDescent="0.3">
      <c r="A12163" t="s">
        <v>13</v>
      </c>
    </row>
    <row r="12164" spans="1:1" x14ac:dyDescent="0.3">
      <c r="A12164" t="s">
        <v>1314</v>
      </c>
    </row>
    <row r="12165" spans="1:1" x14ac:dyDescent="0.3">
      <c r="A12165" t="s">
        <v>5744</v>
      </c>
    </row>
    <row r="12166" spans="1:1" x14ac:dyDescent="0.3">
      <c r="A12166" t="s">
        <v>5745</v>
      </c>
    </row>
    <row r="12167" spans="1:1" x14ac:dyDescent="0.3">
      <c r="A12167" t="s">
        <v>4436</v>
      </c>
    </row>
    <row r="12168" spans="1:1" x14ac:dyDescent="0.3">
      <c r="A12168" t="s">
        <v>110</v>
      </c>
    </row>
    <row r="12169" spans="1:1" x14ac:dyDescent="0.3">
      <c r="A12169" t="s">
        <v>5746</v>
      </c>
    </row>
    <row r="12170" spans="1:1" x14ac:dyDescent="0.3">
      <c r="A12170" t="s">
        <v>5747</v>
      </c>
    </row>
    <row r="12171" spans="1:1" x14ac:dyDescent="0.3">
      <c r="A12171" t="s">
        <v>51</v>
      </c>
    </row>
    <row r="12172" spans="1:1" x14ac:dyDescent="0.3">
      <c r="A12172" t="s">
        <v>52</v>
      </c>
    </row>
    <row r="12173" spans="1:1" x14ac:dyDescent="0.3">
      <c r="A12173" t="s">
        <v>79</v>
      </c>
    </row>
    <row r="12175" spans="1:1" x14ac:dyDescent="0.3">
      <c r="A12175" t="s">
        <v>12</v>
      </c>
    </row>
    <row r="12176" spans="1:1" x14ac:dyDescent="0.3">
      <c r="A12176" t="s">
        <v>13</v>
      </c>
    </row>
    <row r="12177" spans="1:1" x14ac:dyDescent="0.3">
      <c r="A12177" t="s">
        <v>1322</v>
      </c>
    </row>
    <row r="12178" spans="1:1" x14ac:dyDescent="0.3">
      <c r="A12178" t="s">
        <v>5748</v>
      </c>
    </row>
    <row r="12179" spans="1:1" x14ac:dyDescent="0.3">
      <c r="A12179" t="s">
        <v>5749</v>
      </c>
    </row>
    <row r="12180" spans="1:1" x14ac:dyDescent="0.3">
      <c r="A12180" t="s">
        <v>4436</v>
      </c>
    </row>
    <row r="12181" spans="1:1" x14ac:dyDescent="0.3">
      <c r="A12181" t="s">
        <v>110</v>
      </c>
    </row>
    <row r="12182" spans="1:1" x14ac:dyDescent="0.3">
      <c r="A12182" t="s">
        <v>1154</v>
      </c>
    </row>
    <row r="12183" spans="1:1" x14ac:dyDescent="0.3">
      <c r="A12183" t="s">
        <v>5750</v>
      </c>
    </row>
    <row r="12184" spans="1:1" x14ac:dyDescent="0.3">
      <c r="A12184" t="s">
        <v>51</v>
      </c>
    </row>
    <row r="12185" spans="1:1" x14ac:dyDescent="0.3">
      <c r="A12185" t="s">
        <v>52</v>
      </c>
    </row>
    <row r="12186" spans="1:1" x14ac:dyDescent="0.3">
      <c r="A12186" t="s">
        <v>79</v>
      </c>
    </row>
    <row r="12188" spans="1:1" x14ac:dyDescent="0.3">
      <c r="A12188" t="s">
        <v>12</v>
      </c>
    </row>
    <row r="12189" spans="1:1" x14ac:dyDescent="0.3">
      <c r="A12189" t="s">
        <v>13</v>
      </c>
    </row>
    <row r="12190" spans="1:1" x14ac:dyDescent="0.3">
      <c r="A12190" t="s">
        <v>1328</v>
      </c>
    </row>
    <row r="12191" spans="1:1" x14ac:dyDescent="0.3">
      <c r="A12191" t="s">
        <v>5751</v>
      </c>
    </row>
    <row r="12192" spans="1:1" x14ac:dyDescent="0.3">
      <c r="A12192" t="s">
        <v>5752</v>
      </c>
    </row>
    <row r="12193" spans="1:1" x14ac:dyDescent="0.3">
      <c r="A12193" t="s">
        <v>4436</v>
      </c>
    </row>
    <row r="12194" spans="1:1" x14ac:dyDescent="0.3">
      <c r="A12194" t="s">
        <v>110</v>
      </c>
    </row>
    <row r="12195" spans="1:1" x14ac:dyDescent="0.3">
      <c r="A12195" t="s">
        <v>5753</v>
      </c>
    </row>
    <row r="12196" spans="1:1" x14ac:dyDescent="0.3">
      <c r="A12196" t="s">
        <v>5754</v>
      </c>
    </row>
    <row r="12197" spans="1:1" x14ac:dyDescent="0.3">
      <c r="A12197" t="s">
        <v>51</v>
      </c>
    </row>
    <row r="12198" spans="1:1" x14ac:dyDescent="0.3">
      <c r="A12198" t="s">
        <v>52</v>
      </c>
    </row>
    <row r="12199" spans="1:1" x14ac:dyDescent="0.3">
      <c r="A12199" t="s">
        <v>79</v>
      </c>
    </row>
    <row r="12201" spans="1:1" x14ac:dyDescent="0.3">
      <c r="A12201" t="s">
        <v>12</v>
      </c>
    </row>
    <row r="12202" spans="1:1" x14ac:dyDescent="0.3">
      <c r="A12202" t="s">
        <v>13</v>
      </c>
    </row>
    <row r="12203" spans="1:1" x14ac:dyDescent="0.3">
      <c r="A12203" t="s">
        <v>1332</v>
      </c>
    </row>
    <row r="12204" spans="1:1" x14ac:dyDescent="0.3">
      <c r="A12204" t="s">
        <v>5755</v>
      </c>
    </row>
    <row r="12205" spans="1:1" x14ac:dyDescent="0.3">
      <c r="A12205" t="s">
        <v>5756</v>
      </c>
    </row>
    <row r="12206" spans="1:1" x14ac:dyDescent="0.3">
      <c r="A12206" t="s">
        <v>4436</v>
      </c>
    </row>
    <row r="12207" spans="1:1" x14ac:dyDescent="0.3">
      <c r="A12207" t="s">
        <v>110</v>
      </c>
    </row>
    <row r="12208" spans="1:1" x14ac:dyDescent="0.3">
      <c r="A12208" t="s">
        <v>1154</v>
      </c>
    </row>
    <row r="12209" spans="1:1" x14ac:dyDescent="0.3">
      <c r="A12209" t="s">
        <v>5757</v>
      </c>
    </row>
    <row r="12210" spans="1:1" x14ac:dyDescent="0.3">
      <c r="A12210" t="s">
        <v>51</v>
      </c>
    </row>
    <row r="12211" spans="1:1" x14ac:dyDescent="0.3">
      <c r="A12211" t="s">
        <v>52</v>
      </c>
    </row>
    <row r="12212" spans="1:1" x14ac:dyDescent="0.3">
      <c r="A12212" t="s">
        <v>79</v>
      </c>
    </row>
    <row r="12214" spans="1:1" x14ac:dyDescent="0.3">
      <c r="A12214" t="s">
        <v>12</v>
      </c>
    </row>
    <row r="12215" spans="1:1" x14ac:dyDescent="0.3">
      <c r="A12215" t="s">
        <v>13</v>
      </c>
    </row>
    <row r="12216" spans="1:1" x14ac:dyDescent="0.3">
      <c r="A12216" t="s">
        <v>1336</v>
      </c>
    </row>
    <row r="12217" spans="1:1" x14ac:dyDescent="0.3">
      <c r="A12217" t="s">
        <v>5758</v>
      </c>
    </row>
    <row r="12218" spans="1:1" x14ac:dyDescent="0.3">
      <c r="A12218" t="s">
        <v>5759</v>
      </c>
    </row>
    <row r="12219" spans="1:1" x14ac:dyDescent="0.3">
      <c r="A12219" t="s">
        <v>4436</v>
      </c>
    </row>
    <row r="12220" spans="1:1" x14ac:dyDescent="0.3">
      <c r="A12220" t="s">
        <v>110</v>
      </c>
    </row>
    <row r="12221" spans="1:1" x14ac:dyDescent="0.3">
      <c r="A12221" t="s">
        <v>1154</v>
      </c>
    </row>
    <row r="12222" spans="1:1" x14ac:dyDescent="0.3">
      <c r="A12222" t="s">
        <v>5760</v>
      </c>
    </row>
    <row r="12223" spans="1:1" x14ac:dyDescent="0.3">
      <c r="A12223" t="s">
        <v>51</v>
      </c>
    </row>
    <row r="12224" spans="1:1" x14ac:dyDescent="0.3">
      <c r="A12224" t="s">
        <v>52</v>
      </c>
    </row>
    <row r="12225" spans="1:1" x14ac:dyDescent="0.3">
      <c r="A12225" t="s">
        <v>79</v>
      </c>
    </row>
    <row r="12227" spans="1:1" x14ac:dyDescent="0.3">
      <c r="A12227" t="s">
        <v>12</v>
      </c>
    </row>
    <row r="12228" spans="1:1" x14ac:dyDescent="0.3">
      <c r="A12228" t="s">
        <v>13</v>
      </c>
    </row>
    <row r="12229" spans="1:1" x14ac:dyDescent="0.3">
      <c r="A12229" t="s">
        <v>1340</v>
      </c>
    </row>
    <row r="12230" spans="1:1" x14ac:dyDescent="0.3">
      <c r="A12230" t="s">
        <v>1897</v>
      </c>
    </row>
    <row r="12231" spans="1:1" x14ac:dyDescent="0.3">
      <c r="A12231" t="s">
        <v>5761</v>
      </c>
    </row>
    <row r="12232" spans="1:1" x14ac:dyDescent="0.3">
      <c r="A12232" t="s">
        <v>4436</v>
      </c>
    </row>
    <row r="12233" spans="1:1" x14ac:dyDescent="0.3">
      <c r="A12233" t="s">
        <v>110</v>
      </c>
    </row>
    <row r="12234" spans="1:1" x14ac:dyDescent="0.3">
      <c r="A12234" t="s">
        <v>1154</v>
      </c>
    </row>
    <row r="12235" spans="1:1" x14ac:dyDescent="0.3">
      <c r="A12235" t="s">
        <v>5762</v>
      </c>
    </row>
    <row r="12236" spans="1:1" x14ac:dyDescent="0.3">
      <c r="A12236" t="s">
        <v>51</v>
      </c>
    </row>
    <row r="12237" spans="1:1" x14ac:dyDescent="0.3">
      <c r="A12237" t="s">
        <v>52</v>
      </c>
    </row>
    <row r="12238" spans="1:1" x14ac:dyDescent="0.3">
      <c r="A12238" t="s">
        <v>79</v>
      </c>
    </row>
    <row r="12239" spans="1:1" x14ac:dyDescent="0.3">
      <c r="A12239" t="s">
        <v>98</v>
      </c>
    </row>
    <row r="12240" spans="1:1" x14ac:dyDescent="0.3">
      <c r="A12240" t="s">
        <v>13</v>
      </c>
    </row>
    <row r="12241" spans="1:1" x14ac:dyDescent="0.3">
      <c r="A12241" t="s">
        <v>105</v>
      </c>
    </row>
    <row r="12242" spans="1:1" x14ac:dyDescent="0.3">
      <c r="A12242" t="s">
        <v>5763</v>
      </c>
    </row>
    <row r="12243" spans="1:1" x14ac:dyDescent="0.3">
      <c r="A12243" t="s">
        <v>1157</v>
      </c>
    </row>
    <row r="12244" spans="1:1" x14ac:dyDescent="0.3">
      <c r="A12244" t="s">
        <v>5764</v>
      </c>
    </row>
    <row r="12245" spans="1:1" x14ac:dyDescent="0.3">
      <c r="A12245" t="s">
        <v>12</v>
      </c>
    </row>
    <row r="12246" spans="1:1" x14ac:dyDescent="0.3">
      <c r="A12246" t="s">
        <v>13</v>
      </c>
    </row>
    <row r="12247" spans="1:1" x14ac:dyDescent="0.3">
      <c r="A12247" t="s">
        <v>106</v>
      </c>
    </row>
    <row r="12248" spans="1:1" x14ac:dyDescent="0.3">
      <c r="A12248" t="s">
        <v>5765</v>
      </c>
    </row>
    <row r="12249" spans="1:1" x14ac:dyDescent="0.3">
      <c r="A12249" t="s">
        <v>1157</v>
      </c>
    </row>
    <row r="12250" spans="1:1" x14ac:dyDescent="0.3">
      <c r="A12250" t="s">
        <v>5766</v>
      </c>
    </row>
    <row r="12251" spans="1:1" x14ac:dyDescent="0.3">
      <c r="A12251" t="s">
        <v>12</v>
      </c>
    </row>
    <row r="12252" spans="1:1" x14ac:dyDescent="0.3">
      <c r="A12252" t="s">
        <v>40</v>
      </c>
    </row>
    <row r="12254" spans="1:1" x14ac:dyDescent="0.3">
      <c r="A12254" t="s">
        <v>12</v>
      </c>
    </row>
    <row r="12255" spans="1:1" x14ac:dyDescent="0.3">
      <c r="A12255" t="s">
        <v>13</v>
      </c>
    </row>
    <row r="12256" spans="1:1" x14ac:dyDescent="0.3">
      <c r="A12256" t="s">
        <v>1343</v>
      </c>
    </row>
    <row r="12257" spans="1:1" x14ac:dyDescent="0.3">
      <c r="A12257" t="s">
        <v>5767</v>
      </c>
    </row>
    <row r="12258" spans="1:1" x14ac:dyDescent="0.3">
      <c r="A12258" t="s">
        <v>5768</v>
      </c>
    </row>
    <row r="12259" spans="1:1" x14ac:dyDescent="0.3">
      <c r="A12259" t="s">
        <v>4436</v>
      </c>
    </row>
    <row r="12260" spans="1:1" x14ac:dyDescent="0.3">
      <c r="A12260" t="s">
        <v>110</v>
      </c>
    </row>
    <row r="12261" spans="1:1" x14ac:dyDescent="0.3">
      <c r="A12261" t="s">
        <v>1154</v>
      </c>
    </row>
    <row r="12262" spans="1:1" x14ac:dyDescent="0.3">
      <c r="A12262" t="s">
        <v>5769</v>
      </c>
    </row>
    <row r="12263" spans="1:1" x14ac:dyDescent="0.3">
      <c r="A12263" t="s">
        <v>51</v>
      </c>
    </row>
    <row r="12264" spans="1:1" x14ac:dyDescent="0.3">
      <c r="A12264" t="s">
        <v>52</v>
      </c>
    </row>
    <row r="12265" spans="1:1" x14ac:dyDescent="0.3">
      <c r="A12265" t="s">
        <v>79</v>
      </c>
    </row>
    <row r="12266" spans="1:1" x14ac:dyDescent="0.3">
      <c r="A12266" t="s">
        <v>98</v>
      </c>
    </row>
    <row r="12267" spans="1:1" x14ac:dyDescent="0.3">
      <c r="A12267" t="s">
        <v>13</v>
      </c>
    </row>
    <row r="12268" spans="1:1" x14ac:dyDescent="0.3">
      <c r="A12268" t="s">
        <v>105</v>
      </c>
    </row>
    <row r="12269" spans="1:1" x14ac:dyDescent="0.3">
      <c r="A12269" t="s">
        <v>5770</v>
      </c>
    </row>
    <row r="12270" spans="1:1" x14ac:dyDescent="0.3">
      <c r="A12270" t="s">
        <v>1157</v>
      </c>
    </row>
    <row r="12271" spans="1:1" x14ac:dyDescent="0.3">
      <c r="A12271" t="s">
        <v>5771</v>
      </c>
    </row>
    <row r="12272" spans="1:1" x14ac:dyDescent="0.3">
      <c r="A12272" t="s">
        <v>12</v>
      </c>
    </row>
    <row r="12273" spans="1:1" x14ac:dyDescent="0.3">
      <c r="A12273" t="s">
        <v>13</v>
      </c>
    </row>
    <row r="12274" spans="1:1" x14ac:dyDescent="0.3">
      <c r="A12274" t="s">
        <v>106</v>
      </c>
    </row>
    <row r="12275" spans="1:1" x14ac:dyDescent="0.3">
      <c r="A12275" t="s">
        <v>5772</v>
      </c>
    </row>
    <row r="12276" spans="1:1" x14ac:dyDescent="0.3">
      <c r="A12276" t="s">
        <v>1157</v>
      </c>
    </row>
    <row r="12277" spans="1:1" x14ac:dyDescent="0.3">
      <c r="A12277" t="s">
        <v>5773</v>
      </c>
    </row>
    <row r="12278" spans="1:1" x14ac:dyDescent="0.3">
      <c r="A12278" t="s">
        <v>12</v>
      </c>
    </row>
    <row r="12279" spans="1:1" x14ac:dyDescent="0.3">
      <c r="A12279" t="s">
        <v>40</v>
      </c>
    </row>
    <row r="12281" spans="1:1" x14ac:dyDescent="0.3">
      <c r="A12281" t="s">
        <v>12</v>
      </c>
    </row>
    <row r="12282" spans="1:1" x14ac:dyDescent="0.3">
      <c r="A12282" t="s">
        <v>13</v>
      </c>
    </row>
    <row r="12283" spans="1:1" x14ac:dyDescent="0.3">
      <c r="A12283" t="s">
        <v>1351</v>
      </c>
    </row>
    <row r="12284" spans="1:1" x14ac:dyDescent="0.3">
      <c r="A12284" t="s">
        <v>5774</v>
      </c>
    </row>
    <row r="12285" spans="1:1" x14ac:dyDescent="0.3">
      <c r="A12285" t="s">
        <v>5775</v>
      </c>
    </row>
    <row r="12286" spans="1:1" x14ac:dyDescent="0.3">
      <c r="A12286" t="s">
        <v>4436</v>
      </c>
    </row>
    <row r="12287" spans="1:1" x14ac:dyDescent="0.3">
      <c r="A12287" t="s">
        <v>110</v>
      </c>
    </row>
    <row r="12288" spans="1:1" x14ac:dyDescent="0.3">
      <c r="A12288" t="s">
        <v>1154</v>
      </c>
    </row>
    <row r="12289" spans="1:1" x14ac:dyDescent="0.3">
      <c r="A12289" t="s">
        <v>5776</v>
      </c>
    </row>
    <row r="12290" spans="1:1" x14ac:dyDescent="0.3">
      <c r="A12290" t="s">
        <v>51</v>
      </c>
    </row>
    <row r="12291" spans="1:1" x14ac:dyDescent="0.3">
      <c r="A12291" t="s">
        <v>52</v>
      </c>
    </row>
    <row r="12292" spans="1:1" x14ac:dyDescent="0.3">
      <c r="A12292" t="s">
        <v>79</v>
      </c>
    </row>
    <row r="12293" spans="1:1" x14ac:dyDescent="0.3">
      <c r="A12293" t="s">
        <v>98</v>
      </c>
    </row>
    <row r="12294" spans="1:1" x14ac:dyDescent="0.3">
      <c r="A12294" t="s">
        <v>13</v>
      </c>
    </row>
    <row r="12295" spans="1:1" x14ac:dyDescent="0.3">
      <c r="A12295" t="s">
        <v>105</v>
      </c>
    </row>
    <row r="12296" spans="1:1" x14ac:dyDescent="0.3">
      <c r="A12296" t="s">
        <v>5777</v>
      </c>
    </row>
    <row r="12297" spans="1:1" x14ac:dyDescent="0.3">
      <c r="A12297" t="s">
        <v>1157</v>
      </c>
    </row>
    <row r="12298" spans="1:1" x14ac:dyDescent="0.3">
      <c r="A12298" t="s">
        <v>5778</v>
      </c>
    </row>
    <row r="12299" spans="1:1" x14ac:dyDescent="0.3">
      <c r="A12299" t="s">
        <v>12</v>
      </c>
    </row>
    <row r="12300" spans="1:1" x14ac:dyDescent="0.3">
      <c r="A12300" t="s">
        <v>13</v>
      </c>
    </row>
    <row r="12301" spans="1:1" x14ac:dyDescent="0.3">
      <c r="A12301" t="s">
        <v>106</v>
      </c>
    </row>
    <row r="12302" spans="1:1" x14ac:dyDescent="0.3">
      <c r="A12302" t="s">
        <v>5779</v>
      </c>
    </row>
    <row r="12303" spans="1:1" x14ac:dyDescent="0.3">
      <c r="A12303" t="s">
        <v>1157</v>
      </c>
    </row>
    <row r="12304" spans="1:1" x14ac:dyDescent="0.3">
      <c r="A12304" t="s">
        <v>5780</v>
      </c>
    </row>
    <row r="12305" spans="1:1" x14ac:dyDescent="0.3">
      <c r="A12305" t="s">
        <v>12</v>
      </c>
    </row>
    <row r="12306" spans="1:1" x14ac:dyDescent="0.3">
      <c r="A12306" t="s">
        <v>40</v>
      </c>
    </row>
    <row r="12308" spans="1:1" x14ac:dyDescent="0.3">
      <c r="A12308" t="s">
        <v>12</v>
      </c>
    </row>
    <row r="12309" spans="1:1" x14ac:dyDescent="0.3">
      <c r="A12309" t="s">
        <v>13</v>
      </c>
    </row>
    <row r="12310" spans="1:1" x14ac:dyDescent="0.3">
      <c r="A12310" t="s">
        <v>1359</v>
      </c>
    </row>
    <row r="12311" spans="1:1" x14ac:dyDescent="0.3">
      <c r="A12311" t="s">
        <v>5781</v>
      </c>
    </row>
    <row r="12312" spans="1:1" x14ac:dyDescent="0.3">
      <c r="A12312" t="s">
        <v>5782</v>
      </c>
    </row>
    <row r="12313" spans="1:1" x14ac:dyDescent="0.3">
      <c r="A12313" t="s">
        <v>4436</v>
      </c>
    </row>
    <row r="12314" spans="1:1" x14ac:dyDescent="0.3">
      <c r="A12314" t="s">
        <v>110</v>
      </c>
    </row>
    <row r="12315" spans="1:1" x14ac:dyDescent="0.3">
      <c r="A12315" t="s">
        <v>1154</v>
      </c>
    </row>
    <row r="12316" spans="1:1" x14ac:dyDescent="0.3">
      <c r="A12316" t="s">
        <v>5783</v>
      </c>
    </row>
    <row r="12317" spans="1:1" x14ac:dyDescent="0.3">
      <c r="A12317" t="s">
        <v>51</v>
      </c>
    </row>
    <row r="12318" spans="1:1" x14ac:dyDescent="0.3">
      <c r="A12318" t="s">
        <v>52</v>
      </c>
    </row>
    <row r="12319" spans="1:1" x14ac:dyDescent="0.3">
      <c r="A12319" t="s">
        <v>79</v>
      </c>
    </row>
    <row r="12320" spans="1:1" x14ac:dyDescent="0.3">
      <c r="A12320" t="s">
        <v>98</v>
      </c>
    </row>
    <row r="12321" spans="1:1" x14ac:dyDescent="0.3">
      <c r="A12321" t="s">
        <v>13</v>
      </c>
    </row>
    <row r="12322" spans="1:1" x14ac:dyDescent="0.3">
      <c r="A12322" t="s">
        <v>105</v>
      </c>
    </row>
    <row r="12323" spans="1:1" x14ac:dyDescent="0.3">
      <c r="A12323" t="s">
        <v>5784</v>
      </c>
    </row>
    <row r="12324" spans="1:1" x14ac:dyDescent="0.3">
      <c r="A12324" t="s">
        <v>1157</v>
      </c>
    </row>
    <row r="12325" spans="1:1" x14ac:dyDescent="0.3">
      <c r="A12325" t="s">
        <v>5785</v>
      </c>
    </row>
    <row r="12326" spans="1:1" x14ac:dyDescent="0.3">
      <c r="A12326" t="s">
        <v>12</v>
      </c>
    </row>
    <row r="12327" spans="1:1" x14ac:dyDescent="0.3">
      <c r="A12327" t="s">
        <v>13</v>
      </c>
    </row>
    <row r="12328" spans="1:1" x14ac:dyDescent="0.3">
      <c r="A12328" t="s">
        <v>106</v>
      </c>
    </row>
    <row r="12329" spans="1:1" x14ac:dyDescent="0.3">
      <c r="A12329" t="s">
        <v>5786</v>
      </c>
    </row>
    <row r="12330" spans="1:1" x14ac:dyDescent="0.3">
      <c r="A12330" t="s">
        <v>1157</v>
      </c>
    </row>
    <row r="12331" spans="1:1" x14ac:dyDescent="0.3">
      <c r="A12331" t="s">
        <v>5787</v>
      </c>
    </row>
    <row r="12332" spans="1:1" x14ac:dyDescent="0.3">
      <c r="A12332" t="s">
        <v>12</v>
      </c>
    </row>
    <row r="12333" spans="1:1" x14ac:dyDescent="0.3">
      <c r="A12333" t="s">
        <v>40</v>
      </c>
    </row>
    <row r="12335" spans="1:1" x14ac:dyDescent="0.3">
      <c r="A12335" t="s">
        <v>12</v>
      </c>
    </row>
    <row r="12336" spans="1:1" x14ac:dyDescent="0.3">
      <c r="A12336" t="s">
        <v>13</v>
      </c>
    </row>
    <row r="12337" spans="1:1" x14ac:dyDescent="0.3">
      <c r="A12337" t="s">
        <v>1367</v>
      </c>
    </row>
    <row r="12338" spans="1:1" x14ac:dyDescent="0.3">
      <c r="A12338" t="s">
        <v>5788</v>
      </c>
    </row>
    <row r="12339" spans="1:1" x14ac:dyDescent="0.3">
      <c r="A12339" t="s">
        <v>5789</v>
      </c>
    </row>
    <row r="12340" spans="1:1" x14ac:dyDescent="0.3">
      <c r="A12340" t="s">
        <v>4436</v>
      </c>
    </row>
    <row r="12341" spans="1:1" x14ac:dyDescent="0.3">
      <c r="A12341" t="s">
        <v>110</v>
      </c>
    </row>
    <row r="12342" spans="1:1" x14ac:dyDescent="0.3">
      <c r="A12342" t="s">
        <v>1154</v>
      </c>
    </row>
    <row r="12343" spans="1:1" x14ac:dyDescent="0.3">
      <c r="A12343" t="s">
        <v>5790</v>
      </c>
    </row>
    <row r="12344" spans="1:1" x14ac:dyDescent="0.3">
      <c r="A12344" t="s">
        <v>51</v>
      </c>
    </row>
    <row r="12345" spans="1:1" x14ac:dyDescent="0.3">
      <c r="A12345" t="s">
        <v>52</v>
      </c>
    </row>
    <row r="12346" spans="1:1" x14ac:dyDescent="0.3">
      <c r="A12346" t="s">
        <v>79</v>
      </c>
    </row>
    <row r="12347" spans="1:1" x14ac:dyDescent="0.3">
      <c r="A12347" t="s">
        <v>98</v>
      </c>
    </row>
    <row r="12348" spans="1:1" x14ac:dyDescent="0.3">
      <c r="A12348" t="s">
        <v>13</v>
      </c>
    </row>
    <row r="12349" spans="1:1" x14ac:dyDescent="0.3">
      <c r="A12349" t="s">
        <v>105</v>
      </c>
    </row>
    <row r="12350" spans="1:1" x14ac:dyDescent="0.3">
      <c r="A12350" t="s">
        <v>5791</v>
      </c>
    </row>
    <row r="12351" spans="1:1" x14ac:dyDescent="0.3">
      <c r="A12351" t="s">
        <v>1157</v>
      </c>
    </row>
    <row r="12352" spans="1:1" x14ac:dyDescent="0.3">
      <c r="A12352" t="s">
        <v>5792</v>
      </c>
    </row>
    <row r="12353" spans="1:1" x14ac:dyDescent="0.3">
      <c r="A12353" t="s">
        <v>12</v>
      </c>
    </row>
    <row r="12354" spans="1:1" x14ac:dyDescent="0.3">
      <c r="A12354" t="s">
        <v>13</v>
      </c>
    </row>
    <row r="12355" spans="1:1" x14ac:dyDescent="0.3">
      <c r="A12355" t="s">
        <v>106</v>
      </c>
    </row>
    <row r="12356" spans="1:1" x14ac:dyDescent="0.3">
      <c r="A12356" t="s">
        <v>5793</v>
      </c>
    </row>
    <row r="12357" spans="1:1" x14ac:dyDescent="0.3">
      <c r="A12357" t="s">
        <v>1157</v>
      </c>
    </row>
    <row r="12358" spans="1:1" x14ac:dyDescent="0.3">
      <c r="A12358" t="s">
        <v>5794</v>
      </c>
    </row>
    <row r="12359" spans="1:1" x14ac:dyDescent="0.3">
      <c r="A12359" t="s">
        <v>12</v>
      </c>
    </row>
    <row r="12360" spans="1:1" x14ac:dyDescent="0.3">
      <c r="A12360" t="s">
        <v>40</v>
      </c>
    </row>
    <row r="12362" spans="1:1" x14ac:dyDescent="0.3">
      <c r="A12362" t="s">
        <v>12</v>
      </c>
    </row>
    <row r="12363" spans="1:1" x14ac:dyDescent="0.3">
      <c r="A12363" t="s">
        <v>13</v>
      </c>
    </row>
    <row r="12364" spans="1:1" x14ac:dyDescent="0.3">
      <c r="A12364" t="s">
        <v>1373</v>
      </c>
    </row>
    <row r="12365" spans="1:1" x14ac:dyDescent="0.3">
      <c r="A12365" t="s">
        <v>5795</v>
      </c>
    </row>
    <row r="12366" spans="1:1" x14ac:dyDescent="0.3">
      <c r="A12366" t="s">
        <v>5796</v>
      </c>
    </row>
    <row r="12367" spans="1:1" x14ac:dyDescent="0.3">
      <c r="A12367" t="s">
        <v>4436</v>
      </c>
    </row>
    <row r="12368" spans="1:1" x14ac:dyDescent="0.3">
      <c r="A12368" t="s">
        <v>110</v>
      </c>
    </row>
    <row r="12369" spans="1:1" x14ac:dyDescent="0.3">
      <c r="A12369" t="s">
        <v>1154</v>
      </c>
    </row>
    <row r="12370" spans="1:1" x14ac:dyDescent="0.3">
      <c r="A12370" t="s">
        <v>5797</v>
      </c>
    </row>
    <row r="12371" spans="1:1" x14ac:dyDescent="0.3">
      <c r="A12371" t="s">
        <v>51</v>
      </c>
    </row>
    <row r="12372" spans="1:1" x14ac:dyDescent="0.3">
      <c r="A12372" t="s">
        <v>52</v>
      </c>
    </row>
    <row r="12373" spans="1:1" x14ac:dyDescent="0.3">
      <c r="A12373" t="s">
        <v>79</v>
      </c>
    </row>
    <row r="12374" spans="1:1" x14ac:dyDescent="0.3">
      <c r="A12374" t="s">
        <v>98</v>
      </c>
    </row>
    <row r="12375" spans="1:1" x14ac:dyDescent="0.3">
      <c r="A12375" t="s">
        <v>13</v>
      </c>
    </row>
    <row r="12376" spans="1:1" x14ac:dyDescent="0.3">
      <c r="A12376" t="s">
        <v>105</v>
      </c>
    </row>
    <row r="12377" spans="1:1" x14ac:dyDescent="0.3">
      <c r="A12377" t="s">
        <v>5798</v>
      </c>
    </row>
    <row r="12378" spans="1:1" x14ac:dyDescent="0.3">
      <c r="A12378" t="s">
        <v>1157</v>
      </c>
    </row>
    <row r="12379" spans="1:1" x14ac:dyDescent="0.3">
      <c r="A12379" t="s">
        <v>5799</v>
      </c>
    </row>
    <row r="12380" spans="1:1" x14ac:dyDescent="0.3">
      <c r="A12380" t="s">
        <v>12</v>
      </c>
    </row>
    <row r="12381" spans="1:1" x14ac:dyDescent="0.3">
      <c r="A12381" t="s">
        <v>13</v>
      </c>
    </row>
    <row r="12382" spans="1:1" x14ac:dyDescent="0.3">
      <c r="A12382" t="s">
        <v>106</v>
      </c>
    </row>
    <row r="12383" spans="1:1" x14ac:dyDescent="0.3">
      <c r="A12383" t="s">
        <v>5800</v>
      </c>
    </row>
    <row r="12384" spans="1:1" x14ac:dyDescent="0.3">
      <c r="A12384" t="s">
        <v>1157</v>
      </c>
    </row>
    <row r="12385" spans="1:1" x14ac:dyDescent="0.3">
      <c r="A12385" t="s">
        <v>5801</v>
      </c>
    </row>
    <row r="12386" spans="1:1" x14ac:dyDescent="0.3">
      <c r="A12386" t="s">
        <v>12</v>
      </c>
    </row>
    <row r="12387" spans="1:1" x14ac:dyDescent="0.3">
      <c r="A12387" t="s">
        <v>40</v>
      </c>
    </row>
    <row r="12389" spans="1:1" x14ac:dyDescent="0.3">
      <c r="A12389" t="s">
        <v>12</v>
      </c>
    </row>
    <row r="12390" spans="1:1" x14ac:dyDescent="0.3">
      <c r="A12390" t="s">
        <v>13</v>
      </c>
    </row>
    <row r="12391" spans="1:1" x14ac:dyDescent="0.3">
      <c r="A12391" t="s">
        <v>1640</v>
      </c>
    </row>
    <row r="12392" spans="1:1" x14ac:dyDescent="0.3">
      <c r="A12392" t="s">
        <v>5802</v>
      </c>
    </row>
    <row r="12393" spans="1:1" x14ac:dyDescent="0.3">
      <c r="A12393" t="s">
        <v>5803</v>
      </c>
    </row>
    <row r="12394" spans="1:1" x14ac:dyDescent="0.3">
      <c r="A12394" t="s">
        <v>4436</v>
      </c>
    </row>
    <row r="12395" spans="1:1" x14ac:dyDescent="0.3">
      <c r="A12395" t="s">
        <v>110</v>
      </c>
    </row>
    <row r="12396" spans="1:1" x14ac:dyDescent="0.3">
      <c r="A12396" t="s">
        <v>1154</v>
      </c>
    </row>
    <row r="12397" spans="1:1" x14ac:dyDescent="0.3">
      <c r="A12397" t="s">
        <v>5804</v>
      </c>
    </row>
    <row r="12398" spans="1:1" x14ac:dyDescent="0.3">
      <c r="A12398" t="s">
        <v>51</v>
      </c>
    </row>
    <row r="12399" spans="1:1" x14ac:dyDescent="0.3">
      <c r="A12399" t="s">
        <v>52</v>
      </c>
    </row>
    <row r="12400" spans="1:1" x14ac:dyDescent="0.3">
      <c r="A12400" t="s">
        <v>79</v>
      </c>
    </row>
    <row r="12401" spans="1:1" x14ac:dyDescent="0.3">
      <c r="A12401" t="s">
        <v>98</v>
      </c>
    </row>
    <row r="12402" spans="1:1" x14ac:dyDescent="0.3">
      <c r="A12402" t="s">
        <v>13</v>
      </c>
    </row>
    <row r="12403" spans="1:1" x14ac:dyDescent="0.3">
      <c r="A12403" t="s">
        <v>105</v>
      </c>
    </row>
    <row r="12404" spans="1:1" x14ac:dyDescent="0.3">
      <c r="A12404" t="s">
        <v>5805</v>
      </c>
    </row>
    <row r="12405" spans="1:1" x14ac:dyDescent="0.3">
      <c r="A12405" t="s">
        <v>1157</v>
      </c>
    </row>
    <row r="12406" spans="1:1" x14ac:dyDescent="0.3">
      <c r="A12406" t="s">
        <v>5806</v>
      </c>
    </row>
    <row r="12407" spans="1:1" x14ac:dyDescent="0.3">
      <c r="A12407" t="s">
        <v>12</v>
      </c>
    </row>
    <row r="12408" spans="1:1" x14ac:dyDescent="0.3">
      <c r="A12408" t="s">
        <v>13</v>
      </c>
    </row>
    <row r="12409" spans="1:1" x14ac:dyDescent="0.3">
      <c r="A12409" t="s">
        <v>106</v>
      </c>
    </row>
    <row r="12410" spans="1:1" x14ac:dyDescent="0.3">
      <c r="A12410" t="s">
        <v>5807</v>
      </c>
    </row>
    <row r="12411" spans="1:1" x14ac:dyDescent="0.3">
      <c r="A12411" t="s">
        <v>1157</v>
      </c>
    </row>
    <row r="12412" spans="1:1" x14ac:dyDescent="0.3">
      <c r="A12412" t="s">
        <v>5808</v>
      </c>
    </row>
    <row r="12413" spans="1:1" x14ac:dyDescent="0.3">
      <c r="A12413" t="s">
        <v>12</v>
      </c>
    </row>
    <row r="12414" spans="1:1" x14ac:dyDescent="0.3">
      <c r="A12414" t="s">
        <v>40</v>
      </c>
    </row>
    <row r="12416" spans="1:1" x14ac:dyDescent="0.3">
      <c r="A12416" t="s">
        <v>12</v>
      </c>
    </row>
    <row r="12417" spans="1:1" x14ac:dyDescent="0.3">
      <c r="A12417" t="s">
        <v>13</v>
      </c>
    </row>
    <row r="12418" spans="1:1" x14ac:dyDescent="0.3">
      <c r="A12418" t="s">
        <v>1643</v>
      </c>
    </row>
    <row r="12419" spans="1:1" x14ac:dyDescent="0.3">
      <c r="A12419" t="s">
        <v>5809</v>
      </c>
    </row>
    <row r="12420" spans="1:1" x14ac:dyDescent="0.3">
      <c r="A12420" t="s">
        <v>5810</v>
      </c>
    </row>
    <row r="12421" spans="1:1" x14ac:dyDescent="0.3">
      <c r="A12421" t="s">
        <v>4436</v>
      </c>
    </row>
    <row r="12422" spans="1:1" x14ac:dyDescent="0.3">
      <c r="A12422" t="s">
        <v>110</v>
      </c>
    </row>
    <row r="12423" spans="1:1" x14ac:dyDescent="0.3">
      <c r="A12423" t="s">
        <v>1154</v>
      </c>
    </row>
    <row r="12424" spans="1:1" x14ac:dyDescent="0.3">
      <c r="A12424" t="s">
        <v>5811</v>
      </c>
    </row>
    <row r="12425" spans="1:1" x14ac:dyDescent="0.3">
      <c r="A12425" t="s">
        <v>51</v>
      </c>
    </row>
    <row r="12426" spans="1:1" x14ac:dyDescent="0.3">
      <c r="A12426" t="s">
        <v>52</v>
      </c>
    </row>
    <row r="12427" spans="1:1" x14ac:dyDescent="0.3">
      <c r="A12427" t="s">
        <v>79</v>
      </c>
    </row>
    <row r="12429" spans="1:1" x14ac:dyDescent="0.3">
      <c r="A12429" t="s">
        <v>12</v>
      </c>
    </row>
    <row r="12430" spans="1:1" x14ac:dyDescent="0.3">
      <c r="A12430" t="s">
        <v>13</v>
      </c>
    </row>
    <row r="12431" spans="1:1" x14ac:dyDescent="0.3">
      <c r="A12431" t="s">
        <v>1647</v>
      </c>
    </row>
    <row r="12432" spans="1:1" x14ac:dyDescent="0.3">
      <c r="A12432" t="s">
        <v>5812</v>
      </c>
    </row>
    <row r="12433" spans="1:1" x14ac:dyDescent="0.3">
      <c r="A12433" t="s">
        <v>5813</v>
      </c>
    </row>
    <row r="12434" spans="1:1" x14ac:dyDescent="0.3">
      <c r="A12434" t="s">
        <v>4436</v>
      </c>
    </row>
    <row r="12435" spans="1:1" x14ac:dyDescent="0.3">
      <c r="A12435" t="s">
        <v>110</v>
      </c>
    </row>
    <row r="12436" spans="1:1" x14ac:dyDescent="0.3">
      <c r="A12436" t="s">
        <v>1154</v>
      </c>
    </row>
    <row r="12437" spans="1:1" x14ac:dyDescent="0.3">
      <c r="A12437" t="s">
        <v>5814</v>
      </c>
    </row>
    <row r="12438" spans="1:1" x14ac:dyDescent="0.3">
      <c r="A12438" t="s">
        <v>51</v>
      </c>
    </row>
    <row r="12439" spans="1:1" x14ac:dyDescent="0.3">
      <c r="A12439" t="s">
        <v>52</v>
      </c>
    </row>
    <row r="12440" spans="1:1" x14ac:dyDescent="0.3">
      <c r="A12440" t="s">
        <v>79</v>
      </c>
    </row>
    <row r="12442" spans="1:1" x14ac:dyDescent="0.3">
      <c r="A12442" t="s">
        <v>12</v>
      </c>
    </row>
    <row r="12443" spans="1:1" x14ac:dyDescent="0.3">
      <c r="A12443" t="s">
        <v>13</v>
      </c>
    </row>
    <row r="12444" spans="1:1" x14ac:dyDescent="0.3">
      <c r="A12444" t="s">
        <v>1655</v>
      </c>
    </row>
    <row r="12445" spans="1:1" x14ac:dyDescent="0.3">
      <c r="A12445" t="s">
        <v>5815</v>
      </c>
    </row>
    <row r="12446" spans="1:1" x14ac:dyDescent="0.3">
      <c r="A12446" t="s">
        <v>5816</v>
      </c>
    </row>
    <row r="12447" spans="1:1" x14ac:dyDescent="0.3">
      <c r="A12447" t="s">
        <v>4436</v>
      </c>
    </row>
    <row r="12448" spans="1:1" x14ac:dyDescent="0.3">
      <c r="A12448" t="s">
        <v>110</v>
      </c>
    </row>
    <row r="12449" spans="1:1" x14ac:dyDescent="0.3">
      <c r="A12449" t="s">
        <v>1154</v>
      </c>
    </row>
    <row r="12450" spans="1:1" x14ac:dyDescent="0.3">
      <c r="A12450" t="s">
        <v>5817</v>
      </c>
    </row>
    <row r="12451" spans="1:1" x14ac:dyDescent="0.3">
      <c r="A12451" t="s">
        <v>51</v>
      </c>
    </row>
    <row r="12452" spans="1:1" x14ac:dyDescent="0.3">
      <c r="A12452" t="s">
        <v>52</v>
      </c>
    </row>
    <row r="12453" spans="1:1" x14ac:dyDescent="0.3">
      <c r="A12453" t="s">
        <v>79</v>
      </c>
    </row>
    <row r="12455" spans="1:1" x14ac:dyDescent="0.3">
      <c r="A12455" t="s">
        <v>12</v>
      </c>
    </row>
    <row r="12456" spans="1:1" x14ac:dyDescent="0.3">
      <c r="A12456" t="s">
        <v>13</v>
      </c>
    </row>
    <row r="12457" spans="1:1" x14ac:dyDescent="0.3">
      <c r="A12457" t="s">
        <v>1663</v>
      </c>
    </row>
    <row r="12458" spans="1:1" x14ac:dyDescent="0.3">
      <c r="A12458" t="s">
        <v>5818</v>
      </c>
    </row>
    <row r="12459" spans="1:1" x14ac:dyDescent="0.3">
      <c r="A12459" t="s">
        <v>5819</v>
      </c>
    </row>
    <row r="12460" spans="1:1" x14ac:dyDescent="0.3">
      <c r="A12460" t="s">
        <v>4436</v>
      </c>
    </row>
    <row r="12461" spans="1:1" x14ac:dyDescent="0.3">
      <c r="A12461" t="s">
        <v>110</v>
      </c>
    </row>
    <row r="12462" spans="1:1" x14ac:dyDescent="0.3">
      <c r="A12462" t="s">
        <v>1154</v>
      </c>
    </row>
    <row r="12463" spans="1:1" x14ac:dyDescent="0.3">
      <c r="A12463" t="s">
        <v>5820</v>
      </c>
    </row>
    <row r="12464" spans="1:1" x14ac:dyDescent="0.3">
      <c r="A12464" t="s">
        <v>51</v>
      </c>
    </row>
    <row r="12465" spans="1:1" x14ac:dyDescent="0.3">
      <c r="A12465" t="s">
        <v>52</v>
      </c>
    </row>
    <row r="12466" spans="1:1" x14ac:dyDescent="0.3">
      <c r="A12466" t="s">
        <v>79</v>
      </c>
    </row>
    <row r="12468" spans="1:1" x14ac:dyDescent="0.3">
      <c r="A12468" t="s">
        <v>12</v>
      </c>
    </row>
    <row r="12469" spans="1:1" x14ac:dyDescent="0.3">
      <c r="A12469" t="s">
        <v>13</v>
      </c>
    </row>
    <row r="12470" spans="1:1" x14ac:dyDescent="0.3">
      <c r="A12470" t="s">
        <v>1671</v>
      </c>
    </row>
    <row r="12471" spans="1:1" x14ac:dyDescent="0.3">
      <c r="A12471" t="s">
        <v>5821</v>
      </c>
    </row>
    <row r="12472" spans="1:1" x14ac:dyDescent="0.3">
      <c r="A12472" t="s">
        <v>5822</v>
      </c>
    </row>
    <row r="12473" spans="1:1" x14ac:dyDescent="0.3">
      <c r="A12473" t="s">
        <v>4436</v>
      </c>
    </row>
    <row r="12474" spans="1:1" x14ac:dyDescent="0.3">
      <c r="A12474" t="s">
        <v>110</v>
      </c>
    </row>
    <row r="12475" spans="1:1" x14ac:dyDescent="0.3">
      <c r="A12475" t="s">
        <v>1154</v>
      </c>
    </row>
    <row r="12476" spans="1:1" x14ac:dyDescent="0.3">
      <c r="A12476" t="s">
        <v>5823</v>
      </c>
    </row>
    <row r="12477" spans="1:1" x14ac:dyDescent="0.3">
      <c r="A12477" t="s">
        <v>51</v>
      </c>
    </row>
    <row r="12478" spans="1:1" x14ac:dyDescent="0.3">
      <c r="A12478" t="s">
        <v>52</v>
      </c>
    </row>
    <row r="12479" spans="1:1" x14ac:dyDescent="0.3">
      <c r="A12479" t="s">
        <v>79</v>
      </c>
    </row>
    <row r="12480" spans="1:1" x14ac:dyDescent="0.3">
      <c r="A12480" t="s">
        <v>98</v>
      </c>
    </row>
    <row r="12481" spans="1:1" x14ac:dyDescent="0.3">
      <c r="A12481" t="s">
        <v>13</v>
      </c>
    </row>
    <row r="12482" spans="1:1" x14ac:dyDescent="0.3">
      <c r="A12482" t="s">
        <v>105</v>
      </c>
    </row>
    <row r="12483" spans="1:1" x14ac:dyDescent="0.3">
      <c r="A12483" t="s">
        <v>5824</v>
      </c>
    </row>
    <row r="12484" spans="1:1" x14ac:dyDescent="0.3">
      <c r="A12484" t="s">
        <v>1157</v>
      </c>
    </row>
    <row r="12485" spans="1:1" x14ac:dyDescent="0.3">
      <c r="A12485" t="s">
        <v>5825</v>
      </c>
    </row>
    <row r="12486" spans="1:1" x14ac:dyDescent="0.3">
      <c r="A12486" t="s">
        <v>12</v>
      </c>
    </row>
    <row r="12487" spans="1:1" x14ac:dyDescent="0.3">
      <c r="A12487" t="s">
        <v>13</v>
      </c>
    </row>
    <row r="12488" spans="1:1" x14ac:dyDescent="0.3">
      <c r="A12488" t="s">
        <v>106</v>
      </c>
    </row>
    <row r="12489" spans="1:1" x14ac:dyDescent="0.3">
      <c r="A12489" t="s">
        <v>5826</v>
      </c>
    </row>
    <row r="12490" spans="1:1" x14ac:dyDescent="0.3">
      <c r="A12490" t="s">
        <v>1157</v>
      </c>
    </row>
    <row r="12491" spans="1:1" x14ac:dyDescent="0.3">
      <c r="A12491" t="s">
        <v>5827</v>
      </c>
    </row>
    <row r="12492" spans="1:1" x14ac:dyDescent="0.3">
      <c r="A12492" t="s">
        <v>12</v>
      </c>
    </row>
    <row r="12493" spans="1:1" x14ac:dyDescent="0.3">
      <c r="A12493" t="s">
        <v>40</v>
      </c>
    </row>
    <row r="12495" spans="1:1" x14ac:dyDescent="0.3">
      <c r="A12495" t="s">
        <v>12</v>
      </c>
    </row>
    <row r="12496" spans="1:1" x14ac:dyDescent="0.3">
      <c r="A12496" t="s">
        <v>13</v>
      </c>
    </row>
    <row r="12497" spans="1:1" x14ac:dyDescent="0.3">
      <c r="A12497" t="s">
        <v>1676</v>
      </c>
    </row>
    <row r="12498" spans="1:1" x14ac:dyDescent="0.3">
      <c r="A12498" t="s">
        <v>5828</v>
      </c>
    </row>
    <row r="12499" spans="1:1" x14ac:dyDescent="0.3">
      <c r="A12499" t="s">
        <v>5829</v>
      </c>
    </row>
    <row r="12500" spans="1:1" x14ac:dyDescent="0.3">
      <c r="A12500" t="s">
        <v>4436</v>
      </c>
    </row>
    <row r="12501" spans="1:1" x14ac:dyDescent="0.3">
      <c r="A12501" t="s">
        <v>110</v>
      </c>
    </row>
    <row r="12502" spans="1:1" x14ac:dyDescent="0.3">
      <c r="A12502" t="s">
        <v>1154</v>
      </c>
    </row>
    <row r="12503" spans="1:1" x14ac:dyDescent="0.3">
      <c r="A12503" t="s">
        <v>5830</v>
      </c>
    </row>
    <row r="12504" spans="1:1" x14ac:dyDescent="0.3">
      <c r="A12504" t="s">
        <v>51</v>
      </c>
    </row>
    <row r="12505" spans="1:1" x14ac:dyDescent="0.3">
      <c r="A12505" t="s">
        <v>52</v>
      </c>
    </row>
    <row r="12506" spans="1:1" x14ac:dyDescent="0.3">
      <c r="A12506" t="s">
        <v>79</v>
      </c>
    </row>
    <row r="12507" spans="1:1" x14ac:dyDescent="0.3">
      <c r="A12507" t="s">
        <v>98</v>
      </c>
    </row>
    <row r="12508" spans="1:1" x14ac:dyDescent="0.3">
      <c r="A12508" t="s">
        <v>13</v>
      </c>
    </row>
    <row r="12509" spans="1:1" x14ac:dyDescent="0.3">
      <c r="A12509" t="s">
        <v>105</v>
      </c>
    </row>
    <row r="12510" spans="1:1" x14ac:dyDescent="0.3">
      <c r="A12510" t="s">
        <v>5831</v>
      </c>
    </row>
    <row r="12511" spans="1:1" x14ac:dyDescent="0.3">
      <c r="A12511" t="s">
        <v>1157</v>
      </c>
    </row>
    <row r="12512" spans="1:1" x14ac:dyDescent="0.3">
      <c r="A12512" t="s">
        <v>5832</v>
      </c>
    </row>
    <row r="12513" spans="1:1" x14ac:dyDescent="0.3">
      <c r="A12513" t="s">
        <v>12</v>
      </c>
    </row>
    <row r="12514" spans="1:1" x14ac:dyDescent="0.3">
      <c r="A12514" t="s">
        <v>40</v>
      </c>
    </row>
    <row r="12516" spans="1:1" x14ac:dyDescent="0.3">
      <c r="A12516" t="s">
        <v>12</v>
      </c>
    </row>
    <row r="12517" spans="1:1" x14ac:dyDescent="0.3">
      <c r="A12517" t="s">
        <v>13</v>
      </c>
    </row>
    <row r="12518" spans="1:1" x14ac:dyDescent="0.3">
      <c r="A12518" t="s">
        <v>1680</v>
      </c>
    </row>
    <row r="12519" spans="1:1" x14ac:dyDescent="0.3">
      <c r="A12519" t="s">
        <v>5833</v>
      </c>
    </row>
    <row r="12520" spans="1:1" x14ac:dyDescent="0.3">
      <c r="A12520" t="s">
        <v>5834</v>
      </c>
    </row>
    <row r="12521" spans="1:1" x14ac:dyDescent="0.3">
      <c r="A12521" t="s">
        <v>4436</v>
      </c>
    </row>
    <row r="12522" spans="1:1" x14ac:dyDescent="0.3">
      <c r="A12522" t="s">
        <v>110</v>
      </c>
    </row>
    <row r="12523" spans="1:1" x14ac:dyDescent="0.3">
      <c r="A12523" t="s">
        <v>1154</v>
      </c>
    </row>
    <row r="12524" spans="1:1" x14ac:dyDescent="0.3">
      <c r="A12524" t="s">
        <v>5835</v>
      </c>
    </row>
    <row r="12525" spans="1:1" x14ac:dyDescent="0.3">
      <c r="A12525" t="s">
        <v>51</v>
      </c>
    </row>
    <row r="12526" spans="1:1" x14ac:dyDescent="0.3">
      <c r="A12526" t="s">
        <v>52</v>
      </c>
    </row>
    <row r="12527" spans="1:1" x14ac:dyDescent="0.3">
      <c r="A12527" t="s">
        <v>79</v>
      </c>
    </row>
    <row r="12528" spans="1:1" x14ac:dyDescent="0.3">
      <c r="A12528" t="s">
        <v>98</v>
      </c>
    </row>
    <row r="12529" spans="1:1" x14ac:dyDescent="0.3">
      <c r="A12529" t="s">
        <v>13</v>
      </c>
    </row>
    <row r="12530" spans="1:1" x14ac:dyDescent="0.3">
      <c r="A12530" t="s">
        <v>105</v>
      </c>
    </row>
    <row r="12531" spans="1:1" x14ac:dyDescent="0.3">
      <c r="A12531" t="s">
        <v>5836</v>
      </c>
    </row>
    <row r="12532" spans="1:1" x14ac:dyDescent="0.3">
      <c r="A12532" t="s">
        <v>1157</v>
      </c>
    </row>
    <row r="12533" spans="1:1" x14ac:dyDescent="0.3">
      <c r="A12533" t="s">
        <v>5837</v>
      </c>
    </row>
    <row r="12534" spans="1:1" x14ac:dyDescent="0.3">
      <c r="A12534" t="s">
        <v>12</v>
      </c>
    </row>
    <row r="12535" spans="1:1" x14ac:dyDescent="0.3">
      <c r="A12535" t="s">
        <v>13</v>
      </c>
    </row>
    <row r="12536" spans="1:1" x14ac:dyDescent="0.3">
      <c r="A12536" t="s">
        <v>106</v>
      </c>
    </row>
    <row r="12537" spans="1:1" x14ac:dyDescent="0.3">
      <c r="A12537" t="s">
        <v>5838</v>
      </c>
    </row>
    <row r="12538" spans="1:1" x14ac:dyDescent="0.3">
      <c r="A12538" t="s">
        <v>1157</v>
      </c>
    </row>
    <row r="12539" spans="1:1" x14ac:dyDescent="0.3">
      <c r="A12539" t="s">
        <v>5839</v>
      </c>
    </row>
    <row r="12540" spans="1:1" x14ac:dyDescent="0.3">
      <c r="A12540" t="s">
        <v>12</v>
      </c>
    </row>
    <row r="12541" spans="1:1" x14ac:dyDescent="0.3">
      <c r="A12541" t="s">
        <v>40</v>
      </c>
    </row>
    <row r="12543" spans="1:1" x14ac:dyDescent="0.3">
      <c r="A12543" t="s">
        <v>12</v>
      </c>
    </row>
    <row r="12544" spans="1:1" x14ac:dyDescent="0.3">
      <c r="A12544" t="s">
        <v>13</v>
      </c>
    </row>
    <row r="12545" spans="1:1" x14ac:dyDescent="0.3">
      <c r="A12545" t="s">
        <v>1687</v>
      </c>
    </row>
    <row r="12546" spans="1:1" x14ac:dyDescent="0.3">
      <c r="A12546" t="s">
        <v>5840</v>
      </c>
    </row>
    <row r="12547" spans="1:1" x14ac:dyDescent="0.3">
      <c r="A12547" t="s">
        <v>5841</v>
      </c>
    </row>
    <row r="12548" spans="1:1" x14ac:dyDescent="0.3">
      <c r="A12548" t="s">
        <v>4436</v>
      </c>
    </row>
    <row r="12549" spans="1:1" x14ac:dyDescent="0.3">
      <c r="A12549" t="s">
        <v>110</v>
      </c>
    </row>
    <row r="12550" spans="1:1" x14ac:dyDescent="0.3">
      <c r="A12550" t="s">
        <v>1154</v>
      </c>
    </row>
    <row r="12551" spans="1:1" x14ac:dyDescent="0.3">
      <c r="A12551" t="s">
        <v>5842</v>
      </c>
    </row>
    <row r="12552" spans="1:1" x14ac:dyDescent="0.3">
      <c r="A12552" t="s">
        <v>51</v>
      </c>
    </row>
    <row r="12553" spans="1:1" x14ac:dyDescent="0.3">
      <c r="A12553" t="s">
        <v>52</v>
      </c>
    </row>
    <row r="12554" spans="1:1" x14ac:dyDescent="0.3">
      <c r="A12554" t="s">
        <v>79</v>
      </c>
    </row>
    <row r="12556" spans="1:1" x14ac:dyDescent="0.3">
      <c r="A12556" t="s">
        <v>12</v>
      </c>
    </row>
    <row r="12557" spans="1:1" x14ac:dyDescent="0.3">
      <c r="A12557" t="s">
        <v>13</v>
      </c>
    </row>
    <row r="12558" spans="1:1" x14ac:dyDescent="0.3">
      <c r="A12558" t="s">
        <v>1691</v>
      </c>
    </row>
    <row r="12559" spans="1:1" x14ac:dyDescent="0.3">
      <c r="A12559" t="s">
        <v>5843</v>
      </c>
    </row>
    <row r="12560" spans="1:1" x14ac:dyDescent="0.3">
      <c r="A12560" t="s">
        <v>5844</v>
      </c>
    </row>
    <row r="12561" spans="1:1" x14ac:dyDescent="0.3">
      <c r="A12561" t="s">
        <v>4436</v>
      </c>
    </row>
    <row r="12562" spans="1:1" x14ac:dyDescent="0.3">
      <c r="A12562" t="s">
        <v>110</v>
      </c>
    </row>
    <row r="12563" spans="1:1" x14ac:dyDescent="0.3">
      <c r="A12563" t="s">
        <v>1154</v>
      </c>
    </row>
    <row r="12564" spans="1:1" x14ac:dyDescent="0.3">
      <c r="A12564" t="s">
        <v>5845</v>
      </c>
    </row>
    <row r="12565" spans="1:1" x14ac:dyDescent="0.3">
      <c r="A12565" t="s">
        <v>51</v>
      </c>
    </row>
    <row r="12566" spans="1:1" x14ac:dyDescent="0.3">
      <c r="A12566" t="s">
        <v>52</v>
      </c>
    </row>
    <row r="12567" spans="1:1" x14ac:dyDescent="0.3">
      <c r="A12567" t="s">
        <v>79</v>
      </c>
    </row>
    <row r="12569" spans="1:1" x14ac:dyDescent="0.3">
      <c r="A12569" t="s">
        <v>12</v>
      </c>
    </row>
    <row r="12570" spans="1:1" x14ac:dyDescent="0.3">
      <c r="A12570" t="s">
        <v>13</v>
      </c>
    </row>
    <row r="12571" spans="1:1" x14ac:dyDescent="0.3">
      <c r="A12571" t="s">
        <v>1937</v>
      </c>
    </row>
    <row r="12572" spans="1:1" x14ac:dyDescent="0.3">
      <c r="A12572" t="s">
        <v>5846</v>
      </c>
    </row>
    <row r="12573" spans="1:1" x14ac:dyDescent="0.3">
      <c r="A12573" t="s">
        <v>5847</v>
      </c>
    </row>
    <row r="12574" spans="1:1" x14ac:dyDescent="0.3">
      <c r="A12574" t="s">
        <v>4436</v>
      </c>
    </row>
    <row r="12575" spans="1:1" x14ac:dyDescent="0.3">
      <c r="A12575" t="s">
        <v>110</v>
      </c>
    </row>
    <row r="12576" spans="1:1" x14ac:dyDescent="0.3">
      <c r="A12576" t="s">
        <v>1154</v>
      </c>
    </row>
    <row r="12577" spans="1:1" x14ac:dyDescent="0.3">
      <c r="A12577" t="s">
        <v>5848</v>
      </c>
    </row>
    <row r="12578" spans="1:1" x14ac:dyDescent="0.3">
      <c r="A12578" t="s">
        <v>51</v>
      </c>
    </row>
    <row r="12579" spans="1:1" x14ac:dyDescent="0.3">
      <c r="A12579" t="s">
        <v>52</v>
      </c>
    </row>
    <row r="12580" spans="1:1" x14ac:dyDescent="0.3">
      <c r="A12580" t="s">
        <v>79</v>
      </c>
    </row>
    <row r="12582" spans="1:1" x14ac:dyDescent="0.3">
      <c r="A12582" t="s">
        <v>12</v>
      </c>
    </row>
    <row r="12583" spans="1:1" x14ac:dyDescent="0.3">
      <c r="A12583" t="s">
        <v>13</v>
      </c>
    </row>
    <row r="12584" spans="1:1" x14ac:dyDescent="0.3">
      <c r="A12584" t="s">
        <v>1940</v>
      </c>
    </row>
    <row r="12585" spans="1:1" x14ac:dyDescent="0.3">
      <c r="A12585" t="s">
        <v>5849</v>
      </c>
    </row>
    <row r="12586" spans="1:1" x14ac:dyDescent="0.3">
      <c r="A12586" t="s">
        <v>5850</v>
      </c>
    </row>
    <row r="12587" spans="1:1" x14ac:dyDescent="0.3">
      <c r="A12587" t="s">
        <v>4436</v>
      </c>
    </row>
    <row r="12588" spans="1:1" x14ac:dyDescent="0.3">
      <c r="A12588" t="s">
        <v>110</v>
      </c>
    </row>
    <row r="12589" spans="1:1" x14ac:dyDescent="0.3">
      <c r="A12589" t="s">
        <v>1154</v>
      </c>
    </row>
    <row r="12590" spans="1:1" x14ac:dyDescent="0.3">
      <c r="A12590" t="s">
        <v>5851</v>
      </c>
    </row>
    <row r="12591" spans="1:1" x14ac:dyDescent="0.3">
      <c r="A12591" t="s">
        <v>51</v>
      </c>
    </row>
    <row r="12592" spans="1:1" x14ac:dyDescent="0.3">
      <c r="A12592" t="s">
        <v>52</v>
      </c>
    </row>
    <row r="12593" spans="1:1" x14ac:dyDescent="0.3">
      <c r="A12593" t="s">
        <v>79</v>
      </c>
    </row>
    <row r="12595" spans="1:1" x14ac:dyDescent="0.3">
      <c r="A12595" t="s">
        <v>12</v>
      </c>
    </row>
    <row r="12596" spans="1:1" x14ac:dyDescent="0.3">
      <c r="A12596" t="s">
        <v>13</v>
      </c>
    </row>
    <row r="12597" spans="1:1" x14ac:dyDescent="0.3">
      <c r="A12597" t="s">
        <v>1943</v>
      </c>
    </row>
    <row r="12598" spans="1:1" x14ac:dyDescent="0.3">
      <c r="A12598" t="s">
        <v>2690</v>
      </c>
    </row>
    <row r="12599" spans="1:1" x14ac:dyDescent="0.3">
      <c r="A12599" t="s">
        <v>5852</v>
      </c>
    </row>
    <row r="12600" spans="1:1" x14ac:dyDescent="0.3">
      <c r="A12600" t="s">
        <v>4436</v>
      </c>
    </row>
    <row r="12601" spans="1:1" x14ac:dyDescent="0.3">
      <c r="A12601" t="s">
        <v>110</v>
      </c>
    </row>
    <row r="12602" spans="1:1" x14ac:dyDescent="0.3">
      <c r="A12602" t="s">
        <v>1154</v>
      </c>
    </row>
    <row r="12603" spans="1:1" x14ac:dyDescent="0.3">
      <c r="A12603" t="s">
        <v>5853</v>
      </c>
    </row>
    <row r="12604" spans="1:1" x14ac:dyDescent="0.3">
      <c r="A12604" t="s">
        <v>51</v>
      </c>
    </row>
    <row r="12605" spans="1:1" x14ac:dyDescent="0.3">
      <c r="A12605" t="s">
        <v>52</v>
      </c>
    </row>
    <row r="12606" spans="1:1" x14ac:dyDescent="0.3">
      <c r="A12606" t="s">
        <v>79</v>
      </c>
    </row>
    <row r="12608" spans="1:1" x14ac:dyDescent="0.3">
      <c r="A12608" t="s">
        <v>12</v>
      </c>
    </row>
    <row r="12609" spans="1:1" x14ac:dyDescent="0.3">
      <c r="A12609" t="s">
        <v>13</v>
      </c>
    </row>
    <row r="12610" spans="1:1" x14ac:dyDescent="0.3">
      <c r="A12610" t="s">
        <v>1946</v>
      </c>
    </row>
    <row r="12611" spans="1:1" x14ac:dyDescent="0.3">
      <c r="A12611" t="s">
        <v>5854</v>
      </c>
    </row>
    <row r="12612" spans="1:1" x14ac:dyDescent="0.3">
      <c r="A12612" t="s">
        <v>5855</v>
      </c>
    </row>
    <row r="12613" spans="1:1" x14ac:dyDescent="0.3">
      <c r="A12613" t="s">
        <v>4436</v>
      </c>
    </row>
    <row r="12614" spans="1:1" x14ac:dyDescent="0.3">
      <c r="A12614" t="s">
        <v>110</v>
      </c>
    </row>
    <row r="12615" spans="1:1" x14ac:dyDescent="0.3">
      <c r="A12615" t="s">
        <v>1154</v>
      </c>
    </row>
    <row r="12616" spans="1:1" x14ac:dyDescent="0.3">
      <c r="A12616" t="s">
        <v>5856</v>
      </c>
    </row>
    <row r="12617" spans="1:1" x14ac:dyDescent="0.3">
      <c r="A12617" t="s">
        <v>51</v>
      </c>
    </row>
    <row r="12618" spans="1:1" x14ac:dyDescent="0.3">
      <c r="A12618" t="s">
        <v>52</v>
      </c>
    </row>
    <row r="12619" spans="1:1" x14ac:dyDescent="0.3">
      <c r="A12619" t="s">
        <v>79</v>
      </c>
    </row>
    <row r="12620" spans="1:1" x14ac:dyDescent="0.3">
      <c r="A12620" t="s">
        <v>98</v>
      </c>
    </row>
    <row r="12621" spans="1:1" x14ac:dyDescent="0.3">
      <c r="A12621" t="s">
        <v>13</v>
      </c>
    </row>
    <row r="12622" spans="1:1" x14ac:dyDescent="0.3">
      <c r="A12622" t="s">
        <v>105</v>
      </c>
    </row>
    <row r="12623" spans="1:1" x14ac:dyDescent="0.3">
      <c r="A12623" t="s">
        <v>5857</v>
      </c>
    </row>
    <row r="12624" spans="1:1" x14ac:dyDescent="0.3">
      <c r="A12624" t="s">
        <v>1157</v>
      </c>
    </row>
    <row r="12625" spans="1:1" x14ac:dyDescent="0.3">
      <c r="A12625" t="s">
        <v>5858</v>
      </c>
    </row>
    <row r="12626" spans="1:1" x14ac:dyDescent="0.3">
      <c r="A12626" t="s">
        <v>12</v>
      </c>
    </row>
    <row r="12627" spans="1:1" x14ac:dyDescent="0.3">
      <c r="A12627" t="s">
        <v>13</v>
      </c>
    </row>
    <row r="12628" spans="1:1" x14ac:dyDescent="0.3">
      <c r="A12628" t="s">
        <v>106</v>
      </c>
    </row>
    <row r="12629" spans="1:1" x14ac:dyDescent="0.3">
      <c r="A12629" t="s">
        <v>5859</v>
      </c>
    </row>
    <row r="12630" spans="1:1" x14ac:dyDescent="0.3">
      <c r="A12630" t="s">
        <v>1157</v>
      </c>
    </row>
    <row r="12631" spans="1:1" x14ac:dyDescent="0.3">
      <c r="A12631" t="s">
        <v>5710</v>
      </c>
    </row>
    <row r="12632" spans="1:1" x14ac:dyDescent="0.3">
      <c r="A12632" t="s">
        <v>12</v>
      </c>
    </row>
    <row r="12633" spans="1:1" x14ac:dyDescent="0.3">
      <c r="A12633" t="s">
        <v>40</v>
      </c>
    </row>
    <row r="12635" spans="1:1" x14ac:dyDescent="0.3">
      <c r="A12635" t="s">
        <v>12</v>
      </c>
    </row>
    <row r="12636" spans="1:1" x14ac:dyDescent="0.3">
      <c r="A12636" t="s">
        <v>13</v>
      </c>
    </row>
    <row r="12637" spans="1:1" x14ac:dyDescent="0.3">
      <c r="A12637" t="s">
        <v>1950</v>
      </c>
    </row>
    <row r="12638" spans="1:1" x14ac:dyDescent="0.3">
      <c r="A12638" t="s">
        <v>4770</v>
      </c>
    </row>
    <row r="12639" spans="1:1" x14ac:dyDescent="0.3">
      <c r="A12639" t="s">
        <v>5860</v>
      </c>
    </row>
    <row r="12640" spans="1:1" x14ac:dyDescent="0.3">
      <c r="A12640" t="s">
        <v>4436</v>
      </c>
    </row>
    <row r="12641" spans="1:1" x14ac:dyDescent="0.3">
      <c r="A12641" t="s">
        <v>110</v>
      </c>
    </row>
    <row r="12642" spans="1:1" x14ac:dyDescent="0.3">
      <c r="A12642" t="s">
        <v>1154</v>
      </c>
    </row>
    <row r="12643" spans="1:1" x14ac:dyDescent="0.3">
      <c r="A12643" t="s">
        <v>5861</v>
      </c>
    </row>
    <row r="12644" spans="1:1" x14ac:dyDescent="0.3">
      <c r="A12644" t="s">
        <v>51</v>
      </c>
    </row>
    <row r="12645" spans="1:1" x14ac:dyDescent="0.3">
      <c r="A12645" t="s">
        <v>52</v>
      </c>
    </row>
    <row r="12646" spans="1:1" x14ac:dyDescent="0.3">
      <c r="A12646" t="s">
        <v>79</v>
      </c>
    </row>
    <row r="12647" spans="1:1" x14ac:dyDescent="0.3">
      <c r="A12647" t="s">
        <v>98</v>
      </c>
    </row>
    <row r="12648" spans="1:1" x14ac:dyDescent="0.3">
      <c r="A12648" t="s">
        <v>13</v>
      </c>
    </row>
    <row r="12649" spans="1:1" x14ac:dyDescent="0.3">
      <c r="A12649" t="s">
        <v>105</v>
      </c>
    </row>
    <row r="12650" spans="1:1" x14ac:dyDescent="0.3">
      <c r="A12650" t="s">
        <v>5862</v>
      </c>
    </row>
    <row r="12651" spans="1:1" x14ac:dyDescent="0.3">
      <c r="A12651" t="s">
        <v>1157</v>
      </c>
    </row>
    <row r="12652" spans="1:1" x14ac:dyDescent="0.3">
      <c r="A12652" t="s">
        <v>5863</v>
      </c>
    </row>
    <row r="12653" spans="1:1" x14ac:dyDescent="0.3">
      <c r="A12653" t="s">
        <v>12</v>
      </c>
    </row>
    <row r="12654" spans="1:1" x14ac:dyDescent="0.3">
      <c r="A12654" t="s">
        <v>13</v>
      </c>
    </row>
    <row r="12655" spans="1:1" x14ac:dyDescent="0.3">
      <c r="A12655" t="s">
        <v>106</v>
      </c>
    </row>
    <row r="12656" spans="1:1" x14ac:dyDescent="0.3">
      <c r="A12656" t="s">
        <v>5864</v>
      </c>
    </row>
    <row r="12657" spans="1:1" x14ac:dyDescent="0.3">
      <c r="A12657" t="s">
        <v>1157</v>
      </c>
    </row>
    <row r="12658" spans="1:1" x14ac:dyDescent="0.3">
      <c r="A12658" t="s">
        <v>1858</v>
      </c>
    </row>
    <row r="12659" spans="1:1" x14ac:dyDescent="0.3">
      <c r="A12659" t="s">
        <v>12</v>
      </c>
    </row>
    <row r="12660" spans="1:1" x14ac:dyDescent="0.3">
      <c r="A12660" t="s">
        <v>40</v>
      </c>
    </row>
    <row r="12662" spans="1:1" x14ac:dyDescent="0.3">
      <c r="A12662" t="s">
        <v>12</v>
      </c>
    </row>
    <row r="12663" spans="1:1" x14ac:dyDescent="0.3">
      <c r="A12663" t="s">
        <v>13</v>
      </c>
    </row>
    <row r="12664" spans="1:1" x14ac:dyDescent="0.3">
      <c r="A12664" t="s">
        <v>1953</v>
      </c>
    </row>
    <row r="12665" spans="1:1" x14ac:dyDescent="0.3">
      <c r="A12665" t="s">
        <v>5865</v>
      </c>
    </row>
    <row r="12666" spans="1:1" x14ac:dyDescent="0.3">
      <c r="A12666" t="s">
        <v>5866</v>
      </c>
    </row>
    <row r="12667" spans="1:1" x14ac:dyDescent="0.3">
      <c r="A12667" t="s">
        <v>4436</v>
      </c>
    </row>
    <row r="12668" spans="1:1" x14ac:dyDescent="0.3">
      <c r="A12668" t="s">
        <v>110</v>
      </c>
    </row>
    <row r="12669" spans="1:1" x14ac:dyDescent="0.3">
      <c r="A12669" t="s">
        <v>5867</v>
      </c>
    </row>
    <row r="12670" spans="1:1" x14ac:dyDescent="0.3">
      <c r="A12670" t="s">
        <v>5868</v>
      </c>
    </row>
    <row r="12671" spans="1:1" x14ac:dyDescent="0.3">
      <c r="A12671" t="s">
        <v>51</v>
      </c>
    </row>
    <row r="12672" spans="1:1" x14ac:dyDescent="0.3">
      <c r="A12672" t="s">
        <v>52</v>
      </c>
    </row>
    <row r="12673" spans="1:1" x14ac:dyDescent="0.3">
      <c r="A12673" t="s">
        <v>79</v>
      </c>
    </row>
    <row r="12674" spans="1:1" x14ac:dyDescent="0.3">
      <c r="A12674" t="s">
        <v>98</v>
      </c>
    </row>
    <row r="12675" spans="1:1" x14ac:dyDescent="0.3">
      <c r="A12675" t="s">
        <v>13</v>
      </c>
    </row>
    <row r="12676" spans="1:1" x14ac:dyDescent="0.3">
      <c r="A12676" t="s">
        <v>105</v>
      </c>
    </row>
    <row r="12677" spans="1:1" x14ac:dyDescent="0.3">
      <c r="A12677" t="s">
        <v>5869</v>
      </c>
    </row>
    <row r="12678" spans="1:1" x14ac:dyDescent="0.3">
      <c r="A12678" t="s">
        <v>1157</v>
      </c>
    </row>
    <row r="12679" spans="1:1" x14ac:dyDescent="0.3">
      <c r="A12679" t="s">
        <v>5870</v>
      </c>
    </row>
    <row r="12680" spans="1:1" x14ac:dyDescent="0.3">
      <c r="A12680" t="s">
        <v>12</v>
      </c>
    </row>
    <row r="12681" spans="1:1" x14ac:dyDescent="0.3">
      <c r="A12681" t="s">
        <v>13</v>
      </c>
    </row>
    <row r="12682" spans="1:1" x14ac:dyDescent="0.3">
      <c r="A12682" t="s">
        <v>106</v>
      </c>
    </row>
    <row r="12683" spans="1:1" x14ac:dyDescent="0.3">
      <c r="A12683" t="s">
        <v>5871</v>
      </c>
    </row>
    <row r="12684" spans="1:1" x14ac:dyDescent="0.3">
      <c r="A12684" t="s">
        <v>1157</v>
      </c>
    </row>
    <row r="12685" spans="1:1" x14ac:dyDescent="0.3">
      <c r="A12685" t="s">
        <v>5872</v>
      </c>
    </row>
    <row r="12686" spans="1:1" x14ac:dyDescent="0.3">
      <c r="A12686" t="s">
        <v>12</v>
      </c>
    </row>
    <row r="12687" spans="1:1" x14ac:dyDescent="0.3">
      <c r="A12687" t="s">
        <v>40</v>
      </c>
    </row>
    <row r="12689" spans="1:1" x14ac:dyDescent="0.3">
      <c r="A12689" t="s">
        <v>12</v>
      </c>
    </row>
    <row r="12690" spans="1:1" x14ac:dyDescent="0.3">
      <c r="A12690" t="s">
        <v>40</v>
      </c>
    </row>
    <row r="12691" spans="1:1" x14ac:dyDescent="0.3">
      <c r="A12691" t="s">
        <v>12</v>
      </c>
    </row>
    <row r="12692" spans="1:1" x14ac:dyDescent="0.3">
      <c r="A12692" t="s">
        <v>13</v>
      </c>
    </row>
    <row r="12693" spans="1:1" x14ac:dyDescent="0.3">
      <c r="A12693" t="s">
        <v>5873</v>
      </c>
    </row>
    <row r="12694" spans="1:1" x14ac:dyDescent="0.3">
      <c r="A12694" t="s">
        <v>5874</v>
      </c>
    </row>
    <row r="12695" spans="1:1" x14ac:dyDescent="0.3">
      <c r="A12695" t="s">
        <v>39</v>
      </c>
    </row>
    <row r="12696" spans="1:1" x14ac:dyDescent="0.3">
      <c r="A12696" t="s">
        <v>13</v>
      </c>
    </row>
    <row r="12697" spans="1:1" x14ac:dyDescent="0.3">
      <c r="A12697" t="s">
        <v>50</v>
      </c>
    </row>
    <row r="12698" spans="1:1" x14ac:dyDescent="0.3">
      <c r="A12698" t="s">
        <v>5875</v>
      </c>
    </row>
    <row r="12699" spans="1:1" x14ac:dyDescent="0.3">
      <c r="A12699" t="s">
        <v>5876</v>
      </c>
    </row>
    <row r="12700" spans="1:1" x14ac:dyDescent="0.3">
      <c r="A12700" t="s">
        <v>4436</v>
      </c>
    </row>
    <row r="12701" spans="1:1" x14ac:dyDescent="0.3">
      <c r="A12701" t="s">
        <v>110</v>
      </c>
    </row>
    <row r="12702" spans="1:1" x14ac:dyDescent="0.3">
      <c r="A12702" t="s">
        <v>5877</v>
      </c>
    </row>
    <row r="12703" spans="1:1" x14ac:dyDescent="0.3">
      <c r="A12703" t="s">
        <v>5878</v>
      </c>
    </row>
    <row r="12704" spans="1:1" x14ac:dyDescent="0.3">
      <c r="A12704" t="s">
        <v>51</v>
      </c>
    </row>
    <row r="12705" spans="1:1" x14ac:dyDescent="0.3">
      <c r="A12705" t="s">
        <v>52</v>
      </c>
    </row>
    <row r="12706" spans="1:1" x14ac:dyDescent="0.3">
      <c r="A12706" t="s">
        <v>79</v>
      </c>
    </row>
    <row r="12707" spans="1:1" x14ac:dyDescent="0.3">
      <c r="A12707" t="s">
        <v>98</v>
      </c>
    </row>
    <row r="12708" spans="1:1" x14ac:dyDescent="0.3">
      <c r="A12708" t="s">
        <v>13</v>
      </c>
    </row>
    <row r="12709" spans="1:1" x14ac:dyDescent="0.3">
      <c r="A12709" t="s">
        <v>105</v>
      </c>
    </row>
    <row r="12710" spans="1:1" x14ac:dyDescent="0.3">
      <c r="A12710" t="s">
        <v>5879</v>
      </c>
    </row>
    <row r="12711" spans="1:1" x14ac:dyDescent="0.3">
      <c r="A12711" t="s">
        <v>1157</v>
      </c>
    </row>
    <row r="12712" spans="1:1" x14ac:dyDescent="0.3">
      <c r="A12712" t="s">
        <v>5880</v>
      </c>
    </row>
    <row r="12713" spans="1:1" x14ac:dyDescent="0.3">
      <c r="A12713" t="s">
        <v>12</v>
      </c>
    </row>
    <row r="12714" spans="1:1" x14ac:dyDescent="0.3">
      <c r="A12714" t="s">
        <v>13</v>
      </c>
    </row>
    <row r="12715" spans="1:1" x14ac:dyDescent="0.3">
      <c r="A12715" t="s">
        <v>106</v>
      </c>
    </row>
    <row r="12716" spans="1:1" x14ac:dyDescent="0.3">
      <c r="A12716" t="s">
        <v>5881</v>
      </c>
    </row>
    <row r="12717" spans="1:1" x14ac:dyDescent="0.3">
      <c r="A12717" t="s">
        <v>1157</v>
      </c>
    </row>
    <row r="12718" spans="1:1" x14ac:dyDescent="0.3">
      <c r="A12718" t="s">
        <v>5882</v>
      </c>
    </row>
    <row r="12719" spans="1:1" x14ac:dyDescent="0.3">
      <c r="A12719" t="s">
        <v>12</v>
      </c>
    </row>
    <row r="12720" spans="1:1" x14ac:dyDescent="0.3">
      <c r="A12720" t="s">
        <v>40</v>
      </c>
    </row>
    <row r="12722" spans="1:1" x14ac:dyDescent="0.3">
      <c r="A12722" t="s">
        <v>12</v>
      </c>
    </row>
    <row r="12723" spans="1:1" x14ac:dyDescent="0.3">
      <c r="A12723" t="s">
        <v>13</v>
      </c>
    </row>
    <row r="12724" spans="1:1" x14ac:dyDescent="0.3">
      <c r="A12724" t="s">
        <v>53</v>
      </c>
    </row>
    <row r="12725" spans="1:1" x14ac:dyDescent="0.3">
      <c r="A12725" t="s">
        <v>5883</v>
      </c>
    </row>
    <row r="12726" spans="1:1" x14ac:dyDescent="0.3">
      <c r="A12726" t="s">
        <v>5884</v>
      </c>
    </row>
    <row r="12727" spans="1:1" x14ac:dyDescent="0.3">
      <c r="A12727" t="s">
        <v>4436</v>
      </c>
    </row>
    <row r="12728" spans="1:1" x14ac:dyDescent="0.3">
      <c r="A12728" t="s">
        <v>110</v>
      </c>
    </row>
    <row r="12729" spans="1:1" x14ac:dyDescent="0.3">
      <c r="A12729" t="s">
        <v>5885</v>
      </c>
    </row>
    <row r="12730" spans="1:1" x14ac:dyDescent="0.3">
      <c r="A12730" t="s">
        <v>5886</v>
      </c>
    </row>
    <row r="12731" spans="1:1" x14ac:dyDescent="0.3">
      <c r="A12731" t="s">
        <v>51</v>
      </c>
    </row>
    <row r="12732" spans="1:1" x14ac:dyDescent="0.3">
      <c r="A12732" t="s">
        <v>52</v>
      </c>
    </row>
    <row r="12733" spans="1:1" x14ac:dyDescent="0.3">
      <c r="A12733" t="s">
        <v>79</v>
      </c>
    </row>
    <row r="12734" spans="1:1" x14ac:dyDescent="0.3">
      <c r="A12734" t="s">
        <v>98</v>
      </c>
    </row>
    <row r="12735" spans="1:1" x14ac:dyDescent="0.3">
      <c r="A12735" t="s">
        <v>13</v>
      </c>
    </row>
    <row r="12736" spans="1:1" x14ac:dyDescent="0.3">
      <c r="A12736" t="s">
        <v>105</v>
      </c>
    </row>
    <row r="12737" spans="1:1" x14ac:dyDescent="0.3">
      <c r="A12737" t="s">
        <v>5887</v>
      </c>
    </row>
    <row r="12738" spans="1:1" x14ac:dyDescent="0.3">
      <c r="A12738" t="s">
        <v>1157</v>
      </c>
    </row>
    <row r="12739" spans="1:1" x14ac:dyDescent="0.3">
      <c r="A12739" t="s">
        <v>5888</v>
      </c>
    </row>
    <row r="12740" spans="1:1" x14ac:dyDescent="0.3">
      <c r="A12740" t="s">
        <v>12</v>
      </c>
    </row>
    <row r="12741" spans="1:1" x14ac:dyDescent="0.3">
      <c r="A12741" t="s">
        <v>13</v>
      </c>
    </row>
    <row r="12742" spans="1:1" x14ac:dyDescent="0.3">
      <c r="A12742" t="s">
        <v>106</v>
      </c>
    </row>
    <row r="12743" spans="1:1" x14ac:dyDescent="0.3">
      <c r="A12743" t="s">
        <v>5889</v>
      </c>
    </row>
    <row r="12744" spans="1:1" x14ac:dyDescent="0.3">
      <c r="A12744" t="s">
        <v>1157</v>
      </c>
    </row>
    <row r="12745" spans="1:1" x14ac:dyDescent="0.3">
      <c r="A12745" t="s">
        <v>5890</v>
      </c>
    </row>
    <row r="12746" spans="1:1" x14ac:dyDescent="0.3">
      <c r="A12746" t="s">
        <v>12</v>
      </c>
    </row>
    <row r="12747" spans="1:1" x14ac:dyDescent="0.3">
      <c r="A12747" t="s">
        <v>40</v>
      </c>
    </row>
    <row r="12749" spans="1:1" x14ac:dyDescent="0.3">
      <c r="A12749" t="s">
        <v>12</v>
      </c>
    </row>
    <row r="12750" spans="1:1" x14ac:dyDescent="0.3">
      <c r="A12750" t="s">
        <v>13</v>
      </c>
    </row>
    <row r="12751" spans="1:1" x14ac:dyDescent="0.3">
      <c r="A12751" t="s">
        <v>54</v>
      </c>
    </row>
    <row r="12752" spans="1:1" x14ac:dyDescent="0.3">
      <c r="A12752" t="s">
        <v>5891</v>
      </c>
    </row>
    <row r="12753" spans="1:1" x14ac:dyDescent="0.3">
      <c r="A12753" t="s">
        <v>5892</v>
      </c>
    </row>
    <row r="12754" spans="1:1" x14ac:dyDescent="0.3">
      <c r="A12754" t="s">
        <v>4436</v>
      </c>
    </row>
    <row r="12755" spans="1:1" x14ac:dyDescent="0.3">
      <c r="A12755" t="s">
        <v>110</v>
      </c>
    </row>
    <row r="12756" spans="1:1" x14ac:dyDescent="0.3">
      <c r="A12756" t="s">
        <v>5893</v>
      </c>
    </row>
    <row r="12757" spans="1:1" x14ac:dyDescent="0.3">
      <c r="A12757" t="s">
        <v>5894</v>
      </c>
    </row>
    <row r="12758" spans="1:1" x14ac:dyDescent="0.3">
      <c r="A12758" t="s">
        <v>51</v>
      </c>
    </row>
    <row r="12759" spans="1:1" x14ac:dyDescent="0.3">
      <c r="A12759" t="s">
        <v>52</v>
      </c>
    </row>
    <row r="12760" spans="1:1" x14ac:dyDescent="0.3">
      <c r="A12760" t="s">
        <v>79</v>
      </c>
    </row>
    <row r="12761" spans="1:1" x14ac:dyDescent="0.3">
      <c r="A12761" t="s">
        <v>98</v>
      </c>
    </row>
    <row r="12762" spans="1:1" x14ac:dyDescent="0.3">
      <c r="A12762" t="s">
        <v>13</v>
      </c>
    </row>
    <row r="12763" spans="1:1" x14ac:dyDescent="0.3">
      <c r="A12763" t="s">
        <v>105</v>
      </c>
    </row>
    <row r="12764" spans="1:1" x14ac:dyDescent="0.3">
      <c r="A12764" t="s">
        <v>5895</v>
      </c>
    </row>
    <row r="12765" spans="1:1" x14ac:dyDescent="0.3">
      <c r="A12765" t="s">
        <v>1157</v>
      </c>
    </row>
    <row r="12766" spans="1:1" x14ac:dyDescent="0.3">
      <c r="A12766" t="s">
        <v>5896</v>
      </c>
    </row>
    <row r="12767" spans="1:1" x14ac:dyDescent="0.3">
      <c r="A12767" t="s">
        <v>12</v>
      </c>
    </row>
    <row r="12768" spans="1:1" x14ac:dyDescent="0.3">
      <c r="A12768" t="s">
        <v>13</v>
      </c>
    </row>
    <row r="12769" spans="1:1" x14ac:dyDescent="0.3">
      <c r="A12769" t="s">
        <v>106</v>
      </c>
    </row>
    <row r="12770" spans="1:1" x14ac:dyDescent="0.3">
      <c r="A12770" t="s">
        <v>5897</v>
      </c>
    </row>
    <row r="12771" spans="1:1" x14ac:dyDescent="0.3">
      <c r="A12771" t="s">
        <v>1157</v>
      </c>
    </row>
    <row r="12772" spans="1:1" x14ac:dyDescent="0.3">
      <c r="A12772" t="s">
        <v>5898</v>
      </c>
    </row>
    <row r="12773" spans="1:1" x14ac:dyDescent="0.3">
      <c r="A12773" t="s">
        <v>12</v>
      </c>
    </row>
    <row r="12774" spans="1:1" x14ac:dyDescent="0.3">
      <c r="A12774" t="s">
        <v>40</v>
      </c>
    </row>
    <row r="12776" spans="1:1" x14ac:dyDescent="0.3">
      <c r="A12776" t="s">
        <v>12</v>
      </c>
    </row>
    <row r="12777" spans="1:1" x14ac:dyDescent="0.3">
      <c r="A12777" t="s">
        <v>13</v>
      </c>
    </row>
    <row r="12778" spans="1:1" x14ac:dyDescent="0.3">
      <c r="A12778" t="s">
        <v>107</v>
      </c>
    </row>
    <row r="12779" spans="1:1" x14ac:dyDescent="0.3">
      <c r="A12779" t="s">
        <v>5899</v>
      </c>
    </row>
    <row r="12780" spans="1:1" x14ac:dyDescent="0.3">
      <c r="A12780" t="s">
        <v>5900</v>
      </c>
    </row>
    <row r="12781" spans="1:1" x14ac:dyDescent="0.3">
      <c r="A12781" t="s">
        <v>4436</v>
      </c>
    </row>
    <row r="12782" spans="1:1" x14ac:dyDescent="0.3">
      <c r="A12782" t="s">
        <v>110</v>
      </c>
    </row>
    <row r="12783" spans="1:1" x14ac:dyDescent="0.3">
      <c r="A12783" t="s">
        <v>5901</v>
      </c>
    </row>
    <row r="12784" spans="1:1" x14ac:dyDescent="0.3">
      <c r="A12784" t="s">
        <v>5902</v>
      </c>
    </row>
    <row r="12785" spans="1:1" x14ac:dyDescent="0.3">
      <c r="A12785" t="s">
        <v>51</v>
      </c>
    </row>
    <row r="12786" spans="1:1" x14ac:dyDescent="0.3">
      <c r="A12786" t="s">
        <v>52</v>
      </c>
    </row>
    <row r="12787" spans="1:1" x14ac:dyDescent="0.3">
      <c r="A12787" t="s">
        <v>79</v>
      </c>
    </row>
    <row r="12788" spans="1:1" x14ac:dyDescent="0.3">
      <c r="A12788" t="s">
        <v>98</v>
      </c>
    </row>
    <row r="12789" spans="1:1" x14ac:dyDescent="0.3">
      <c r="A12789" t="s">
        <v>13</v>
      </c>
    </row>
    <row r="12790" spans="1:1" x14ac:dyDescent="0.3">
      <c r="A12790" t="s">
        <v>105</v>
      </c>
    </row>
    <row r="12791" spans="1:1" x14ac:dyDescent="0.3">
      <c r="A12791" t="s">
        <v>5903</v>
      </c>
    </row>
    <row r="12792" spans="1:1" x14ac:dyDescent="0.3">
      <c r="A12792" t="s">
        <v>1157</v>
      </c>
    </row>
    <row r="12793" spans="1:1" x14ac:dyDescent="0.3">
      <c r="A12793" t="s">
        <v>5904</v>
      </c>
    </row>
    <row r="12794" spans="1:1" x14ac:dyDescent="0.3">
      <c r="A12794" t="s">
        <v>12</v>
      </c>
    </row>
    <row r="12795" spans="1:1" x14ac:dyDescent="0.3">
      <c r="A12795" t="s">
        <v>13</v>
      </c>
    </row>
    <row r="12796" spans="1:1" x14ac:dyDescent="0.3">
      <c r="A12796" t="s">
        <v>106</v>
      </c>
    </row>
    <row r="12797" spans="1:1" x14ac:dyDescent="0.3">
      <c r="A12797" t="s">
        <v>5905</v>
      </c>
    </row>
    <row r="12798" spans="1:1" x14ac:dyDescent="0.3">
      <c r="A12798" t="s">
        <v>1157</v>
      </c>
    </row>
    <row r="12799" spans="1:1" x14ac:dyDescent="0.3">
      <c r="A12799" t="s">
        <v>5906</v>
      </c>
    </row>
    <row r="12800" spans="1:1" x14ac:dyDescent="0.3">
      <c r="A12800" t="s">
        <v>12</v>
      </c>
    </row>
    <row r="12801" spans="1:1" x14ac:dyDescent="0.3">
      <c r="A12801" t="s">
        <v>40</v>
      </c>
    </row>
    <row r="12803" spans="1:1" x14ac:dyDescent="0.3">
      <c r="A12803" t="s">
        <v>12</v>
      </c>
    </row>
    <row r="12804" spans="1:1" x14ac:dyDescent="0.3">
      <c r="A12804" t="s">
        <v>13</v>
      </c>
    </row>
    <row r="12805" spans="1:1" x14ac:dyDescent="0.3">
      <c r="A12805" t="s">
        <v>108</v>
      </c>
    </row>
    <row r="12806" spans="1:1" x14ac:dyDescent="0.3">
      <c r="A12806" t="s">
        <v>5907</v>
      </c>
    </row>
    <row r="12807" spans="1:1" x14ac:dyDescent="0.3">
      <c r="A12807" t="s">
        <v>5908</v>
      </c>
    </row>
    <row r="12808" spans="1:1" x14ac:dyDescent="0.3">
      <c r="A12808" t="s">
        <v>4436</v>
      </c>
    </row>
    <row r="12809" spans="1:1" x14ac:dyDescent="0.3">
      <c r="A12809" t="s">
        <v>110</v>
      </c>
    </row>
    <row r="12810" spans="1:1" x14ac:dyDescent="0.3">
      <c r="A12810" t="s">
        <v>5909</v>
      </c>
    </row>
    <row r="12811" spans="1:1" x14ac:dyDescent="0.3">
      <c r="A12811" t="s">
        <v>5910</v>
      </c>
    </row>
    <row r="12812" spans="1:1" x14ac:dyDescent="0.3">
      <c r="A12812" t="s">
        <v>51</v>
      </c>
    </row>
    <row r="12813" spans="1:1" x14ac:dyDescent="0.3">
      <c r="A12813" t="s">
        <v>52</v>
      </c>
    </row>
    <row r="12814" spans="1:1" x14ac:dyDescent="0.3">
      <c r="A12814" t="s">
        <v>79</v>
      </c>
    </row>
    <row r="12815" spans="1:1" x14ac:dyDescent="0.3">
      <c r="A12815" t="s">
        <v>98</v>
      </c>
    </row>
    <row r="12816" spans="1:1" x14ac:dyDescent="0.3">
      <c r="A12816" t="s">
        <v>13</v>
      </c>
    </row>
    <row r="12817" spans="1:1" x14ac:dyDescent="0.3">
      <c r="A12817" t="s">
        <v>105</v>
      </c>
    </row>
    <row r="12818" spans="1:1" x14ac:dyDescent="0.3">
      <c r="A12818" t="s">
        <v>5911</v>
      </c>
    </row>
    <row r="12819" spans="1:1" x14ac:dyDescent="0.3">
      <c r="A12819" t="s">
        <v>1157</v>
      </c>
    </row>
    <row r="12820" spans="1:1" x14ac:dyDescent="0.3">
      <c r="A12820" t="s">
        <v>5912</v>
      </c>
    </row>
    <row r="12821" spans="1:1" x14ac:dyDescent="0.3">
      <c r="A12821" t="s">
        <v>12</v>
      </c>
    </row>
    <row r="12822" spans="1:1" x14ac:dyDescent="0.3">
      <c r="A12822" t="s">
        <v>13</v>
      </c>
    </row>
    <row r="12823" spans="1:1" x14ac:dyDescent="0.3">
      <c r="A12823" t="s">
        <v>106</v>
      </c>
    </row>
    <row r="12824" spans="1:1" x14ac:dyDescent="0.3">
      <c r="A12824" t="s">
        <v>5913</v>
      </c>
    </row>
    <row r="12825" spans="1:1" x14ac:dyDescent="0.3">
      <c r="A12825" t="s">
        <v>1157</v>
      </c>
    </row>
    <row r="12826" spans="1:1" x14ac:dyDescent="0.3">
      <c r="A12826" t="s">
        <v>5914</v>
      </c>
    </row>
    <row r="12827" spans="1:1" x14ac:dyDescent="0.3">
      <c r="A12827" t="s">
        <v>12</v>
      </c>
    </row>
    <row r="12828" spans="1:1" x14ac:dyDescent="0.3">
      <c r="A12828" t="s">
        <v>40</v>
      </c>
    </row>
    <row r="12830" spans="1:1" x14ac:dyDescent="0.3">
      <c r="A12830" t="s">
        <v>12</v>
      </c>
    </row>
    <row r="12831" spans="1:1" x14ac:dyDescent="0.3">
      <c r="A12831" t="s">
        <v>13</v>
      </c>
    </row>
    <row r="12832" spans="1:1" x14ac:dyDescent="0.3">
      <c r="A12832" t="s">
        <v>1184</v>
      </c>
    </row>
    <row r="12833" spans="1:1" x14ac:dyDescent="0.3">
      <c r="A12833" t="s">
        <v>5915</v>
      </c>
    </row>
    <row r="12834" spans="1:1" x14ac:dyDescent="0.3">
      <c r="A12834" t="s">
        <v>5916</v>
      </c>
    </row>
    <row r="12835" spans="1:1" x14ac:dyDescent="0.3">
      <c r="A12835" t="s">
        <v>4436</v>
      </c>
    </row>
    <row r="12836" spans="1:1" x14ac:dyDescent="0.3">
      <c r="A12836" t="s">
        <v>110</v>
      </c>
    </row>
    <row r="12837" spans="1:1" x14ac:dyDescent="0.3">
      <c r="A12837" t="s">
        <v>5917</v>
      </c>
    </row>
    <row r="12838" spans="1:1" x14ac:dyDescent="0.3">
      <c r="A12838" t="s">
        <v>5918</v>
      </c>
    </row>
    <row r="12839" spans="1:1" x14ac:dyDescent="0.3">
      <c r="A12839" t="s">
        <v>51</v>
      </c>
    </row>
    <row r="12840" spans="1:1" x14ac:dyDescent="0.3">
      <c r="A12840" t="s">
        <v>52</v>
      </c>
    </row>
    <row r="12841" spans="1:1" x14ac:dyDescent="0.3">
      <c r="A12841" t="s">
        <v>79</v>
      </c>
    </row>
    <row r="12842" spans="1:1" x14ac:dyDescent="0.3">
      <c r="A12842" t="s">
        <v>98</v>
      </c>
    </row>
    <row r="12843" spans="1:1" x14ac:dyDescent="0.3">
      <c r="A12843" t="s">
        <v>13</v>
      </c>
    </row>
    <row r="12844" spans="1:1" x14ac:dyDescent="0.3">
      <c r="A12844" t="s">
        <v>105</v>
      </c>
    </row>
    <row r="12845" spans="1:1" x14ac:dyDescent="0.3">
      <c r="A12845" t="s">
        <v>5919</v>
      </c>
    </row>
    <row r="12846" spans="1:1" x14ac:dyDescent="0.3">
      <c r="A12846" t="s">
        <v>1157</v>
      </c>
    </row>
    <row r="12847" spans="1:1" x14ac:dyDescent="0.3">
      <c r="A12847" t="s">
        <v>5920</v>
      </c>
    </row>
    <row r="12848" spans="1:1" x14ac:dyDescent="0.3">
      <c r="A12848" t="s">
        <v>12</v>
      </c>
    </row>
    <row r="12849" spans="1:1" x14ac:dyDescent="0.3">
      <c r="A12849" t="s">
        <v>13</v>
      </c>
    </row>
    <row r="12850" spans="1:1" x14ac:dyDescent="0.3">
      <c r="A12850" t="s">
        <v>106</v>
      </c>
    </row>
    <row r="12851" spans="1:1" x14ac:dyDescent="0.3">
      <c r="A12851" t="s">
        <v>5921</v>
      </c>
    </row>
    <row r="12852" spans="1:1" x14ac:dyDescent="0.3">
      <c r="A12852" t="s">
        <v>1157</v>
      </c>
    </row>
    <row r="12853" spans="1:1" x14ac:dyDescent="0.3">
      <c r="A12853" t="s">
        <v>5922</v>
      </c>
    </row>
    <row r="12854" spans="1:1" x14ac:dyDescent="0.3">
      <c r="A12854" t="s">
        <v>12</v>
      </c>
    </row>
    <row r="12855" spans="1:1" x14ac:dyDescent="0.3">
      <c r="A12855" t="s">
        <v>40</v>
      </c>
    </row>
    <row r="12857" spans="1:1" x14ac:dyDescent="0.3">
      <c r="A12857" t="s">
        <v>12</v>
      </c>
    </row>
    <row r="12858" spans="1:1" x14ac:dyDescent="0.3">
      <c r="A12858" t="s">
        <v>13</v>
      </c>
    </row>
    <row r="12859" spans="1:1" x14ac:dyDescent="0.3">
      <c r="A12859" t="s">
        <v>1187</v>
      </c>
    </row>
    <row r="12860" spans="1:1" x14ac:dyDescent="0.3">
      <c r="A12860" t="s">
        <v>5923</v>
      </c>
    </row>
    <row r="12861" spans="1:1" x14ac:dyDescent="0.3">
      <c r="A12861" t="s">
        <v>5924</v>
      </c>
    </row>
    <row r="12862" spans="1:1" x14ac:dyDescent="0.3">
      <c r="A12862" t="s">
        <v>4436</v>
      </c>
    </row>
    <row r="12863" spans="1:1" x14ac:dyDescent="0.3">
      <c r="A12863" t="s">
        <v>110</v>
      </c>
    </row>
    <row r="12864" spans="1:1" x14ac:dyDescent="0.3">
      <c r="A12864" t="s">
        <v>5925</v>
      </c>
    </row>
    <row r="12865" spans="1:1" x14ac:dyDescent="0.3">
      <c r="A12865" t="s">
        <v>5926</v>
      </c>
    </row>
    <row r="12866" spans="1:1" x14ac:dyDescent="0.3">
      <c r="A12866" t="s">
        <v>51</v>
      </c>
    </row>
    <row r="12867" spans="1:1" x14ac:dyDescent="0.3">
      <c r="A12867" t="s">
        <v>52</v>
      </c>
    </row>
    <row r="12868" spans="1:1" x14ac:dyDescent="0.3">
      <c r="A12868" t="s">
        <v>79</v>
      </c>
    </row>
    <row r="12869" spans="1:1" x14ac:dyDescent="0.3">
      <c r="A12869" t="s">
        <v>98</v>
      </c>
    </row>
    <row r="12870" spans="1:1" x14ac:dyDescent="0.3">
      <c r="A12870" t="s">
        <v>13</v>
      </c>
    </row>
    <row r="12871" spans="1:1" x14ac:dyDescent="0.3">
      <c r="A12871" t="s">
        <v>105</v>
      </c>
    </row>
    <row r="12872" spans="1:1" x14ac:dyDescent="0.3">
      <c r="A12872" t="s">
        <v>5927</v>
      </c>
    </row>
    <row r="12873" spans="1:1" x14ac:dyDescent="0.3">
      <c r="A12873" t="s">
        <v>1157</v>
      </c>
    </row>
    <row r="12874" spans="1:1" x14ac:dyDescent="0.3">
      <c r="A12874" t="s">
        <v>5928</v>
      </c>
    </row>
    <row r="12875" spans="1:1" x14ac:dyDescent="0.3">
      <c r="A12875" t="s">
        <v>12</v>
      </c>
    </row>
    <row r="12876" spans="1:1" x14ac:dyDescent="0.3">
      <c r="A12876" t="s">
        <v>13</v>
      </c>
    </row>
    <row r="12877" spans="1:1" x14ac:dyDescent="0.3">
      <c r="A12877" t="s">
        <v>106</v>
      </c>
    </row>
    <row r="12878" spans="1:1" x14ac:dyDescent="0.3">
      <c r="A12878" t="s">
        <v>5929</v>
      </c>
    </row>
    <row r="12879" spans="1:1" x14ac:dyDescent="0.3">
      <c r="A12879" t="s">
        <v>1157</v>
      </c>
    </row>
    <row r="12880" spans="1:1" x14ac:dyDescent="0.3">
      <c r="A12880" t="s">
        <v>5930</v>
      </c>
    </row>
    <row r="12881" spans="1:1" x14ac:dyDescent="0.3">
      <c r="A12881" t="s">
        <v>12</v>
      </c>
    </row>
    <row r="12882" spans="1:1" x14ac:dyDescent="0.3">
      <c r="A12882" t="s">
        <v>40</v>
      </c>
    </row>
    <row r="12884" spans="1:1" x14ac:dyDescent="0.3">
      <c r="A12884" t="s">
        <v>12</v>
      </c>
    </row>
    <row r="12885" spans="1:1" x14ac:dyDescent="0.3">
      <c r="A12885" t="s">
        <v>13</v>
      </c>
    </row>
    <row r="12886" spans="1:1" x14ac:dyDescent="0.3">
      <c r="A12886" t="s">
        <v>1190</v>
      </c>
    </row>
    <row r="12887" spans="1:1" x14ac:dyDescent="0.3">
      <c r="A12887" t="s">
        <v>5931</v>
      </c>
    </row>
    <row r="12888" spans="1:1" x14ac:dyDescent="0.3">
      <c r="A12888" t="s">
        <v>5932</v>
      </c>
    </row>
    <row r="12889" spans="1:1" x14ac:dyDescent="0.3">
      <c r="A12889" t="s">
        <v>4436</v>
      </c>
    </row>
    <row r="12890" spans="1:1" x14ac:dyDescent="0.3">
      <c r="A12890" t="s">
        <v>110</v>
      </c>
    </row>
    <row r="12891" spans="1:1" x14ac:dyDescent="0.3">
      <c r="A12891" t="s">
        <v>5933</v>
      </c>
    </row>
    <row r="12892" spans="1:1" x14ac:dyDescent="0.3">
      <c r="A12892" t="s">
        <v>5934</v>
      </c>
    </row>
    <row r="12893" spans="1:1" x14ac:dyDescent="0.3">
      <c r="A12893" t="s">
        <v>51</v>
      </c>
    </row>
    <row r="12894" spans="1:1" x14ac:dyDescent="0.3">
      <c r="A12894" t="s">
        <v>52</v>
      </c>
    </row>
    <row r="12895" spans="1:1" x14ac:dyDescent="0.3">
      <c r="A12895" t="s">
        <v>79</v>
      </c>
    </row>
    <row r="12896" spans="1:1" x14ac:dyDescent="0.3">
      <c r="A12896" t="s">
        <v>98</v>
      </c>
    </row>
    <row r="12897" spans="1:1" x14ac:dyDescent="0.3">
      <c r="A12897" t="s">
        <v>13</v>
      </c>
    </row>
    <row r="12898" spans="1:1" x14ac:dyDescent="0.3">
      <c r="A12898" t="s">
        <v>105</v>
      </c>
    </row>
    <row r="12899" spans="1:1" x14ac:dyDescent="0.3">
      <c r="A12899" t="s">
        <v>5935</v>
      </c>
    </row>
    <row r="12900" spans="1:1" x14ac:dyDescent="0.3">
      <c r="A12900" t="s">
        <v>1157</v>
      </c>
    </row>
    <row r="12901" spans="1:1" x14ac:dyDescent="0.3">
      <c r="A12901" t="s">
        <v>5936</v>
      </c>
    </row>
    <row r="12902" spans="1:1" x14ac:dyDescent="0.3">
      <c r="A12902" t="s">
        <v>12</v>
      </c>
    </row>
    <row r="12903" spans="1:1" x14ac:dyDescent="0.3">
      <c r="A12903" t="s">
        <v>13</v>
      </c>
    </row>
    <row r="12904" spans="1:1" x14ac:dyDescent="0.3">
      <c r="A12904" t="s">
        <v>106</v>
      </c>
    </row>
    <row r="12905" spans="1:1" x14ac:dyDescent="0.3">
      <c r="A12905" t="s">
        <v>5937</v>
      </c>
    </row>
    <row r="12906" spans="1:1" x14ac:dyDescent="0.3">
      <c r="A12906" t="s">
        <v>1157</v>
      </c>
    </row>
    <row r="12907" spans="1:1" x14ac:dyDescent="0.3">
      <c r="A12907" t="s">
        <v>5938</v>
      </c>
    </row>
    <row r="12908" spans="1:1" x14ac:dyDescent="0.3">
      <c r="A12908" t="s">
        <v>12</v>
      </c>
    </row>
    <row r="12909" spans="1:1" x14ac:dyDescent="0.3">
      <c r="A12909" t="s">
        <v>40</v>
      </c>
    </row>
    <row r="12911" spans="1:1" x14ac:dyDescent="0.3">
      <c r="A12911" t="s">
        <v>12</v>
      </c>
    </row>
    <row r="12912" spans="1:1" x14ac:dyDescent="0.3">
      <c r="A12912" t="s">
        <v>40</v>
      </c>
    </row>
    <row r="12913" spans="1:1" x14ac:dyDescent="0.3">
      <c r="A12913" t="s">
        <v>12</v>
      </c>
    </row>
    <row r="12914" spans="1:1" x14ac:dyDescent="0.3">
      <c r="A12914" t="s">
        <v>13</v>
      </c>
    </row>
    <row r="12915" spans="1:1" x14ac:dyDescent="0.3">
      <c r="A12915" t="s">
        <v>5939</v>
      </c>
    </row>
    <row r="12916" spans="1:1" x14ac:dyDescent="0.3">
      <c r="A12916" t="s">
        <v>5940</v>
      </c>
    </row>
    <row r="12917" spans="1:1" x14ac:dyDescent="0.3">
      <c r="A12917" t="s">
        <v>39</v>
      </c>
    </row>
    <row r="12918" spans="1:1" x14ac:dyDescent="0.3">
      <c r="A12918" t="s">
        <v>13</v>
      </c>
    </row>
    <row r="12919" spans="1:1" x14ac:dyDescent="0.3">
      <c r="A12919" t="s">
        <v>50</v>
      </c>
    </row>
    <row r="12920" spans="1:1" x14ac:dyDescent="0.3">
      <c r="A12920" t="s">
        <v>5941</v>
      </c>
    </row>
    <row r="12921" spans="1:1" x14ac:dyDescent="0.3">
      <c r="A12921" t="s">
        <v>5942</v>
      </c>
    </row>
    <row r="12922" spans="1:1" x14ac:dyDescent="0.3">
      <c r="A12922" t="s">
        <v>4436</v>
      </c>
    </row>
    <row r="12923" spans="1:1" x14ac:dyDescent="0.3">
      <c r="A12923" t="s">
        <v>110</v>
      </c>
    </row>
    <row r="12924" spans="1:1" x14ac:dyDescent="0.3">
      <c r="A12924" t="s">
        <v>1154</v>
      </c>
    </row>
    <row r="12925" spans="1:1" x14ac:dyDescent="0.3">
      <c r="A12925" t="s">
        <v>5943</v>
      </c>
    </row>
    <row r="12926" spans="1:1" x14ac:dyDescent="0.3">
      <c r="A12926" t="s">
        <v>51</v>
      </c>
    </row>
    <row r="12927" spans="1:1" x14ac:dyDescent="0.3">
      <c r="A12927" t="s">
        <v>52</v>
      </c>
    </row>
    <row r="12928" spans="1:1" x14ac:dyDescent="0.3">
      <c r="A12928" t="s">
        <v>79</v>
      </c>
    </row>
    <row r="12929" spans="1:1" x14ac:dyDescent="0.3">
      <c r="A12929" t="s">
        <v>98</v>
      </c>
    </row>
    <row r="12930" spans="1:1" x14ac:dyDescent="0.3">
      <c r="A12930" t="s">
        <v>13</v>
      </c>
    </row>
    <row r="12931" spans="1:1" x14ac:dyDescent="0.3">
      <c r="A12931" t="s">
        <v>105</v>
      </c>
    </row>
    <row r="12932" spans="1:1" x14ac:dyDescent="0.3">
      <c r="A12932" t="s">
        <v>5944</v>
      </c>
    </row>
    <row r="12933" spans="1:1" x14ac:dyDescent="0.3">
      <c r="A12933" t="s">
        <v>1157</v>
      </c>
    </row>
    <row r="12934" spans="1:1" x14ac:dyDescent="0.3">
      <c r="A12934" t="s">
        <v>5945</v>
      </c>
    </row>
    <row r="12935" spans="1:1" x14ac:dyDescent="0.3">
      <c r="A12935" t="s">
        <v>12</v>
      </c>
    </row>
    <row r="12936" spans="1:1" x14ac:dyDescent="0.3">
      <c r="A12936" t="s">
        <v>13</v>
      </c>
    </row>
    <row r="12937" spans="1:1" x14ac:dyDescent="0.3">
      <c r="A12937" t="s">
        <v>106</v>
      </c>
    </row>
    <row r="12938" spans="1:1" x14ac:dyDescent="0.3">
      <c r="A12938" t="s">
        <v>5946</v>
      </c>
    </row>
    <row r="12939" spans="1:1" x14ac:dyDescent="0.3">
      <c r="A12939" t="s">
        <v>1157</v>
      </c>
    </row>
    <row r="12940" spans="1:1" x14ac:dyDescent="0.3">
      <c r="A12940" t="s">
        <v>5947</v>
      </c>
    </row>
    <row r="12941" spans="1:1" x14ac:dyDescent="0.3">
      <c r="A12941" t="s">
        <v>12</v>
      </c>
    </row>
    <row r="12942" spans="1:1" x14ac:dyDescent="0.3">
      <c r="A12942" t="s">
        <v>40</v>
      </c>
    </row>
    <row r="12944" spans="1:1" x14ac:dyDescent="0.3">
      <c r="A12944" t="s">
        <v>12</v>
      </c>
    </row>
    <row r="12945" spans="1:1" x14ac:dyDescent="0.3">
      <c r="A12945" t="s">
        <v>13</v>
      </c>
    </row>
    <row r="12946" spans="1:1" x14ac:dyDescent="0.3">
      <c r="A12946" t="s">
        <v>53</v>
      </c>
    </row>
    <row r="12947" spans="1:1" x14ac:dyDescent="0.3">
      <c r="A12947" t="s">
        <v>5948</v>
      </c>
    </row>
    <row r="12948" spans="1:1" x14ac:dyDescent="0.3">
      <c r="A12948" t="s">
        <v>5949</v>
      </c>
    </row>
    <row r="12949" spans="1:1" x14ac:dyDescent="0.3">
      <c r="A12949" t="s">
        <v>4436</v>
      </c>
    </row>
    <row r="12950" spans="1:1" x14ac:dyDescent="0.3">
      <c r="A12950" t="s">
        <v>110</v>
      </c>
    </row>
    <row r="12951" spans="1:1" x14ac:dyDescent="0.3">
      <c r="A12951" t="s">
        <v>5950</v>
      </c>
    </row>
    <row r="12952" spans="1:1" x14ac:dyDescent="0.3">
      <c r="A12952" t="s">
        <v>5951</v>
      </c>
    </row>
    <row r="12953" spans="1:1" x14ac:dyDescent="0.3">
      <c r="A12953" t="s">
        <v>51</v>
      </c>
    </row>
    <row r="12954" spans="1:1" x14ac:dyDescent="0.3">
      <c r="A12954" t="s">
        <v>52</v>
      </c>
    </row>
    <row r="12955" spans="1:1" x14ac:dyDescent="0.3">
      <c r="A12955" t="s">
        <v>79</v>
      </c>
    </row>
    <row r="12957" spans="1:1" x14ac:dyDescent="0.3">
      <c r="A12957" t="s">
        <v>12</v>
      </c>
    </row>
    <row r="12958" spans="1:1" x14ac:dyDescent="0.3">
      <c r="A12958" t="s">
        <v>13</v>
      </c>
    </row>
    <row r="12959" spans="1:1" x14ac:dyDescent="0.3">
      <c r="A12959" t="s">
        <v>54</v>
      </c>
    </row>
    <row r="12960" spans="1:1" x14ac:dyDescent="0.3">
      <c r="A12960" t="s">
        <v>5952</v>
      </c>
    </row>
    <row r="12961" spans="1:1" x14ac:dyDescent="0.3">
      <c r="A12961" t="s">
        <v>5953</v>
      </c>
    </row>
    <row r="12962" spans="1:1" x14ac:dyDescent="0.3">
      <c r="A12962" t="s">
        <v>4436</v>
      </c>
    </row>
    <row r="12963" spans="1:1" x14ac:dyDescent="0.3">
      <c r="A12963" t="s">
        <v>110</v>
      </c>
    </row>
    <row r="12964" spans="1:1" x14ac:dyDescent="0.3">
      <c r="A12964" t="s">
        <v>5954</v>
      </c>
    </row>
    <row r="12965" spans="1:1" x14ac:dyDescent="0.3">
      <c r="A12965" t="s">
        <v>5955</v>
      </c>
    </row>
    <row r="12966" spans="1:1" x14ac:dyDescent="0.3">
      <c r="A12966" t="s">
        <v>51</v>
      </c>
    </row>
    <row r="12967" spans="1:1" x14ac:dyDescent="0.3">
      <c r="A12967" t="s">
        <v>52</v>
      </c>
    </row>
    <row r="12968" spans="1:1" x14ac:dyDescent="0.3">
      <c r="A12968" t="s">
        <v>79</v>
      </c>
    </row>
    <row r="12970" spans="1:1" x14ac:dyDescent="0.3">
      <c r="A12970" t="s">
        <v>12</v>
      </c>
    </row>
    <row r="12971" spans="1:1" x14ac:dyDescent="0.3">
      <c r="A12971" t="s">
        <v>13</v>
      </c>
    </row>
    <row r="12972" spans="1:1" x14ac:dyDescent="0.3">
      <c r="A12972" t="s">
        <v>107</v>
      </c>
    </row>
    <row r="12973" spans="1:1" x14ac:dyDescent="0.3">
      <c r="A12973" t="s">
        <v>5956</v>
      </c>
    </row>
    <row r="12974" spans="1:1" x14ac:dyDescent="0.3">
      <c r="A12974" t="s">
        <v>5957</v>
      </c>
    </row>
    <row r="12975" spans="1:1" x14ac:dyDescent="0.3">
      <c r="A12975" t="s">
        <v>4436</v>
      </c>
    </row>
    <row r="12976" spans="1:1" x14ac:dyDescent="0.3">
      <c r="A12976" t="s">
        <v>110</v>
      </c>
    </row>
    <row r="12977" spans="1:1" x14ac:dyDescent="0.3">
      <c r="A12977" t="s">
        <v>1154</v>
      </c>
    </row>
    <row r="12978" spans="1:1" x14ac:dyDescent="0.3">
      <c r="A12978" t="s">
        <v>5958</v>
      </c>
    </row>
    <row r="12979" spans="1:1" x14ac:dyDescent="0.3">
      <c r="A12979" t="s">
        <v>51</v>
      </c>
    </row>
    <row r="12980" spans="1:1" x14ac:dyDescent="0.3">
      <c r="A12980" t="s">
        <v>52</v>
      </c>
    </row>
    <row r="12981" spans="1:1" x14ac:dyDescent="0.3">
      <c r="A12981" t="s">
        <v>79</v>
      </c>
    </row>
    <row r="12983" spans="1:1" x14ac:dyDescent="0.3">
      <c r="A12983" t="s">
        <v>12</v>
      </c>
    </row>
    <row r="12984" spans="1:1" x14ac:dyDescent="0.3">
      <c r="A12984" t="s">
        <v>13</v>
      </c>
    </row>
    <row r="12985" spans="1:1" x14ac:dyDescent="0.3">
      <c r="A12985" t="s">
        <v>108</v>
      </c>
    </row>
    <row r="12986" spans="1:1" x14ac:dyDescent="0.3">
      <c r="A12986" t="s">
        <v>5959</v>
      </c>
    </row>
    <row r="12987" spans="1:1" x14ac:dyDescent="0.3">
      <c r="A12987" t="s">
        <v>5960</v>
      </c>
    </row>
    <row r="12988" spans="1:1" x14ac:dyDescent="0.3">
      <c r="A12988" t="s">
        <v>4436</v>
      </c>
    </row>
    <row r="12989" spans="1:1" x14ac:dyDescent="0.3">
      <c r="A12989" t="s">
        <v>110</v>
      </c>
    </row>
    <row r="12990" spans="1:1" x14ac:dyDescent="0.3">
      <c r="A12990" t="s">
        <v>1154</v>
      </c>
    </row>
    <row r="12991" spans="1:1" x14ac:dyDescent="0.3">
      <c r="A12991" t="s">
        <v>5961</v>
      </c>
    </row>
    <row r="12992" spans="1:1" x14ac:dyDescent="0.3">
      <c r="A12992" t="s">
        <v>51</v>
      </c>
    </row>
    <row r="12993" spans="1:1" x14ac:dyDescent="0.3">
      <c r="A12993" t="s">
        <v>52</v>
      </c>
    </row>
    <row r="12994" spans="1:1" x14ac:dyDescent="0.3">
      <c r="A12994" t="s">
        <v>79</v>
      </c>
    </row>
    <row r="12996" spans="1:1" x14ac:dyDescent="0.3">
      <c r="A12996" t="s">
        <v>12</v>
      </c>
    </row>
    <row r="12997" spans="1:1" x14ac:dyDescent="0.3">
      <c r="A12997" t="s">
        <v>13</v>
      </c>
    </row>
    <row r="12998" spans="1:1" x14ac:dyDescent="0.3">
      <c r="A12998" t="s">
        <v>1184</v>
      </c>
    </row>
    <row r="12999" spans="1:1" x14ac:dyDescent="0.3">
      <c r="A12999" t="s">
        <v>5962</v>
      </c>
    </row>
    <row r="13000" spans="1:1" x14ac:dyDescent="0.3">
      <c r="A13000" t="s">
        <v>5963</v>
      </c>
    </row>
    <row r="13001" spans="1:1" x14ac:dyDescent="0.3">
      <c r="A13001" t="s">
        <v>4436</v>
      </c>
    </row>
    <row r="13002" spans="1:1" x14ac:dyDescent="0.3">
      <c r="A13002" t="s">
        <v>110</v>
      </c>
    </row>
    <row r="13003" spans="1:1" x14ac:dyDescent="0.3">
      <c r="A13003" t="s">
        <v>1154</v>
      </c>
    </row>
    <row r="13004" spans="1:1" x14ac:dyDescent="0.3">
      <c r="A13004" t="s">
        <v>5964</v>
      </c>
    </row>
    <row r="13005" spans="1:1" x14ac:dyDescent="0.3">
      <c r="A13005" t="s">
        <v>51</v>
      </c>
    </row>
    <row r="13006" spans="1:1" x14ac:dyDescent="0.3">
      <c r="A13006" t="s">
        <v>52</v>
      </c>
    </row>
    <row r="13007" spans="1:1" x14ac:dyDescent="0.3">
      <c r="A13007" t="s">
        <v>79</v>
      </c>
    </row>
    <row r="13008" spans="1:1" x14ac:dyDescent="0.3">
      <c r="A13008" t="s">
        <v>98</v>
      </c>
    </row>
    <row r="13009" spans="1:1" x14ac:dyDescent="0.3">
      <c r="A13009" t="s">
        <v>13</v>
      </c>
    </row>
    <row r="13010" spans="1:1" x14ac:dyDescent="0.3">
      <c r="A13010" t="s">
        <v>105</v>
      </c>
    </row>
    <row r="13011" spans="1:1" x14ac:dyDescent="0.3">
      <c r="A13011" t="s">
        <v>5965</v>
      </c>
    </row>
    <row r="13012" spans="1:1" x14ac:dyDescent="0.3">
      <c r="A13012" t="s">
        <v>1157</v>
      </c>
    </row>
    <row r="13013" spans="1:1" x14ac:dyDescent="0.3">
      <c r="A13013" t="s">
        <v>5966</v>
      </c>
    </row>
    <row r="13014" spans="1:1" x14ac:dyDescent="0.3">
      <c r="A13014" t="s">
        <v>12</v>
      </c>
    </row>
    <row r="13015" spans="1:1" x14ac:dyDescent="0.3">
      <c r="A13015" t="s">
        <v>13</v>
      </c>
    </row>
    <row r="13016" spans="1:1" x14ac:dyDescent="0.3">
      <c r="A13016" t="s">
        <v>106</v>
      </c>
    </row>
    <row r="13017" spans="1:1" x14ac:dyDescent="0.3">
      <c r="A13017" t="s">
        <v>5967</v>
      </c>
    </row>
    <row r="13018" spans="1:1" x14ac:dyDescent="0.3">
      <c r="A13018" t="s">
        <v>1157</v>
      </c>
    </row>
    <row r="13019" spans="1:1" x14ac:dyDescent="0.3">
      <c r="A13019" t="s">
        <v>5968</v>
      </c>
    </row>
    <row r="13020" spans="1:1" x14ac:dyDescent="0.3">
      <c r="A13020" t="s">
        <v>12</v>
      </c>
    </row>
    <row r="13021" spans="1:1" x14ac:dyDescent="0.3">
      <c r="A13021" t="s">
        <v>40</v>
      </c>
    </row>
    <row r="13023" spans="1:1" x14ac:dyDescent="0.3">
      <c r="A13023" t="s">
        <v>12</v>
      </c>
    </row>
    <row r="13024" spans="1:1" x14ac:dyDescent="0.3">
      <c r="A13024" t="s">
        <v>13</v>
      </c>
    </row>
    <row r="13025" spans="1:1" x14ac:dyDescent="0.3">
      <c r="A13025" t="s">
        <v>1187</v>
      </c>
    </row>
    <row r="13026" spans="1:1" x14ac:dyDescent="0.3">
      <c r="A13026" t="s">
        <v>5969</v>
      </c>
    </row>
    <row r="13027" spans="1:1" x14ac:dyDescent="0.3">
      <c r="A13027" t="s">
        <v>5970</v>
      </c>
    </row>
    <row r="13028" spans="1:1" x14ac:dyDescent="0.3">
      <c r="A13028" t="s">
        <v>4436</v>
      </c>
    </row>
    <row r="13029" spans="1:1" x14ac:dyDescent="0.3">
      <c r="A13029" t="s">
        <v>110</v>
      </c>
    </row>
    <row r="13030" spans="1:1" x14ac:dyDescent="0.3">
      <c r="A13030" t="s">
        <v>1154</v>
      </c>
    </row>
    <row r="13031" spans="1:1" x14ac:dyDescent="0.3">
      <c r="A13031" t="s">
        <v>5971</v>
      </c>
    </row>
    <row r="13032" spans="1:1" x14ac:dyDescent="0.3">
      <c r="A13032" t="s">
        <v>51</v>
      </c>
    </row>
    <row r="13033" spans="1:1" x14ac:dyDescent="0.3">
      <c r="A13033" t="s">
        <v>52</v>
      </c>
    </row>
    <row r="13034" spans="1:1" x14ac:dyDescent="0.3">
      <c r="A13034" t="s">
        <v>79</v>
      </c>
    </row>
    <row r="13035" spans="1:1" x14ac:dyDescent="0.3">
      <c r="A13035" t="s">
        <v>98</v>
      </c>
    </row>
    <row r="13036" spans="1:1" x14ac:dyDescent="0.3">
      <c r="A13036" t="s">
        <v>13</v>
      </c>
    </row>
    <row r="13037" spans="1:1" x14ac:dyDescent="0.3">
      <c r="A13037" t="s">
        <v>105</v>
      </c>
    </row>
    <row r="13038" spans="1:1" x14ac:dyDescent="0.3">
      <c r="A13038" t="s">
        <v>5972</v>
      </c>
    </row>
    <row r="13039" spans="1:1" x14ac:dyDescent="0.3">
      <c r="A13039" t="s">
        <v>1157</v>
      </c>
    </row>
    <row r="13040" spans="1:1" x14ac:dyDescent="0.3">
      <c r="A13040" t="s">
        <v>5973</v>
      </c>
    </row>
    <row r="13041" spans="1:1" x14ac:dyDescent="0.3">
      <c r="A13041" t="s">
        <v>12</v>
      </c>
    </row>
    <row r="13042" spans="1:1" x14ac:dyDescent="0.3">
      <c r="A13042" t="s">
        <v>13</v>
      </c>
    </row>
    <row r="13043" spans="1:1" x14ac:dyDescent="0.3">
      <c r="A13043" t="s">
        <v>106</v>
      </c>
    </row>
    <row r="13044" spans="1:1" x14ac:dyDescent="0.3">
      <c r="A13044" t="s">
        <v>5974</v>
      </c>
    </row>
    <row r="13045" spans="1:1" x14ac:dyDescent="0.3">
      <c r="A13045" t="s">
        <v>1157</v>
      </c>
    </row>
    <row r="13046" spans="1:1" x14ac:dyDescent="0.3">
      <c r="A13046" t="s">
        <v>5975</v>
      </c>
    </row>
    <row r="13047" spans="1:1" x14ac:dyDescent="0.3">
      <c r="A13047" t="s">
        <v>12</v>
      </c>
    </row>
    <row r="13048" spans="1:1" x14ac:dyDescent="0.3">
      <c r="A13048" t="s">
        <v>40</v>
      </c>
    </row>
    <row r="13050" spans="1:1" x14ac:dyDescent="0.3">
      <c r="A13050" t="s">
        <v>12</v>
      </c>
    </row>
    <row r="13051" spans="1:1" x14ac:dyDescent="0.3">
      <c r="A13051" t="s">
        <v>13</v>
      </c>
    </row>
    <row r="13052" spans="1:1" x14ac:dyDescent="0.3">
      <c r="A13052" t="s">
        <v>1190</v>
      </c>
    </row>
    <row r="13053" spans="1:1" x14ac:dyDescent="0.3">
      <c r="A13053" t="s">
        <v>5976</v>
      </c>
    </row>
    <row r="13054" spans="1:1" x14ac:dyDescent="0.3">
      <c r="A13054" t="s">
        <v>5977</v>
      </c>
    </row>
    <row r="13055" spans="1:1" x14ac:dyDescent="0.3">
      <c r="A13055" t="s">
        <v>4436</v>
      </c>
    </row>
    <row r="13056" spans="1:1" x14ac:dyDescent="0.3">
      <c r="A13056" t="s">
        <v>110</v>
      </c>
    </row>
    <row r="13057" spans="1:1" x14ac:dyDescent="0.3">
      <c r="A13057" t="s">
        <v>1154</v>
      </c>
    </row>
    <row r="13058" spans="1:1" x14ac:dyDescent="0.3">
      <c r="A13058" t="s">
        <v>5978</v>
      </c>
    </row>
    <row r="13059" spans="1:1" x14ac:dyDescent="0.3">
      <c r="A13059" t="s">
        <v>51</v>
      </c>
    </row>
    <row r="13060" spans="1:1" x14ac:dyDescent="0.3">
      <c r="A13060" t="s">
        <v>52</v>
      </c>
    </row>
    <row r="13061" spans="1:1" x14ac:dyDescent="0.3">
      <c r="A13061" t="s">
        <v>79</v>
      </c>
    </row>
    <row r="13063" spans="1:1" x14ac:dyDescent="0.3">
      <c r="A13063" t="s">
        <v>12</v>
      </c>
    </row>
    <row r="13064" spans="1:1" x14ac:dyDescent="0.3">
      <c r="A13064" t="s">
        <v>13</v>
      </c>
    </row>
    <row r="13065" spans="1:1" x14ac:dyDescent="0.3">
      <c r="A13065" t="s">
        <v>1193</v>
      </c>
    </row>
    <row r="13066" spans="1:1" x14ac:dyDescent="0.3">
      <c r="A13066" t="s">
        <v>5979</v>
      </c>
    </row>
    <row r="13067" spans="1:1" x14ac:dyDescent="0.3">
      <c r="A13067" t="s">
        <v>5980</v>
      </c>
    </row>
    <row r="13068" spans="1:1" x14ac:dyDescent="0.3">
      <c r="A13068" t="s">
        <v>4436</v>
      </c>
    </row>
    <row r="13069" spans="1:1" x14ac:dyDescent="0.3">
      <c r="A13069" t="s">
        <v>110</v>
      </c>
    </row>
    <row r="13070" spans="1:1" x14ac:dyDescent="0.3">
      <c r="A13070" t="s">
        <v>1154</v>
      </c>
    </row>
    <row r="13071" spans="1:1" x14ac:dyDescent="0.3">
      <c r="A13071" t="s">
        <v>5981</v>
      </c>
    </row>
    <row r="13072" spans="1:1" x14ac:dyDescent="0.3">
      <c r="A13072" t="s">
        <v>51</v>
      </c>
    </row>
    <row r="13073" spans="1:1" x14ac:dyDescent="0.3">
      <c r="A13073" t="s">
        <v>52</v>
      </c>
    </row>
    <row r="13074" spans="1:1" x14ac:dyDescent="0.3">
      <c r="A13074" t="s">
        <v>79</v>
      </c>
    </row>
    <row r="13076" spans="1:1" x14ac:dyDescent="0.3">
      <c r="A13076" t="s">
        <v>12</v>
      </c>
    </row>
    <row r="13077" spans="1:1" x14ac:dyDescent="0.3">
      <c r="A13077" t="s">
        <v>13</v>
      </c>
    </row>
    <row r="13078" spans="1:1" x14ac:dyDescent="0.3">
      <c r="A13078" t="s">
        <v>1201</v>
      </c>
    </row>
    <row r="13079" spans="1:1" x14ac:dyDescent="0.3">
      <c r="A13079" t="s">
        <v>5982</v>
      </c>
    </row>
    <row r="13080" spans="1:1" x14ac:dyDescent="0.3">
      <c r="A13080" t="s">
        <v>5983</v>
      </c>
    </row>
    <row r="13081" spans="1:1" x14ac:dyDescent="0.3">
      <c r="A13081" t="s">
        <v>4436</v>
      </c>
    </row>
    <row r="13082" spans="1:1" x14ac:dyDescent="0.3">
      <c r="A13082" t="s">
        <v>110</v>
      </c>
    </row>
    <row r="13083" spans="1:1" x14ac:dyDescent="0.3">
      <c r="A13083" t="s">
        <v>1154</v>
      </c>
    </row>
    <row r="13084" spans="1:1" x14ac:dyDescent="0.3">
      <c r="A13084" t="s">
        <v>5984</v>
      </c>
    </row>
    <row r="13085" spans="1:1" x14ac:dyDescent="0.3">
      <c r="A13085" t="s">
        <v>51</v>
      </c>
    </row>
    <row r="13086" spans="1:1" x14ac:dyDescent="0.3">
      <c r="A13086" t="s">
        <v>52</v>
      </c>
    </row>
    <row r="13087" spans="1:1" x14ac:dyDescent="0.3">
      <c r="A13087" t="s">
        <v>79</v>
      </c>
    </row>
    <row r="13089" spans="1:1" x14ac:dyDescent="0.3">
      <c r="A13089" t="s">
        <v>12</v>
      </c>
    </row>
    <row r="13090" spans="1:1" x14ac:dyDescent="0.3">
      <c r="A13090" t="s">
        <v>13</v>
      </c>
    </row>
    <row r="13091" spans="1:1" x14ac:dyDescent="0.3">
      <c r="A13091" t="s">
        <v>1204</v>
      </c>
    </row>
    <row r="13092" spans="1:1" x14ac:dyDescent="0.3">
      <c r="A13092" t="s">
        <v>5985</v>
      </c>
    </row>
    <row r="13093" spans="1:1" x14ac:dyDescent="0.3">
      <c r="A13093" t="s">
        <v>5986</v>
      </c>
    </row>
    <row r="13094" spans="1:1" x14ac:dyDescent="0.3">
      <c r="A13094" t="s">
        <v>4436</v>
      </c>
    </row>
    <row r="13095" spans="1:1" x14ac:dyDescent="0.3">
      <c r="A13095" t="s">
        <v>110</v>
      </c>
    </row>
    <row r="13096" spans="1:1" x14ac:dyDescent="0.3">
      <c r="A13096" t="s">
        <v>1154</v>
      </c>
    </row>
    <row r="13097" spans="1:1" x14ac:dyDescent="0.3">
      <c r="A13097" t="s">
        <v>5987</v>
      </c>
    </row>
    <row r="13098" spans="1:1" x14ac:dyDescent="0.3">
      <c r="A13098" t="s">
        <v>51</v>
      </c>
    </row>
    <row r="13099" spans="1:1" x14ac:dyDescent="0.3">
      <c r="A13099" t="s">
        <v>52</v>
      </c>
    </row>
    <row r="13100" spans="1:1" x14ac:dyDescent="0.3">
      <c r="A13100" t="s">
        <v>79</v>
      </c>
    </row>
    <row r="13102" spans="1:1" x14ac:dyDescent="0.3">
      <c r="A13102" t="s">
        <v>12</v>
      </c>
    </row>
    <row r="13103" spans="1:1" x14ac:dyDescent="0.3">
      <c r="A13103" t="s">
        <v>40</v>
      </c>
    </row>
    <row r="13104" spans="1:1" x14ac:dyDescent="0.3">
      <c r="A13104" t="s">
        <v>12</v>
      </c>
    </row>
    <row r="13105" spans="1:1" x14ac:dyDescent="0.3">
      <c r="A13105" t="s">
        <v>13</v>
      </c>
    </row>
    <row r="13106" spans="1:1" x14ac:dyDescent="0.3">
      <c r="A13106" t="s">
        <v>5988</v>
      </c>
    </row>
    <row r="13107" spans="1:1" x14ac:dyDescent="0.3">
      <c r="A13107" t="s">
        <v>5989</v>
      </c>
    </row>
    <row r="13108" spans="1:1" x14ac:dyDescent="0.3">
      <c r="A13108" t="s">
        <v>39</v>
      </c>
    </row>
    <row r="13109" spans="1:1" x14ac:dyDescent="0.3">
      <c r="A13109" t="s">
        <v>13</v>
      </c>
    </row>
    <row r="13110" spans="1:1" x14ac:dyDescent="0.3">
      <c r="A13110" t="s">
        <v>50</v>
      </c>
    </row>
    <row r="13111" spans="1:1" x14ac:dyDescent="0.3">
      <c r="A13111" t="s">
        <v>5990</v>
      </c>
    </row>
    <row r="13112" spans="1:1" x14ac:dyDescent="0.3">
      <c r="A13112" t="s">
        <v>5991</v>
      </c>
    </row>
    <row r="13113" spans="1:1" x14ac:dyDescent="0.3">
      <c r="A13113" t="s">
        <v>4436</v>
      </c>
    </row>
    <row r="13114" spans="1:1" x14ac:dyDescent="0.3">
      <c r="A13114" t="s">
        <v>110</v>
      </c>
    </row>
    <row r="13115" spans="1:1" x14ac:dyDescent="0.3">
      <c r="A13115" t="s">
        <v>1154</v>
      </c>
    </row>
    <row r="13116" spans="1:1" x14ac:dyDescent="0.3">
      <c r="A13116" t="s">
        <v>5992</v>
      </c>
    </row>
    <row r="13117" spans="1:1" x14ac:dyDescent="0.3">
      <c r="A13117" t="s">
        <v>51</v>
      </c>
    </row>
    <row r="13118" spans="1:1" x14ac:dyDescent="0.3">
      <c r="A13118" t="s">
        <v>52</v>
      </c>
    </row>
    <row r="13119" spans="1:1" x14ac:dyDescent="0.3">
      <c r="A13119" t="s">
        <v>79</v>
      </c>
    </row>
    <row r="13120" spans="1:1" x14ac:dyDescent="0.3">
      <c r="A13120" t="s">
        <v>98</v>
      </c>
    </row>
    <row r="13121" spans="1:1" x14ac:dyDescent="0.3">
      <c r="A13121" t="s">
        <v>13</v>
      </c>
    </row>
    <row r="13122" spans="1:1" x14ac:dyDescent="0.3">
      <c r="A13122" t="s">
        <v>105</v>
      </c>
    </row>
    <row r="13123" spans="1:1" x14ac:dyDescent="0.3">
      <c r="A13123" t="s">
        <v>5993</v>
      </c>
    </row>
    <row r="13124" spans="1:1" x14ac:dyDescent="0.3">
      <c r="A13124" t="s">
        <v>1157</v>
      </c>
    </row>
    <row r="13125" spans="1:1" x14ac:dyDescent="0.3">
      <c r="A13125" t="s">
        <v>5545</v>
      </c>
    </row>
    <row r="13126" spans="1:1" x14ac:dyDescent="0.3">
      <c r="A13126" t="s">
        <v>12</v>
      </c>
    </row>
    <row r="13127" spans="1:1" x14ac:dyDescent="0.3">
      <c r="A13127" t="s">
        <v>13</v>
      </c>
    </row>
    <row r="13128" spans="1:1" x14ac:dyDescent="0.3">
      <c r="A13128" t="s">
        <v>106</v>
      </c>
    </row>
    <row r="13129" spans="1:1" x14ac:dyDescent="0.3">
      <c r="A13129" t="s">
        <v>5994</v>
      </c>
    </row>
    <row r="13130" spans="1:1" x14ac:dyDescent="0.3">
      <c r="A13130" t="s">
        <v>1157</v>
      </c>
    </row>
    <row r="13131" spans="1:1" x14ac:dyDescent="0.3">
      <c r="A13131" t="s">
        <v>5995</v>
      </c>
    </row>
    <row r="13132" spans="1:1" x14ac:dyDescent="0.3">
      <c r="A13132" t="s">
        <v>12</v>
      </c>
    </row>
    <row r="13133" spans="1:1" x14ac:dyDescent="0.3">
      <c r="A13133" t="s">
        <v>40</v>
      </c>
    </row>
    <row r="13135" spans="1:1" x14ac:dyDescent="0.3">
      <c r="A13135" t="s">
        <v>12</v>
      </c>
    </row>
    <row r="13136" spans="1:1" x14ac:dyDescent="0.3">
      <c r="A13136" t="s">
        <v>13</v>
      </c>
    </row>
    <row r="13137" spans="1:1" x14ac:dyDescent="0.3">
      <c r="A13137" t="s">
        <v>53</v>
      </c>
    </row>
    <row r="13138" spans="1:1" x14ac:dyDescent="0.3">
      <c r="A13138" t="s">
        <v>5378</v>
      </c>
    </row>
    <row r="13139" spans="1:1" x14ac:dyDescent="0.3">
      <c r="A13139" t="s">
        <v>5996</v>
      </c>
    </row>
    <row r="13140" spans="1:1" x14ac:dyDescent="0.3">
      <c r="A13140" t="s">
        <v>4436</v>
      </c>
    </row>
    <row r="13141" spans="1:1" x14ac:dyDescent="0.3">
      <c r="A13141" t="s">
        <v>110</v>
      </c>
    </row>
    <row r="13142" spans="1:1" x14ac:dyDescent="0.3">
      <c r="A13142" t="s">
        <v>1154</v>
      </c>
    </row>
    <row r="13143" spans="1:1" x14ac:dyDescent="0.3">
      <c r="A13143" t="s">
        <v>5997</v>
      </c>
    </row>
    <row r="13144" spans="1:1" x14ac:dyDescent="0.3">
      <c r="A13144" t="s">
        <v>51</v>
      </c>
    </row>
    <row r="13145" spans="1:1" x14ac:dyDescent="0.3">
      <c r="A13145" t="s">
        <v>52</v>
      </c>
    </row>
    <row r="13146" spans="1:1" x14ac:dyDescent="0.3">
      <c r="A13146" t="s">
        <v>79</v>
      </c>
    </row>
    <row r="13147" spans="1:1" x14ac:dyDescent="0.3">
      <c r="A13147" t="s">
        <v>98</v>
      </c>
    </row>
    <row r="13148" spans="1:1" x14ac:dyDescent="0.3">
      <c r="A13148" t="s">
        <v>13</v>
      </c>
    </row>
    <row r="13149" spans="1:1" x14ac:dyDescent="0.3">
      <c r="A13149" t="s">
        <v>105</v>
      </c>
    </row>
    <row r="13150" spans="1:1" x14ac:dyDescent="0.3">
      <c r="A13150" t="s">
        <v>5998</v>
      </c>
    </row>
    <row r="13151" spans="1:1" x14ac:dyDescent="0.3">
      <c r="A13151" t="s">
        <v>1157</v>
      </c>
    </row>
    <row r="13152" spans="1:1" x14ac:dyDescent="0.3">
      <c r="A13152" t="s">
        <v>5382</v>
      </c>
    </row>
    <row r="13153" spans="1:1" x14ac:dyDescent="0.3">
      <c r="A13153" t="s">
        <v>12</v>
      </c>
    </row>
    <row r="13154" spans="1:1" x14ac:dyDescent="0.3">
      <c r="A13154" t="s">
        <v>13</v>
      </c>
    </row>
    <row r="13155" spans="1:1" x14ac:dyDescent="0.3">
      <c r="A13155" t="s">
        <v>106</v>
      </c>
    </row>
    <row r="13156" spans="1:1" x14ac:dyDescent="0.3">
      <c r="A13156" t="s">
        <v>5999</v>
      </c>
    </row>
    <row r="13157" spans="1:1" x14ac:dyDescent="0.3">
      <c r="A13157" t="s">
        <v>1157</v>
      </c>
    </row>
    <row r="13158" spans="1:1" x14ac:dyDescent="0.3">
      <c r="A13158" t="s">
        <v>6000</v>
      </c>
    </row>
    <row r="13159" spans="1:1" x14ac:dyDescent="0.3">
      <c r="A13159" t="s">
        <v>12</v>
      </c>
    </row>
    <row r="13160" spans="1:1" x14ac:dyDescent="0.3">
      <c r="A13160" t="s">
        <v>40</v>
      </c>
    </row>
    <row r="13162" spans="1:1" x14ac:dyDescent="0.3">
      <c r="A13162" t="s">
        <v>12</v>
      </c>
    </row>
    <row r="13163" spans="1:1" x14ac:dyDescent="0.3">
      <c r="A13163" t="s">
        <v>13</v>
      </c>
    </row>
    <row r="13164" spans="1:1" x14ac:dyDescent="0.3">
      <c r="A13164" t="s">
        <v>54</v>
      </c>
    </row>
    <row r="13165" spans="1:1" x14ac:dyDescent="0.3">
      <c r="A13165" t="s">
        <v>5465</v>
      </c>
    </row>
    <row r="13166" spans="1:1" x14ac:dyDescent="0.3">
      <c r="A13166" t="s">
        <v>6001</v>
      </c>
    </row>
    <row r="13167" spans="1:1" x14ac:dyDescent="0.3">
      <c r="A13167" t="s">
        <v>4436</v>
      </c>
    </row>
    <row r="13168" spans="1:1" x14ac:dyDescent="0.3">
      <c r="A13168" t="s">
        <v>110</v>
      </c>
    </row>
    <row r="13169" spans="1:1" x14ac:dyDescent="0.3">
      <c r="A13169" t="s">
        <v>1154</v>
      </c>
    </row>
    <row r="13170" spans="1:1" x14ac:dyDescent="0.3">
      <c r="A13170" t="s">
        <v>6002</v>
      </c>
    </row>
    <row r="13171" spans="1:1" x14ac:dyDescent="0.3">
      <c r="A13171" t="s">
        <v>51</v>
      </c>
    </row>
    <row r="13172" spans="1:1" x14ac:dyDescent="0.3">
      <c r="A13172" t="s">
        <v>52</v>
      </c>
    </row>
    <row r="13173" spans="1:1" x14ac:dyDescent="0.3">
      <c r="A13173" t="s">
        <v>79</v>
      </c>
    </row>
    <row r="13174" spans="1:1" x14ac:dyDescent="0.3">
      <c r="A13174" t="s">
        <v>98</v>
      </c>
    </row>
    <row r="13175" spans="1:1" x14ac:dyDescent="0.3">
      <c r="A13175" t="s">
        <v>13</v>
      </c>
    </row>
    <row r="13176" spans="1:1" x14ac:dyDescent="0.3">
      <c r="A13176" t="s">
        <v>105</v>
      </c>
    </row>
    <row r="13177" spans="1:1" x14ac:dyDescent="0.3">
      <c r="A13177" t="s">
        <v>6003</v>
      </c>
    </row>
    <row r="13178" spans="1:1" x14ac:dyDescent="0.3">
      <c r="A13178" t="s">
        <v>1157</v>
      </c>
    </row>
    <row r="13179" spans="1:1" x14ac:dyDescent="0.3">
      <c r="A13179" t="s">
        <v>6004</v>
      </c>
    </row>
    <row r="13180" spans="1:1" x14ac:dyDescent="0.3">
      <c r="A13180" t="s">
        <v>12</v>
      </c>
    </row>
    <row r="13181" spans="1:1" x14ac:dyDescent="0.3">
      <c r="A13181" t="s">
        <v>13</v>
      </c>
    </row>
    <row r="13182" spans="1:1" x14ac:dyDescent="0.3">
      <c r="A13182" t="s">
        <v>106</v>
      </c>
    </row>
    <row r="13183" spans="1:1" x14ac:dyDescent="0.3">
      <c r="A13183" t="s">
        <v>6005</v>
      </c>
    </row>
    <row r="13184" spans="1:1" x14ac:dyDescent="0.3">
      <c r="A13184" t="s">
        <v>1157</v>
      </c>
    </row>
    <row r="13185" spans="1:1" x14ac:dyDescent="0.3">
      <c r="A13185" t="s">
        <v>6006</v>
      </c>
    </row>
    <row r="13186" spans="1:1" x14ac:dyDescent="0.3">
      <c r="A13186" t="s">
        <v>12</v>
      </c>
    </row>
    <row r="13187" spans="1:1" x14ac:dyDescent="0.3">
      <c r="A13187" t="s">
        <v>40</v>
      </c>
    </row>
    <row r="13189" spans="1:1" x14ac:dyDescent="0.3">
      <c r="A13189" t="s">
        <v>12</v>
      </c>
    </row>
    <row r="13190" spans="1:1" x14ac:dyDescent="0.3">
      <c r="A13190" t="s">
        <v>13</v>
      </c>
    </row>
    <row r="13191" spans="1:1" x14ac:dyDescent="0.3">
      <c r="A13191" t="s">
        <v>107</v>
      </c>
    </row>
    <row r="13192" spans="1:1" x14ac:dyDescent="0.3">
      <c r="A13192" t="s">
        <v>6007</v>
      </c>
    </row>
    <row r="13193" spans="1:1" x14ac:dyDescent="0.3">
      <c r="A13193" t="s">
        <v>6008</v>
      </c>
    </row>
    <row r="13194" spans="1:1" x14ac:dyDescent="0.3">
      <c r="A13194" t="s">
        <v>4436</v>
      </c>
    </row>
    <row r="13195" spans="1:1" x14ac:dyDescent="0.3">
      <c r="A13195" t="s">
        <v>110</v>
      </c>
    </row>
    <row r="13196" spans="1:1" x14ac:dyDescent="0.3">
      <c r="A13196" t="s">
        <v>1154</v>
      </c>
    </row>
    <row r="13197" spans="1:1" x14ac:dyDescent="0.3">
      <c r="A13197" t="s">
        <v>6009</v>
      </c>
    </row>
    <row r="13198" spans="1:1" x14ac:dyDescent="0.3">
      <c r="A13198" t="s">
        <v>51</v>
      </c>
    </row>
    <row r="13199" spans="1:1" x14ac:dyDescent="0.3">
      <c r="A13199" t="s">
        <v>52</v>
      </c>
    </row>
    <row r="13200" spans="1:1" x14ac:dyDescent="0.3">
      <c r="A13200" t="s">
        <v>79</v>
      </c>
    </row>
    <row r="13201" spans="1:1" x14ac:dyDescent="0.3">
      <c r="A13201" t="s">
        <v>98</v>
      </c>
    </row>
    <row r="13202" spans="1:1" x14ac:dyDescent="0.3">
      <c r="A13202" t="s">
        <v>13</v>
      </c>
    </row>
    <row r="13203" spans="1:1" x14ac:dyDescent="0.3">
      <c r="A13203" t="s">
        <v>105</v>
      </c>
    </row>
    <row r="13204" spans="1:1" x14ac:dyDescent="0.3">
      <c r="A13204" t="s">
        <v>6010</v>
      </c>
    </row>
    <row r="13205" spans="1:1" x14ac:dyDescent="0.3">
      <c r="A13205" t="s">
        <v>1157</v>
      </c>
    </row>
    <row r="13206" spans="1:1" x14ac:dyDescent="0.3">
      <c r="A13206" t="s">
        <v>5382</v>
      </c>
    </row>
    <row r="13207" spans="1:1" x14ac:dyDescent="0.3">
      <c r="A13207" t="s">
        <v>12</v>
      </c>
    </row>
    <row r="13208" spans="1:1" x14ac:dyDescent="0.3">
      <c r="A13208" t="s">
        <v>13</v>
      </c>
    </row>
    <row r="13209" spans="1:1" x14ac:dyDescent="0.3">
      <c r="A13209" t="s">
        <v>106</v>
      </c>
    </row>
    <row r="13210" spans="1:1" x14ac:dyDescent="0.3">
      <c r="A13210" t="s">
        <v>6011</v>
      </c>
    </row>
    <row r="13211" spans="1:1" x14ac:dyDescent="0.3">
      <c r="A13211" t="s">
        <v>1157</v>
      </c>
    </row>
    <row r="13212" spans="1:1" x14ac:dyDescent="0.3">
      <c r="A13212" t="s">
        <v>6012</v>
      </c>
    </row>
    <row r="13213" spans="1:1" x14ac:dyDescent="0.3">
      <c r="A13213" t="s">
        <v>12</v>
      </c>
    </row>
    <row r="13214" spans="1:1" x14ac:dyDescent="0.3">
      <c r="A13214" t="s">
        <v>40</v>
      </c>
    </row>
    <row r="13216" spans="1:1" x14ac:dyDescent="0.3">
      <c r="A13216" t="s">
        <v>12</v>
      </c>
    </row>
    <row r="13217" spans="1:1" x14ac:dyDescent="0.3">
      <c r="A13217" t="s">
        <v>40</v>
      </c>
    </row>
    <row r="13218" spans="1:1" x14ac:dyDescent="0.3">
      <c r="A13218" t="s">
        <v>12</v>
      </c>
    </row>
    <row r="13219" spans="1:1" x14ac:dyDescent="0.3">
      <c r="A13219" t="s">
        <v>13</v>
      </c>
    </row>
    <row r="13220" spans="1:1" x14ac:dyDescent="0.3">
      <c r="A13220" t="s">
        <v>6013</v>
      </c>
    </row>
    <row r="13221" spans="1:1" x14ac:dyDescent="0.3">
      <c r="A13221" t="s">
        <v>6014</v>
      </c>
    </row>
    <row r="13222" spans="1:1" x14ac:dyDescent="0.3">
      <c r="A13222" t="s">
        <v>39</v>
      </c>
    </row>
    <row r="13223" spans="1:1" x14ac:dyDescent="0.3">
      <c r="A13223" t="s">
        <v>13</v>
      </c>
    </row>
    <row r="13224" spans="1:1" x14ac:dyDescent="0.3">
      <c r="A13224" t="s">
        <v>50</v>
      </c>
    </row>
    <row r="13225" spans="1:1" x14ac:dyDescent="0.3">
      <c r="A13225" t="s">
        <v>6015</v>
      </c>
    </row>
    <row r="13226" spans="1:1" x14ac:dyDescent="0.3">
      <c r="A13226" t="s">
        <v>6016</v>
      </c>
    </row>
    <row r="13227" spans="1:1" x14ac:dyDescent="0.3">
      <c r="A13227" t="s">
        <v>4436</v>
      </c>
    </row>
    <row r="13228" spans="1:1" x14ac:dyDescent="0.3">
      <c r="A13228" t="s">
        <v>110</v>
      </c>
    </row>
    <row r="13229" spans="1:1" x14ac:dyDescent="0.3">
      <c r="A13229" t="s">
        <v>1154</v>
      </c>
    </row>
    <row r="13230" spans="1:1" x14ac:dyDescent="0.3">
      <c r="A13230" t="s">
        <v>6017</v>
      </c>
    </row>
    <row r="13231" spans="1:1" x14ac:dyDescent="0.3">
      <c r="A13231" t="s">
        <v>51</v>
      </c>
    </row>
    <row r="13232" spans="1:1" x14ac:dyDescent="0.3">
      <c r="A13232" t="s">
        <v>52</v>
      </c>
    </row>
    <row r="13233" spans="1:1" x14ac:dyDescent="0.3">
      <c r="A13233" t="s">
        <v>79</v>
      </c>
    </row>
    <row r="13234" spans="1:1" x14ac:dyDescent="0.3">
      <c r="A13234" t="s">
        <v>98</v>
      </c>
    </row>
    <row r="13235" spans="1:1" x14ac:dyDescent="0.3">
      <c r="A13235" t="s">
        <v>13</v>
      </c>
    </row>
    <row r="13236" spans="1:1" x14ac:dyDescent="0.3">
      <c r="A13236" t="s">
        <v>105</v>
      </c>
    </row>
    <row r="13237" spans="1:1" x14ac:dyDescent="0.3">
      <c r="A13237" t="s">
        <v>6018</v>
      </c>
    </row>
    <row r="13238" spans="1:1" x14ac:dyDescent="0.3">
      <c r="A13238" t="s">
        <v>1157</v>
      </c>
    </row>
    <row r="13239" spans="1:1" x14ac:dyDescent="0.3">
      <c r="A13239" t="s">
        <v>6019</v>
      </c>
    </row>
    <row r="13240" spans="1:1" x14ac:dyDescent="0.3">
      <c r="A13240" t="s">
        <v>12</v>
      </c>
    </row>
    <row r="13241" spans="1:1" x14ac:dyDescent="0.3">
      <c r="A13241" t="s">
        <v>13</v>
      </c>
    </row>
    <row r="13242" spans="1:1" x14ac:dyDescent="0.3">
      <c r="A13242" t="s">
        <v>106</v>
      </c>
    </row>
    <row r="13243" spans="1:1" x14ac:dyDescent="0.3">
      <c r="A13243" t="s">
        <v>6020</v>
      </c>
    </row>
    <row r="13244" spans="1:1" x14ac:dyDescent="0.3">
      <c r="A13244" t="s">
        <v>1157</v>
      </c>
    </row>
    <row r="13245" spans="1:1" x14ac:dyDescent="0.3">
      <c r="A13245" t="s">
        <v>6012</v>
      </c>
    </row>
    <row r="13246" spans="1:1" x14ac:dyDescent="0.3">
      <c r="A13246" t="s">
        <v>12</v>
      </c>
    </row>
    <row r="13247" spans="1:1" x14ac:dyDescent="0.3">
      <c r="A13247" t="s">
        <v>40</v>
      </c>
    </row>
    <row r="13249" spans="1:1" x14ac:dyDescent="0.3">
      <c r="A13249" t="s">
        <v>12</v>
      </c>
    </row>
    <row r="13250" spans="1:1" x14ac:dyDescent="0.3">
      <c r="A13250" t="s">
        <v>13</v>
      </c>
    </row>
    <row r="13251" spans="1:1" x14ac:dyDescent="0.3">
      <c r="A13251" t="s">
        <v>53</v>
      </c>
    </row>
    <row r="13252" spans="1:1" x14ac:dyDescent="0.3">
      <c r="A13252" t="s">
        <v>6021</v>
      </c>
    </row>
    <row r="13253" spans="1:1" x14ac:dyDescent="0.3">
      <c r="A13253" t="s">
        <v>6022</v>
      </c>
    </row>
    <row r="13254" spans="1:1" x14ac:dyDescent="0.3">
      <c r="A13254" t="s">
        <v>4436</v>
      </c>
    </row>
    <row r="13255" spans="1:1" x14ac:dyDescent="0.3">
      <c r="A13255" t="s">
        <v>110</v>
      </c>
    </row>
    <row r="13256" spans="1:1" x14ac:dyDescent="0.3">
      <c r="A13256" t="s">
        <v>1154</v>
      </c>
    </row>
    <row r="13257" spans="1:1" x14ac:dyDescent="0.3">
      <c r="A13257" t="s">
        <v>6023</v>
      </c>
    </row>
    <row r="13258" spans="1:1" x14ac:dyDescent="0.3">
      <c r="A13258" t="s">
        <v>51</v>
      </c>
    </row>
    <row r="13259" spans="1:1" x14ac:dyDescent="0.3">
      <c r="A13259" t="s">
        <v>52</v>
      </c>
    </row>
    <row r="13260" spans="1:1" x14ac:dyDescent="0.3">
      <c r="A13260" t="s">
        <v>79</v>
      </c>
    </row>
    <row r="13261" spans="1:1" x14ac:dyDescent="0.3">
      <c r="A13261" t="s">
        <v>98</v>
      </c>
    </row>
    <row r="13262" spans="1:1" x14ac:dyDescent="0.3">
      <c r="A13262" t="s">
        <v>13</v>
      </c>
    </row>
    <row r="13263" spans="1:1" x14ac:dyDescent="0.3">
      <c r="A13263" t="s">
        <v>105</v>
      </c>
    </row>
    <row r="13264" spans="1:1" x14ac:dyDescent="0.3">
      <c r="A13264" t="s">
        <v>6024</v>
      </c>
    </row>
    <row r="13265" spans="1:1" x14ac:dyDescent="0.3">
      <c r="A13265" t="s">
        <v>1157</v>
      </c>
    </row>
    <row r="13266" spans="1:1" x14ac:dyDescent="0.3">
      <c r="A13266" t="s">
        <v>6025</v>
      </c>
    </row>
    <row r="13267" spans="1:1" x14ac:dyDescent="0.3">
      <c r="A13267" t="s">
        <v>12</v>
      </c>
    </row>
    <row r="13268" spans="1:1" x14ac:dyDescent="0.3">
      <c r="A13268" t="s">
        <v>13</v>
      </c>
    </row>
    <row r="13269" spans="1:1" x14ac:dyDescent="0.3">
      <c r="A13269" t="s">
        <v>106</v>
      </c>
    </row>
    <row r="13270" spans="1:1" x14ac:dyDescent="0.3">
      <c r="A13270" t="s">
        <v>6026</v>
      </c>
    </row>
    <row r="13271" spans="1:1" x14ac:dyDescent="0.3">
      <c r="A13271" t="s">
        <v>1157</v>
      </c>
    </row>
    <row r="13272" spans="1:1" x14ac:dyDescent="0.3">
      <c r="A13272" t="s">
        <v>6027</v>
      </c>
    </row>
    <row r="13273" spans="1:1" x14ac:dyDescent="0.3">
      <c r="A13273" t="s">
        <v>12</v>
      </c>
    </row>
    <row r="13274" spans="1:1" x14ac:dyDescent="0.3">
      <c r="A13274" t="s">
        <v>40</v>
      </c>
    </row>
    <row r="13276" spans="1:1" x14ac:dyDescent="0.3">
      <c r="A13276" t="s">
        <v>12</v>
      </c>
    </row>
    <row r="13277" spans="1:1" x14ac:dyDescent="0.3">
      <c r="A13277" t="s">
        <v>13</v>
      </c>
    </row>
    <row r="13278" spans="1:1" x14ac:dyDescent="0.3">
      <c r="A13278" t="s">
        <v>54</v>
      </c>
    </row>
    <row r="13279" spans="1:1" x14ac:dyDescent="0.3">
      <c r="A13279" t="s">
        <v>6028</v>
      </c>
    </row>
    <row r="13280" spans="1:1" x14ac:dyDescent="0.3">
      <c r="A13280" t="s">
        <v>6029</v>
      </c>
    </row>
    <row r="13281" spans="1:1" x14ac:dyDescent="0.3">
      <c r="A13281" t="s">
        <v>4436</v>
      </c>
    </row>
    <row r="13282" spans="1:1" x14ac:dyDescent="0.3">
      <c r="A13282" t="s">
        <v>110</v>
      </c>
    </row>
    <row r="13283" spans="1:1" x14ac:dyDescent="0.3">
      <c r="A13283" t="s">
        <v>1154</v>
      </c>
    </row>
    <row r="13284" spans="1:1" x14ac:dyDescent="0.3">
      <c r="A13284" t="s">
        <v>6030</v>
      </c>
    </row>
    <row r="13285" spans="1:1" x14ac:dyDescent="0.3">
      <c r="A13285" t="s">
        <v>51</v>
      </c>
    </row>
    <row r="13286" spans="1:1" x14ac:dyDescent="0.3">
      <c r="A13286" t="s">
        <v>52</v>
      </c>
    </row>
    <row r="13287" spans="1:1" x14ac:dyDescent="0.3">
      <c r="A13287" t="s">
        <v>79</v>
      </c>
    </row>
    <row r="13288" spans="1:1" x14ac:dyDescent="0.3">
      <c r="A13288" t="s">
        <v>98</v>
      </c>
    </row>
    <row r="13289" spans="1:1" x14ac:dyDescent="0.3">
      <c r="A13289" t="s">
        <v>13</v>
      </c>
    </row>
    <row r="13290" spans="1:1" x14ac:dyDescent="0.3">
      <c r="A13290" t="s">
        <v>105</v>
      </c>
    </row>
    <row r="13291" spans="1:1" x14ac:dyDescent="0.3">
      <c r="A13291" t="s">
        <v>6031</v>
      </c>
    </row>
    <row r="13292" spans="1:1" x14ac:dyDescent="0.3">
      <c r="A13292" t="s">
        <v>1157</v>
      </c>
    </row>
    <row r="13293" spans="1:1" x14ac:dyDescent="0.3">
      <c r="A13293" t="s">
        <v>6032</v>
      </c>
    </row>
    <row r="13294" spans="1:1" x14ac:dyDescent="0.3">
      <c r="A13294" t="s">
        <v>12</v>
      </c>
    </row>
    <row r="13295" spans="1:1" x14ac:dyDescent="0.3">
      <c r="A13295" t="s">
        <v>13</v>
      </c>
    </row>
    <row r="13296" spans="1:1" x14ac:dyDescent="0.3">
      <c r="A13296" t="s">
        <v>106</v>
      </c>
    </row>
    <row r="13297" spans="1:1" x14ac:dyDescent="0.3">
      <c r="A13297" t="s">
        <v>6033</v>
      </c>
    </row>
    <row r="13298" spans="1:1" x14ac:dyDescent="0.3">
      <c r="A13298" t="s">
        <v>1157</v>
      </c>
    </row>
    <row r="13299" spans="1:1" x14ac:dyDescent="0.3">
      <c r="A13299" t="s">
        <v>6034</v>
      </c>
    </row>
    <row r="13300" spans="1:1" x14ac:dyDescent="0.3">
      <c r="A13300" t="s">
        <v>12</v>
      </c>
    </row>
    <row r="13301" spans="1:1" x14ac:dyDescent="0.3">
      <c r="A13301" t="s">
        <v>40</v>
      </c>
    </row>
    <row r="13303" spans="1:1" x14ac:dyDescent="0.3">
      <c r="A13303" t="s">
        <v>12</v>
      </c>
    </row>
    <row r="13304" spans="1:1" x14ac:dyDescent="0.3">
      <c r="A13304" t="s">
        <v>13</v>
      </c>
    </row>
    <row r="13305" spans="1:1" x14ac:dyDescent="0.3">
      <c r="A13305" t="s">
        <v>107</v>
      </c>
    </row>
    <row r="13306" spans="1:1" x14ac:dyDescent="0.3">
      <c r="A13306" t="s">
        <v>6035</v>
      </c>
    </row>
    <row r="13307" spans="1:1" x14ac:dyDescent="0.3">
      <c r="A13307" t="s">
        <v>6036</v>
      </c>
    </row>
    <row r="13308" spans="1:1" x14ac:dyDescent="0.3">
      <c r="A13308" t="s">
        <v>4436</v>
      </c>
    </row>
    <row r="13309" spans="1:1" x14ac:dyDescent="0.3">
      <c r="A13309" t="s">
        <v>110</v>
      </c>
    </row>
    <row r="13310" spans="1:1" x14ac:dyDescent="0.3">
      <c r="A13310" t="s">
        <v>1154</v>
      </c>
    </row>
    <row r="13311" spans="1:1" x14ac:dyDescent="0.3">
      <c r="A13311" t="s">
        <v>6037</v>
      </c>
    </row>
    <row r="13312" spans="1:1" x14ac:dyDescent="0.3">
      <c r="A13312" t="s">
        <v>51</v>
      </c>
    </row>
    <row r="13313" spans="1:1" x14ac:dyDescent="0.3">
      <c r="A13313" t="s">
        <v>52</v>
      </c>
    </row>
    <row r="13314" spans="1:1" x14ac:dyDescent="0.3">
      <c r="A13314" t="s">
        <v>79</v>
      </c>
    </row>
    <row r="13315" spans="1:1" x14ac:dyDescent="0.3">
      <c r="A13315" t="s">
        <v>98</v>
      </c>
    </row>
    <row r="13316" spans="1:1" x14ac:dyDescent="0.3">
      <c r="A13316" t="s">
        <v>13</v>
      </c>
    </row>
    <row r="13317" spans="1:1" x14ac:dyDescent="0.3">
      <c r="A13317" t="s">
        <v>105</v>
      </c>
    </row>
    <row r="13318" spans="1:1" x14ac:dyDescent="0.3">
      <c r="A13318" t="s">
        <v>6038</v>
      </c>
    </row>
    <row r="13319" spans="1:1" x14ac:dyDescent="0.3">
      <c r="A13319" t="s">
        <v>1157</v>
      </c>
    </row>
    <row r="13320" spans="1:1" x14ac:dyDescent="0.3">
      <c r="A13320" t="s">
        <v>1580</v>
      </c>
    </row>
    <row r="13321" spans="1:1" x14ac:dyDescent="0.3">
      <c r="A13321" t="s">
        <v>12</v>
      </c>
    </row>
    <row r="13322" spans="1:1" x14ac:dyDescent="0.3">
      <c r="A13322" t="s">
        <v>13</v>
      </c>
    </row>
    <row r="13323" spans="1:1" x14ac:dyDescent="0.3">
      <c r="A13323" t="s">
        <v>106</v>
      </c>
    </row>
    <row r="13324" spans="1:1" x14ac:dyDescent="0.3">
      <c r="A13324" t="s">
        <v>6039</v>
      </c>
    </row>
    <row r="13325" spans="1:1" x14ac:dyDescent="0.3">
      <c r="A13325" t="s">
        <v>1157</v>
      </c>
    </row>
    <row r="13326" spans="1:1" x14ac:dyDescent="0.3">
      <c r="A13326" t="s">
        <v>6040</v>
      </c>
    </row>
    <row r="13327" spans="1:1" x14ac:dyDescent="0.3">
      <c r="A13327" t="s">
        <v>12</v>
      </c>
    </row>
    <row r="13328" spans="1:1" x14ac:dyDescent="0.3">
      <c r="A13328" t="s">
        <v>40</v>
      </c>
    </row>
    <row r="13330" spans="1:1" x14ac:dyDescent="0.3">
      <c r="A13330" t="s">
        <v>12</v>
      </c>
    </row>
    <row r="13331" spans="1:1" x14ac:dyDescent="0.3">
      <c r="A13331" t="s">
        <v>13</v>
      </c>
    </row>
    <row r="13332" spans="1:1" x14ac:dyDescent="0.3">
      <c r="A13332" t="s">
        <v>108</v>
      </c>
    </row>
    <row r="13333" spans="1:1" x14ac:dyDescent="0.3">
      <c r="A13333" t="s">
        <v>6041</v>
      </c>
    </row>
    <row r="13334" spans="1:1" x14ac:dyDescent="0.3">
      <c r="A13334" t="s">
        <v>6042</v>
      </c>
    </row>
    <row r="13335" spans="1:1" x14ac:dyDescent="0.3">
      <c r="A13335" t="s">
        <v>4436</v>
      </c>
    </row>
    <row r="13336" spans="1:1" x14ac:dyDescent="0.3">
      <c r="A13336" t="s">
        <v>110</v>
      </c>
    </row>
    <row r="13337" spans="1:1" x14ac:dyDescent="0.3">
      <c r="A13337" t="s">
        <v>1154</v>
      </c>
    </row>
    <row r="13338" spans="1:1" x14ac:dyDescent="0.3">
      <c r="A13338" t="s">
        <v>6043</v>
      </c>
    </row>
    <row r="13339" spans="1:1" x14ac:dyDescent="0.3">
      <c r="A13339" t="s">
        <v>51</v>
      </c>
    </row>
    <row r="13340" spans="1:1" x14ac:dyDescent="0.3">
      <c r="A13340" t="s">
        <v>52</v>
      </c>
    </row>
    <row r="13341" spans="1:1" x14ac:dyDescent="0.3">
      <c r="A13341" t="s">
        <v>79</v>
      </c>
    </row>
    <row r="13343" spans="1:1" x14ac:dyDescent="0.3">
      <c r="A13343" t="s">
        <v>12</v>
      </c>
    </row>
    <row r="13344" spans="1:1" x14ac:dyDescent="0.3">
      <c r="A13344" t="s">
        <v>13</v>
      </c>
    </row>
    <row r="13345" spans="1:1" x14ac:dyDescent="0.3">
      <c r="A13345" t="s">
        <v>1184</v>
      </c>
    </row>
    <row r="13346" spans="1:1" x14ac:dyDescent="0.3">
      <c r="A13346" t="s">
        <v>2752</v>
      </c>
    </row>
    <row r="13347" spans="1:1" x14ac:dyDescent="0.3">
      <c r="A13347" t="s">
        <v>6044</v>
      </c>
    </row>
    <row r="13348" spans="1:1" x14ac:dyDescent="0.3">
      <c r="A13348" t="s">
        <v>4436</v>
      </c>
    </row>
    <row r="13349" spans="1:1" x14ac:dyDescent="0.3">
      <c r="A13349" t="s">
        <v>110</v>
      </c>
    </row>
    <row r="13350" spans="1:1" x14ac:dyDescent="0.3">
      <c r="A13350" t="s">
        <v>1154</v>
      </c>
    </row>
    <row r="13351" spans="1:1" x14ac:dyDescent="0.3">
      <c r="A13351" t="s">
        <v>6045</v>
      </c>
    </row>
    <row r="13352" spans="1:1" x14ac:dyDescent="0.3">
      <c r="A13352" t="s">
        <v>51</v>
      </c>
    </row>
    <row r="13353" spans="1:1" x14ac:dyDescent="0.3">
      <c r="A13353" t="s">
        <v>52</v>
      </c>
    </row>
    <row r="13354" spans="1:1" x14ac:dyDescent="0.3">
      <c r="A13354" t="s">
        <v>79</v>
      </c>
    </row>
    <row r="13355" spans="1:1" x14ac:dyDescent="0.3">
      <c r="A13355" t="s">
        <v>98</v>
      </c>
    </row>
    <row r="13356" spans="1:1" x14ac:dyDescent="0.3">
      <c r="A13356" t="s">
        <v>13</v>
      </c>
    </row>
    <row r="13357" spans="1:1" x14ac:dyDescent="0.3">
      <c r="A13357" t="s">
        <v>105</v>
      </c>
    </row>
    <row r="13358" spans="1:1" x14ac:dyDescent="0.3">
      <c r="A13358" t="s">
        <v>6046</v>
      </c>
    </row>
    <row r="13359" spans="1:1" x14ac:dyDescent="0.3">
      <c r="A13359" t="s">
        <v>1157</v>
      </c>
    </row>
    <row r="13360" spans="1:1" x14ac:dyDescent="0.3">
      <c r="A13360" t="s">
        <v>6047</v>
      </c>
    </row>
    <row r="13361" spans="1:1" x14ac:dyDescent="0.3">
      <c r="A13361" t="s">
        <v>12</v>
      </c>
    </row>
    <row r="13362" spans="1:1" x14ac:dyDescent="0.3">
      <c r="A13362" t="s">
        <v>13</v>
      </c>
    </row>
    <row r="13363" spans="1:1" x14ac:dyDescent="0.3">
      <c r="A13363" t="s">
        <v>106</v>
      </c>
    </row>
    <row r="13364" spans="1:1" x14ac:dyDescent="0.3">
      <c r="A13364" t="s">
        <v>6048</v>
      </c>
    </row>
    <row r="13365" spans="1:1" x14ac:dyDescent="0.3">
      <c r="A13365" t="s">
        <v>1157</v>
      </c>
    </row>
    <row r="13366" spans="1:1" x14ac:dyDescent="0.3">
      <c r="A13366" t="s">
        <v>6049</v>
      </c>
    </row>
    <row r="13367" spans="1:1" x14ac:dyDescent="0.3">
      <c r="A13367" t="s">
        <v>12</v>
      </c>
    </row>
    <row r="13368" spans="1:1" x14ac:dyDescent="0.3">
      <c r="A13368" t="s">
        <v>40</v>
      </c>
    </row>
    <row r="13370" spans="1:1" x14ac:dyDescent="0.3">
      <c r="A13370" t="s">
        <v>12</v>
      </c>
    </row>
    <row r="13371" spans="1:1" x14ac:dyDescent="0.3">
      <c r="A13371" t="s">
        <v>13</v>
      </c>
    </row>
    <row r="13372" spans="1:1" x14ac:dyDescent="0.3">
      <c r="A13372" t="s">
        <v>1187</v>
      </c>
    </row>
    <row r="13373" spans="1:1" x14ac:dyDescent="0.3">
      <c r="A13373" t="s">
        <v>6050</v>
      </c>
    </row>
    <row r="13374" spans="1:1" x14ac:dyDescent="0.3">
      <c r="A13374" t="s">
        <v>6051</v>
      </c>
    </row>
    <row r="13375" spans="1:1" x14ac:dyDescent="0.3">
      <c r="A13375" t="s">
        <v>4436</v>
      </c>
    </row>
    <row r="13376" spans="1:1" x14ac:dyDescent="0.3">
      <c r="A13376" t="s">
        <v>110</v>
      </c>
    </row>
    <row r="13377" spans="1:1" x14ac:dyDescent="0.3">
      <c r="A13377" t="s">
        <v>1154</v>
      </c>
    </row>
    <row r="13378" spans="1:1" x14ac:dyDescent="0.3">
      <c r="A13378" t="s">
        <v>6052</v>
      </c>
    </row>
    <row r="13379" spans="1:1" x14ac:dyDescent="0.3">
      <c r="A13379" t="s">
        <v>51</v>
      </c>
    </row>
    <row r="13380" spans="1:1" x14ac:dyDescent="0.3">
      <c r="A13380" t="s">
        <v>52</v>
      </c>
    </row>
    <row r="13381" spans="1:1" x14ac:dyDescent="0.3">
      <c r="A13381" t="s">
        <v>79</v>
      </c>
    </row>
    <row r="13383" spans="1:1" x14ac:dyDescent="0.3">
      <c r="A13383" t="s">
        <v>12</v>
      </c>
    </row>
    <row r="13384" spans="1:1" x14ac:dyDescent="0.3">
      <c r="A13384" t="s">
        <v>13</v>
      </c>
    </row>
    <row r="13385" spans="1:1" x14ac:dyDescent="0.3">
      <c r="A13385" t="s">
        <v>1190</v>
      </c>
    </row>
    <row r="13386" spans="1:1" x14ac:dyDescent="0.3">
      <c r="A13386" t="s">
        <v>6053</v>
      </c>
    </row>
    <row r="13387" spans="1:1" x14ac:dyDescent="0.3">
      <c r="A13387" t="s">
        <v>6054</v>
      </c>
    </row>
    <row r="13388" spans="1:1" x14ac:dyDescent="0.3">
      <c r="A13388" t="s">
        <v>4436</v>
      </c>
    </row>
    <row r="13389" spans="1:1" x14ac:dyDescent="0.3">
      <c r="A13389" t="s">
        <v>110</v>
      </c>
    </row>
    <row r="13390" spans="1:1" x14ac:dyDescent="0.3">
      <c r="A13390" t="s">
        <v>1154</v>
      </c>
    </row>
    <row r="13391" spans="1:1" x14ac:dyDescent="0.3">
      <c r="A13391" t="s">
        <v>6055</v>
      </c>
    </row>
    <row r="13392" spans="1:1" x14ac:dyDescent="0.3">
      <c r="A13392" t="s">
        <v>51</v>
      </c>
    </row>
    <row r="13393" spans="1:1" x14ac:dyDescent="0.3">
      <c r="A13393" t="s">
        <v>52</v>
      </c>
    </row>
    <row r="13394" spans="1:1" x14ac:dyDescent="0.3">
      <c r="A13394" t="s">
        <v>79</v>
      </c>
    </row>
    <row r="13395" spans="1:1" x14ac:dyDescent="0.3">
      <c r="A13395" t="s">
        <v>98</v>
      </c>
    </row>
    <row r="13396" spans="1:1" x14ac:dyDescent="0.3">
      <c r="A13396" t="s">
        <v>13</v>
      </c>
    </row>
    <row r="13397" spans="1:1" x14ac:dyDescent="0.3">
      <c r="A13397" t="s">
        <v>105</v>
      </c>
    </row>
    <row r="13398" spans="1:1" x14ac:dyDescent="0.3">
      <c r="A13398" t="s">
        <v>6056</v>
      </c>
    </row>
    <row r="13399" spans="1:1" x14ac:dyDescent="0.3">
      <c r="A13399" t="s">
        <v>1157</v>
      </c>
    </row>
    <row r="13400" spans="1:1" x14ac:dyDescent="0.3">
      <c r="A13400" t="s">
        <v>6057</v>
      </c>
    </row>
    <row r="13401" spans="1:1" x14ac:dyDescent="0.3">
      <c r="A13401" t="s">
        <v>12</v>
      </c>
    </row>
    <row r="13402" spans="1:1" x14ac:dyDescent="0.3">
      <c r="A13402" t="s">
        <v>40</v>
      </c>
    </row>
    <row r="13404" spans="1:1" x14ac:dyDescent="0.3">
      <c r="A13404" t="s">
        <v>12</v>
      </c>
    </row>
    <row r="13405" spans="1:1" x14ac:dyDescent="0.3">
      <c r="A13405" t="s">
        <v>13</v>
      </c>
    </row>
    <row r="13406" spans="1:1" x14ac:dyDescent="0.3">
      <c r="A13406" t="s">
        <v>1193</v>
      </c>
    </row>
    <row r="13407" spans="1:1" x14ac:dyDescent="0.3">
      <c r="A13407" t="s">
        <v>6058</v>
      </c>
    </row>
    <row r="13408" spans="1:1" x14ac:dyDescent="0.3">
      <c r="A13408" t="s">
        <v>6059</v>
      </c>
    </row>
    <row r="13409" spans="1:1" x14ac:dyDescent="0.3">
      <c r="A13409" t="s">
        <v>4436</v>
      </c>
    </row>
    <row r="13410" spans="1:1" x14ac:dyDescent="0.3">
      <c r="A13410" t="s">
        <v>110</v>
      </c>
    </row>
    <row r="13411" spans="1:1" x14ac:dyDescent="0.3">
      <c r="A13411" t="s">
        <v>1154</v>
      </c>
    </row>
    <row r="13412" spans="1:1" x14ac:dyDescent="0.3">
      <c r="A13412" t="s">
        <v>6060</v>
      </c>
    </row>
    <row r="13413" spans="1:1" x14ac:dyDescent="0.3">
      <c r="A13413" t="s">
        <v>51</v>
      </c>
    </row>
    <row r="13414" spans="1:1" x14ac:dyDescent="0.3">
      <c r="A13414" t="s">
        <v>52</v>
      </c>
    </row>
    <row r="13415" spans="1:1" x14ac:dyDescent="0.3">
      <c r="A13415" t="s">
        <v>79</v>
      </c>
    </row>
    <row r="13417" spans="1:1" x14ac:dyDescent="0.3">
      <c r="A13417" t="s">
        <v>12</v>
      </c>
    </row>
    <row r="13418" spans="1:1" x14ac:dyDescent="0.3">
      <c r="A13418" t="s">
        <v>13</v>
      </c>
    </row>
    <row r="13419" spans="1:1" x14ac:dyDescent="0.3">
      <c r="A13419" t="s">
        <v>1201</v>
      </c>
    </row>
    <row r="13420" spans="1:1" x14ac:dyDescent="0.3">
      <c r="A13420" t="s">
        <v>5378</v>
      </c>
    </row>
    <row r="13421" spans="1:1" x14ac:dyDescent="0.3">
      <c r="A13421" t="s">
        <v>6061</v>
      </c>
    </row>
    <row r="13422" spans="1:1" x14ac:dyDescent="0.3">
      <c r="A13422" t="s">
        <v>4436</v>
      </c>
    </row>
    <row r="13423" spans="1:1" x14ac:dyDescent="0.3">
      <c r="A13423" t="s">
        <v>110</v>
      </c>
    </row>
    <row r="13424" spans="1:1" x14ac:dyDescent="0.3">
      <c r="A13424" t="s">
        <v>1154</v>
      </c>
    </row>
    <row r="13425" spans="1:1" x14ac:dyDescent="0.3">
      <c r="A13425" t="s">
        <v>6062</v>
      </c>
    </row>
    <row r="13426" spans="1:1" x14ac:dyDescent="0.3">
      <c r="A13426" t="s">
        <v>51</v>
      </c>
    </row>
    <row r="13427" spans="1:1" x14ac:dyDescent="0.3">
      <c r="A13427" t="s">
        <v>52</v>
      </c>
    </row>
    <row r="13428" spans="1:1" x14ac:dyDescent="0.3">
      <c r="A13428" t="s">
        <v>79</v>
      </c>
    </row>
    <row r="13430" spans="1:1" x14ac:dyDescent="0.3">
      <c r="A13430" t="s">
        <v>12</v>
      </c>
    </row>
    <row r="13431" spans="1:1" x14ac:dyDescent="0.3">
      <c r="A13431" t="s">
        <v>13</v>
      </c>
    </row>
    <row r="13432" spans="1:1" x14ac:dyDescent="0.3">
      <c r="A13432" t="s">
        <v>1204</v>
      </c>
    </row>
    <row r="13433" spans="1:1" x14ac:dyDescent="0.3">
      <c r="A13433" t="s">
        <v>6063</v>
      </c>
    </row>
    <row r="13434" spans="1:1" x14ac:dyDescent="0.3">
      <c r="A13434" t="s">
        <v>6064</v>
      </c>
    </row>
    <row r="13435" spans="1:1" x14ac:dyDescent="0.3">
      <c r="A13435" t="s">
        <v>4436</v>
      </c>
    </row>
    <row r="13436" spans="1:1" x14ac:dyDescent="0.3">
      <c r="A13436" t="s">
        <v>110</v>
      </c>
    </row>
    <row r="13437" spans="1:1" x14ac:dyDescent="0.3">
      <c r="A13437" t="s">
        <v>1154</v>
      </c>
    </row>
    <row r="13438" spans="1:1" x14ac:dyDescent="0.3">
      <c r="A13438" t="s">
        <v>6065</v>
      </c>
    </row>
    <row r="13439" spans="1:1" x14ac:dyDescent="0.3">
      <c r="A13439" t="s">
        <v>51</v>
      </c>
    </row>
    <row r="13440" spans="1:1" x14ac:dyDescent="0.3">
      <c r="A13440" t="s">
        <v>52</v>
      </c>
    </row>
    <row r="13441" spans="1:1" x14ac:dyDescent="0.3">
      <c r="A13441" t="s">
        <v>79</v>
      </c>
    </row>
    <row r="13442" spans="1:1" x14ac:dyDescent="0.3">
      <c r="A13442" t="s">
        <v>98</v>
      </c>
    </row>
    <row r="13443" spans="1:1" x14ac:dyDescent="0.3">
      <c r="A13443" t="s">
        <v>13</v>
      </c>
    </row>
    <row r="13444" spans="1:1" x14ac:dyDescent="0.3">
      <c r="A13444" t="s">
        <v>105</v>
      </c>
    </row>
    <row r="13445" spans="1:1" x14ac:dyDescent="0.3">
      <c r="A13445" t="s">
        <v>6066</v>
      </c>
    </row>
    <row r="13446" spans="1:1" x14ac:dyDescent="0.3">
      <c r="A13446" t="s">
        <v>1157</v>
      </c>
    </row>
    <row r="13447" spans="1:1" x14ac:dyDescent="0.3">
      <c r="A13447" t="s">
        <v>6067</v>
      </c>
    </row>
    <row r="13448" spans="1:1" x14ac:dyDescent="0.3">
      <c r="A13448" t="s">
        <v>12</v>
      </c>
    </row>
    <row r="13449" spans="1:1" x14ac:dyDescent="0.3">
      <c r="A13449" t="s">
        <v>40</v>
      </c>
    </row>
    <row r="13451" spans="1:1" x14ac:dyDescent="0.3">
      <c r="A13451" t="s">
        <v>12</v>
      </c>
    </row>
    <row r="13452" spans="1:1" x14ac:dyDescent="0.3">
      <c r="A13452" t="s">
        <v>13</v>
      </c>
    </row>
    <row r="13453" spans="1:1" x14ac:dyDescent="0.3">
      <c r="A13453" t="s">
        <v>1212</v>
      </c>
    </row>
    <row r="13454" spans="1:1" x14ac:dyDescent="0.3">
      <c r="A13454" t="s">
        <v>6068</v>
      </c>
    </row>
    <row r="13455" spans="1:1" x14ac:dyDescent="0.3">
      <c r="A13455" t="s">
        <v>6069</v>
      </c>
    </row>
    <row r="13456" spans="1:1" x14ac:dyDescent="0.3">
      <c r="A13456" t="s">
        <v>4436</v>
      </c>
    </row>
    <row r="13457" spans="1:1" x14ac:dyDescent="0.3">
      <c r="A13457" t="s">
        <v>110</v>
      </c>
    </row>
    <row r="13458" spans="1:1" x14ac:dyDescent="0.3">
      <c r="A13458" t="s">
        <v>1154</v>
      </c>
    </row>
    <row r="13459" spans="1:1" x14ac:dyDescent="0.3">
      <c r="A13459" t="s">
        <v>6070</v>
      </c>
    </row>
    <row r="13460" spans="1:1" x14ac:dyDescent="0.3">
      <c r="A13460" t="s">
        <v>51</v>
      </c>
    </row>
    <row r="13461" spans="1:1" x14ac:dyDescent="0.3">
      <c r="A13461" t="s">
        <v>52</v>
      </c>
    </row>
    <row r="13462" spans="1:1" x14ac:dyDescent="0.3">
      <c r="A13462" t="s">
        <v>79</v>
      </c>
    </row>
    <row r="13464" spans="1:1" x14ac:dyDescent="0.3">
      <c r="A13464" t="s">
        <v>12</v>
      </c>
    </row>
    <row r="13465" spans="1:1" x14ac:dyDescent="0.3">
      <c r="A13465" t="s">
        <v>13</v>
      </c>
    </row>
    <row r="13466" spans="1:1" x14ac:dyDescent="0.3">
      <c r="A13466" t="s">
        <v>1220</v>
      </c>
    </row>
    <row r="13467" spans="1:1" x14ac:dyDescent="0.3">
      <c r="A13467" t="s">
        <v>6071</v>
      </c>
    </row>
    <row r="13468" spans="1:1" x14ac:dyDescent="0.3">
      <c r="A13468" t="s">
        <v>6072</v>
      </c>
    </row>
    <row r="13469" spans="1:1" x14ac:dyDescent="0.3">
      <c r="A13469" t="s">
        <v>4436</v>
      </c>
    </row>
    <row r="13470" spans="1:1" x14ac:dyDescent="0.3">
      <c r="A13470" t="s">
        <v>110</v>
      </c>
    </row>
    <row r="13471" spans="1:1" x14ac:dyDescent="0.3">
      <c r="A13471" t="s">
        <v>1154</v>
      </c>
    </row>
    <row r="13472" spans="1:1" x14ac:dyDescent="0.3">
      <c r="A13472" t="s">
        <v>6073</v>
      </c>
    </row>
    <row r="13473" spans="1:1" x14ac:dyDescent="0.3">
      <c r="A13473" t="s">
        <v>51</v>
      </c>
    </row>
    <row r="13474" spans="1:1" x14ac:dyDescent="0.3">
      <c r="A13474" t="s">
        <v>52</v>
      </c>
    </row>
    <row r="13475" spans="1:1" x14ac:dyDescent="0.3">
      <c r="A13475" t="s">
        <v>79</v>
      </c>
    </row>
    <row r="13477" spans="1:1" x14ac:dyDescent="0.3">
      <c r="A13477" t="s">
        <v>12</v>
      </c>
    </row>
    <row r="13478" spans="1:1" x14ac:dyDescent="0.3">
      <c r="A13478" t="s">
        <v>13</v>
      </c>
    </row>
    <row r="13479" spans="1:1" x14ac:dyDescent="0.3">
      <c r="A13479" t="s">
        <v>1228</v>
      </c>
    </row>
    <row r="13480" spans="1:1" x14ac:dyDescent="0.3">
      <c r="A13480" t="s">
        <v>6074</v>
      </c>
    </row>
    <row r="13481" spans="1:1" x14ac:dyDescent="0.3">
      <c r="A13481" t="s">
        <v>6075</v>
      </c>
    </row>
    <row r="13482" spans="1:1" x14ac:dyDescent="0.3">
      <c r="A13482" t="s">
        <v>4436</v>
      </c>
    </row>
    <row r="13483" spans="1:1" x14ac:dyDescent="0.3">
      <c r="A13483" t="s">
        <v>110</v>
      </c>
    </row>
    <row r="13484" spans="1:1" x14ac:dyDescent="0.3">
      <c r="A13484" t="s">
        <v>1154</v>
      </c>
    </row>
    <row r="13485" spans="1:1" x14ac:dyDescent="0.3">
      <c r="A13485" t="s">
        <v>6076</v>
      </c>
    </row>
    <row r="13486" spans="1:1" x14ac:dyDescent="0.3">
      <c r="A13486" t="s">
        <v>51</v>
      </c>
    </row>
    <row r="13487" spans="1:1" x14ac:dyDescent="0.3">
      <c r="A13487" t="s">
        <v>52</v>
      </c>
    </row>
    <row r="13488" spans="1:1" x14ac:dyDescent="0.3">
      <c r="A13488" t="s">
        <v>79</v>
      </c>
    </row>
    <row r="13490" spans="1:1" x14ac:dyDescent="0.3">
      <c r="A13490" t="s">
        <v>12</v>
      </c>
    </row>
    <row r="13491" spans="1:1" x14ac:dyDescent="0.3">
      <c r="A13491" t="s">
        <v>13</v>
      </c>
    </row>
    <row r="13492" spans="1:1" x14ac:dyDescent="0.3">
      <c r="A13492" t="s">
        <v>1236</v>
      </c>
    </row>
    <row r="13493" spans="1:1" x14ac:dyDescent="0.3">
      <c r="A13493" t="s">
        <v>6077</v>
      </c>
    </row>
    <row r="13494" spans="1:1" x14ac:dyDescent="0.3">
      <c r="A13494" t="s">
        <v>6078</v>
      </c>
    </row>
    <row r="13495" spans="1:1" x14ac:dyDescent="0.3">
      <c r="A13495" t="s">
        <v>4436</v>
      </c>
    </row>
    <row r="13496" spans="1:1" x14ac:dyDescent="0.3">
      <c r="A13496" t="s">
        <v>110</v>
      </c>
    </row>
    <row r="13497" spans="1:1" x14ac:dyDescent="0.3">
      <c r="A13497" t="s">
        <v>1154</v>
      </c>
    </row>
    <row r="13498" spans="1:1" x14ac:dyDescent="0.3">
      <c r="A13498" t="s">
        <v>6079</v>
      </c>
    </row>
    <row r="13499" spans="1:1" x14ac:dyDescent="0.3">
      <c r="A13499" t="s">
        <v>51</v>
      </c>
    </row>
    <row r="13500" spans="1:1" x14ac:dyDescent="0.3">
      <c r="A13500" t="s">
        <v>52</v>
      </c>
    </row>
    <row r="13501" spans="1:1" x14ac:dyDescent="0.3">
      <c r="A13501" t="s">
        <v>79</v>
      </c>
    </row>
    <row r="13502" spans="1:1" x14ac:dyDescent="0.3">
      <c r="A13502" t="s">
        <v>98</v>
      </c>
    </row>
    <row r="13503" spans="1:1" x14ac:dyDescent="0.3">
      <c r="A13503" t="s">
        <v>13</v>
      </c>
    </row>
    <row r="13504" spans="1:1" x14ac:dyDescent="0.3">
      <c r="A13504" t="s">
        <v>105</v>
      </c>
    </row>
    <row r="13505" spans="1:1" x14ac:dyDescent="0.3">
      <c r="A13505" t="s">
        <v>6080</v>
      </c>
    </row>
    <row r="13506" spans="1:1" x14ac:dyDescent="0.3">
      <c r="A13506" t="s">
        <v>1157</v>
      </c>
    </row>
    <row r="13507" spans="1:1" x14ac:dyDescent="0.3">
      <c r="A13507" t="s">
        <v>6081</v>
      </c>
    </row>
    <row r="13508" spans="1:1" x14ac:dyDescent="0.3">
      <c r="A13508" t="s">
        <v>12</v>
      </c>
    </row>
    <row r="13509" spans="1:1" x14ac:dyDescent="0.3">
      <c r="A13509" t="s">
        <v>13</v>
      </c>
    </row>
    <row r="13510" spans="1:1" x14ac:dyDescent="0.3">
      <c r="A13510" t="s">
        <v>106</v>
      </c>
    </row>
    <row r="13511" spans="1:1" x14ac:dyDescent="0.3">
      <c r="A13511" t="s">
        <v>6082</v>
      </c>
    </row>
    <row r="13512" spans="1:1" x14ac:dyDescent="0.3">
      <c r="A13512" t="s">
        <v>1157</v>
      </c>
    </row>
    <row r="13513" spans="1:1" x14ac:dyDescent="0.3">
      <c r="A13513" t="s">
        <v>6083</v>
      </c>
    </row>
    <row r="13514" spans="1:1" x14ac:dyDescent="0.3">
      <c r="A13514" t="s">
        <v>12</v>
      </c>
    </row>
    <row r="13515" spans="1:1" x14ac:dyDescent="0.3">
      <c r="A13515" t="s">
        <v>40</v>
      </c>
    </row>
    <row r="13517" spans="1:1" x14ac:dyDescent="0.3">
      <c r="A13517" t="s">
        <v>12</v>
      </c>
    </row>
    <row r="13518" spans="1:1" x14ac:dyDescent="0.3">
      <c r="A13518" t="s">
        <v>13</v>
      </c>
    </row>
    <row r="13519" spans="1:1" x14ac:dyDescent="0.3">
      <c r="A13519" t="s">
        <v>1244</v>
      </c>
    </row>
    <row r="13520" spans="1:1" x14ac:dyDescent="0.3">
      <c r="A13520" t="s">
        <v>5692</v>
      </c>
    </row>
    <row r="13521" spans="1:1" x14ac:dyDescent="0.3">
      <c r="A13521" t="s">
        <v>6084</v>
      </c>
    </row>
    <row r="13522" spans="1:1" x14ac:dyDescent="0.3">
      <c r="A13522" t="s">
        <v>4436</v>
      </c>
    </row>
    <row r="13523" spans="1:1" x14ac:dyDescent="0.3">
      <c r="A13523" t="s">
        <v>110</v>
      </c>
    </row>
    <row r="13524" spans="1:1" x14ac:dyDescent="0.3">
      <c r="A13524" t="s">
        <v>6085</v>
      </c>
    </row>
    <row r="13525" spans="1:1" x14ac:dyDescent="0.3">
      <c r="A13525" t="s">
        <v>6086</v>
      </c>
    </row>
    <row r="13526" spans="1:1" x14ac:dyDescent="0.3">
      <c r="A13526" t="s">
        <v>51</v>
      </c>
    </row>
    <row r="13527" spans="1:1" x14ac:dyDescent="0.3">
      <c r="A13527" t="s">
        <v>52</v>
      </c>
    </row>
    <row r="13528" spans="1:1" x14ac:dyDescent="0.3">
      <c r="A13528" t="s">
        <v>79</v>
      </c>
    </row>
    <row r="13530" spans="1:1" x14ac:dyDescent="0.3">
      <c r="A13530" t="s">
        <v>12</v>
      </c>
    </row>
    <row r="13531" spans="1:1" x14ac:dyDescent="0.3">
      <c r="A13531" t="s">
        <v>13</v>
      </c>
    </row>
    <row r="13532" spans="1:1" x14ac:dyDescent="0.3">
      <c r="A13532" t="s">
        <v>1252</v>
      </c>
    </row>
    <row r="13533" spans="1:1" x14ac:dyDescent="0.3">
      <c r="A13533" t="s">
        <v>6087</v>
      </c>
    </row>
    <row r="13534" spans="1:1" x14ac:dyDescent="0.3">
      <c r="A13534" t="s">
        <v>6088</v>
      </c>
    </row>
    <row r="13535" spans="1:1" x14ac:dyDescent="0.3">
      <c r="A13535" t="s">
        <v>4436</v>
      </c>
    </row>
    <row r="13536" spans="1:1" x14ac:dyDescent="0.3">
      <c r="A13536" t="s">
        <v>110</v>
      </c>
    </row>
    <row r="13537" spans="1:1" x14ac:dyDescent="0.3">
      <c r="A13537" t="s">
        <v>1154</v>
      </c>
    </row>
    <row r="13538" spans="1:1" x14ac:dyDescent="0.3">
      <c r="A13538" t="s">
        <v>6089</v>
      </c>
    </row>
    <row r="13539" spans="1:1" x14ac:dyDescent="0.3">
      <c r="A13539" t="s">
        <v>51</v>
      </c>
    </row>
    <row r="13540" spans="1:1" x14ac:dyDescent="0.3">
      <c r="A13540" t="s">
        <v>52</v>
      </c>
    </row>
    <row r="13541" spans="1:1" x14ac:dyDescent="0.3">
      <c r="A13541" t="s">
        <v>79</v>
      </c>
    </row>
    <row r="13543" spans="1:1" x14ac:dyDescent="0.3">
      <c r="A13543" t="s">
        <v>12</v>
      </c>
    </row>
    <row r="13544" spans="1:1" x14ac:dyDescent="0.3">
      <c r="A13544" t="s">
        <v>13</v>
      </c>
    </row>
    <row r="13545" spans="1:1" x14ac:dyDescent="0.3">
      <c r="A13545" t="s">
        <v>1256</v>
      </c>
    </row>
    <row r="13546" spans="1:1" x14ac:dyDescent="0.3">
      <c r="A13546" t="s">
        <v>6090</v>
      </c>
    </row>
    <row r="13547" spans="1:1" x14ac:dyDescent="0.3">
      <c r="A13547" t="s">
        <v>6091</v>
      </c>
    </row>
    <row r="13548" spans="1:1" x14ac:dyDescent="0.3">
      <c r="A13548" t="s">
        <v>4436</v>
      </c>
    </row>
    <row r="13549" spans="1:1" x14ac:dyDescent="0.3">
      <c r="A13549" t="s">
        <v>110</v>
      </c>
    </row>
    <row r="13550" spans="1:1" x14ac:dyDescent="0.3">
      <c r="A13550" t="s">
        <v>1154</v>
      </c>
    </row>
    <row r="13551" spans="1:1" x14ac:dyDescent="0.3">
      <c r="A13551" t="s">
        <v>6092</v>
      </c>
    </row>
    <row r="13552" spans="1:1" x14ac:dyDescent="0.3">
      <c r="A13552" t="s">
        <v>51</v>
      </c>
    </row>
    <row r="13553" spans="1:1" x14ac:dyDescent="0.3">
      <c r="A13553" t="s">
        <v>52</v>
      </c>
    </row>
    <row r="13554" spans="1:1" x14ac:dyDescent="0.3">
      <c r="A13554" t="s">
        <v>79</v>
      </c>
    </row>
    <row r="13556" spans="1:1" x14ac:dyDescent="0.3">
      <c r="A13556" t="s">
        <v>12</v>
      </c>
    </row>
    <row r="13557" spans="1:1" x14ac:dyDescent="0.3">
      <c r="A13557" t="s">
        <v>13</v>
      </c>
    </row>
    <row r="13558" spans="1:1" x14ac:dyDescent="0.3">
      <c r="A13558" t="s">
        <v>1260</v>
      </c>
    </row>
    <row r="13559" spans="1:1" x14ac:dyDescent="0.3">
      <c r="A13559" t="s">
        <v>6093</v>
      </c>
    </row>
    <row r="13560" spans="1:1" x14ac:dyDescent="0.3">
      <c r="A13560" t="s">
        <v>6094</v>
      </c>
    </row>
    <row r="13561" spans="1:1" x14ac:dyDescent="0.3">
      <c r="A13561" t="s">
        <v>4436</v>
      </c>
    </row>
    <row r="13562" spans="1:1" x14ac:dyDescent="0.3">
      <c r="A13562" t="s">
        <v>110</v>
      </c>
    </row>
    <row r="13563" spans="1:1" x14ac:dyDescent="0.3">
      <c r="A13563" t="s">
        <v>1154</v>
      </c>
    </row>
    <row r="13564" spans="1:1" x14ac:dyDescent="0.3">
      <c r="A13564" t="s">
        <v>6095</v>
      </c>
    </row>
    <row r="13565" spans="1:1" x14ac:dyDescent="0.3">
      <c r="A13565" t="s">
        <v>51</v>
      </c>
    </row>
    <row r="13566" spans="1:1" x14ac:dyDescent="0.3">
      <c r="A13566" t="s">
        <v>52</v>
      </c>
    </row>
    <row r="13567" spans="1:1" x14ac:dyDescent="0.3">
      <c r="A13567" t="s">
        <v>79</v>
      </c>
    </row>
    <row r="13569" spans="1:1" x14ac:dyDescent="0.3">
      <c r="A13569" t="s">
        <v>12</v>
      </c>
    </row>
    <row r="13570" spans="1:1" x14ac:dyDescent="0.3">
      <c r="A13570" t="s">
        <v>13</v>
      </c>
    </row>
    <row r="13571" spans="1:1" x14ac:dyDescent="0.3">
      <c r="A13571" t="s">
        <v>1264</v>
      </c>
    </row>
    <row r="13572" spans="1:1" x14ac:dyDescent="0.3">
      <c r="A13572" t="s">
        <v>6096</v>
      </c>
    </row>
    <row r="13573" spans="1:1" x14ac:dyDescent="0.3">
      <c r="A13573" t="s">
        <v>6097</v>
      </c>
    </row>
    <row r="13574" spans="1:1" x14ac:dyDescent="0.3">
      <c r="A13574" t="s">
        <v>4436</v>
      </c>
    </row>
    <row r="13575" spans="1:1" x14ac:dyDescent="0.3">
      <c r="A13575" t="s">
        <v>110</v>
      </c>
    </row>
    <row r="13576" spans="1:1" x14ac:dyDescent="0.3">
      <c r="A13576" t="s">
        <v>1154</v>
      </c>
    </row>
    <row r="13577" spans="1:1" x14ac:dyDescent="0.3">
      <c r="A13577" t="s">
        <v>6098</v>
      </c>
    </row>
    <row r="13578" spans="1:1" x14ac:dyDescent="0.3">
      <c r="A13578" t="s">
        <v>51</v>
      </c>
    </row>
    <row r="13579" spans="1:1" x14ac:dyDescent="0.3">
      <c r="A13579" t="s">
        <v>52</v>
      </c>
    </row>
    <row r="13580" spans="1:1" x14ac:dyDescent="0.3">
      <c r="A13580" t="s">
        <v>79</v>
      </c>
    </row>
    <row r="13582" spans="1:1" x14ac:dyDescent="0.3">
      <c r="A13582" t="s">
        <v>12</v>
      </c>
    </row>
    <row r="13583" spans="1:1" x14ac:dyDescent="0.3">
      <c r="A13583" t="s">
        <v>40</v>
      </c>
    </row>
    <row r="13584" spans="1:1" x14ac:dyDescent="0.3">
      <c r="A13584" t="s">
        <v>12</v>
      </c>
    </row>
    <row r="13585" spans="1:1" x14ac:dyDescent="0.3">
      <c r="A13585" t="s">
        <v>13</v>
      </c>
    </row>
    <row r="13586" spans="1:1" x14ac:dyDescent="0.3">
      <c r="A13586" t="s">
        <v>6099</v>
      </c>
    </row>
    <row r="13587" spans="1:1" x14ac:dyDescent="0.3">
      <c r="A13587" t="s">
        <v>6100</v>
      </c>
    </row>
    <row r="13588" spans="1:1" x14ac:dyDescent="0.3">
      <c r="A13588" t="s">
        <v>39</v>
      </c>
    </row>
    <row r="13589" spans="1:1" x14ac:dyDescent="0.3">
      <c r="A13589" t="s">
        <v>13</v>
      </c>
    </row>
    <row r="13590" spans="1:1" x14ac:dyDescent="0.3">
      <c r="A13590" t="s">
        <v>50</v>
      </c>
    </row>
    <row r="13591" spans="1:1" x14ac:dyDescent="0.3">
      <c r="A13591" t="s">
        <v>6101</v>
      </c>
    </row>
    <row r="13592" spans="1:1" x14ac:dyDescent="0.3">
      <c r="A13592" t="s">
        <v>6102</v>
      </c>
    </row>
    <row r="13593" spans="1:1" x14ac:dyDescent="0.3">
      <c r="A13593" t="s">
        <v>4436</v>
      </c>
    </row>
    <row r="13594" spans="1:1" x14ac:dyDescent="0.3">
      <c r="A13594" t="s">
        <v>110</v>
      </c>
    </row>
    <row r="13595" spans="1:1" x14ac:dyDescent="0.3">
      <c r="A13595" t="s">
        <v>1154</v>
      </c>
    </row>
    <row r="13596" spans="1:1" x14ac:dyDescent="0.3">
      <c r="A13596" t="s">
        <v>6103</v>
      </c>
    </row>
    <row r="13597" spans="1:1" x14ac:dyDescent="0.3">
      <c r="A13597" t="s">
        <v>51</v>
      </c>
    </row>
    <row r="13598" spans="1:1" x14ac:dyDescent="0.3">
      <c r="A13598" t="s">
        <v>52</v>
      </c>
    </row>
    <row r="13599" spans="1:1" x14ac:dyDescent="0.3">
      <c r="A13599" t="s">
        <v>79</v>
      </c>
    </row>
    <row r="13600" spans="1:1" x14ac:dyDescent="0.3">
      <c r="A13600" t="s">
        <v>98</v>
      </c>
    </row>
    <row r="13601" spans="1:1" x14ac:dyDescent="0.3">
      <c r="A13601" t="s">
        <v>13</v>
      </c>
    </row>
    <row r="13602" spans="1:1" x14ac:dyDescent="0.3">
      <c r="A13602" t="s">
        <v>105</v>
      </c>
    </row>
    <row r="13603" spans="1:1" x14ac:dyDescent="0.3">
      <c r="A13603" t="s">
        <v>6104</v>
      </c>
    </row>
    <row r="13604" spans="1:1" x14ac:dyDescent="0.3">
      <c r="A13604" t="s">
        <v>1157</v>
      </c>
    </row>
    <row r="13605" spans="1:1" x14ac:dyDescent="0.3">
      <c r="A13605" t="s">
        <v>6105</v>
      </c>
    </row>
    <row r="13606" spans="1:1" x14ac:dyDescent="0.3">
      <c r="A13606" t="s">
        <v>12</v>
      </c>
    </row>
    <row r="13607" spans="1:1" x14ac:dyDescent="0.3">
      <c r="A13607" t="s">
        <v>13</v>
      </c>
    </row>
    <row r="13608" spans="1:1" x14ac:dyDescent="0.3">
      <c r="A13608" t="s">
        <v>106</v>
      </c>
    </row>
    <row r="13609" spans="1:1" x14ac:dyDescent="0.3">
      <c r="A13609" t="s">
        <v>6106</v>
      </c>
    </row>
    <row r="13610" spans="1:1" x14ac:dyDescent="0.3">
      <c r="A13610" t="s">
        <v>1157</v>
      </c>
    </row>
    <row r="13611" spans="1:1" x14ac:dyDescent="0.3">
      <c r="A13611" t="s">
        <v>4849</v>
      </c>
    </row>
    <row r="13612" spans="1:1" x14ac:dyDescent="0.3">
      <c r="A13612" t="s">
        <v>12</v>
      </c>
    </row>
    <row r="13613" spans="1:1" x14ac:dyDescent="0.3">
      <c r="A13613" t="s">
        <v>40</v>
      </c>
    </row>
    <row r="13615" spans="1:1" x14ac:dyDescent="0.3">
      <c r="A13615" t="s">
        <v>12</v>
      </c>
    </row>
    <row r="13616" spans="1:1" x14ac:dyDescent="0.3">
      <c r="A13616" t="s">
        <v>13</v>
      </c>
    </row>
    <row r="13617" spans="1:1" x14ac:dyDescent="0.3">
      <c r="A13617" t="s">
        <v>53</v>
      </c>
    </row>
    <row r="13618" spans="1:1" x14ac:dyDescent="0.3">
      <c r="A13618" t="s">
        <v>4574</v>
      </c>
    </row>
    <row r="13619" spans="1:1" x14ac:dyDescent="0.3">
      <c r="A13619" t="s">
        <v>6107</v>
      </c>
    </row>
    <row r="13620" spans="1:1" x14ac:dyDescent="0.3">
      <c r="A13620" t="s">
        <v>4436</v>
      </c>
    </row>
    <row r="13621" spans="1:1" x14ac:dyDescent="0.3">
      <c r="A13621" t="s">
        <v>110</v>
      </c>
    </row>
    <row r="13622" spans="1:1" x14ac:dyDescent="0.3">
      <c r="A13622" t="s">
        <v>1154</v>
      </c>
    </row>
    <row r="13623" spans="1:1" x14ac:dyDescent="0.3">
      <c r="A13623" t="s">
        <v>6108</v>
      </c>
    </row>
    <row r="13624" spans="1:1" x14ac:dyDescent="0.3">
      <c r="A13624" t="s">
        <v>51</v>
      </c>
    </row>
    <row r="13625" spans="1:1" x14ac:dyDescent="0.3">
      <c r="A13625" t="s">
        <v>52</v>
      </c>
    </row>
    <row r="13626" spans="1:1" x14ac:dyDescent="0.3">
      <c r="A13626" t="s">
        <v>79</v>
      </c>
    </row>
    <row r="13627" spans="1:1" x14ac:dyDescent="0.3">
      <c r="A13627" t="s">
        <v>98</v>
      </c>
    </row>
    <row r="13628" spans="1:1" x14ac:dyDescent="0.3">
      <c r="A13628" t="s">
        <v>13</v>
      </c>
    </row>
    <row r="13629" spans="1:1" x14ac:dyDescent="0.3">
      <c r="A13629" t="s">
        <v>105</v>
      </c>
    </row>
    <row r="13630" spans="1:1" x14ac:dyDescent="0.3">
      <c r="A13630" t="s">
        <v>6109</v>
      </c>
    </row>
    <row r="13631" spans="1:1" x14ac:dyDescent="0.3">
      <c r="A13631" t="s">
        <v>1157</v>
      </c>
    </row>
    <row r="13632" spans="1:1" x14ac:dyDescent="0.3">
      <c r="A13632" t="s">
        <v>6110</v>
      </c>
    </row>
    <row r="13633" spans="1:1" x14ac:dyDescent="0.3">
      <c r="A13633" t="s">
        <v>12</v>
      </c>
    </row>
    <row r="13634" spans="1:1" x14ac:dyDescent="0.3">
      <c r="A13634" t="s">
        <v>13</v>
      </c>
    </row>
    <row r="13635" spans="1:1" x14ac:dyDescent="0.3">
      <c r="A13635" t="s">
        <v>106</v>
      </c>
    </row>
    <row r="13636" spans="1:1" x14ac:dyDescent="0.3">
      <c r="A13636" t="s">
        <v>6111</v>
      </c>
    </row>
    <row r="13637" spans="1:1" x14ac:dyDescent="0.3">
      <c r="A13637" t="s">
        <v>1157</v>
      </c>
    </row>
    <row r="13638" spans="1:1" x14ac:dyDescent="0.3">
      <c r="A13638" t="s">
        <v>6112</v>
      </c>
    </row>
    <row r="13639" spans="1:1" x14ac:dyDescent="0.3">
      <c r="A13639" t="s">
        <v>12</v>
      </c>
    </row>
    <row r="13640" spans="1:1" x14ac:dyDescent="0.3">
      <c r="A13640" t="s">
        <v>40</v>
      </c>
    </row>
    <row r="13642" spans="1:1" x14ac:dyDescent="0.3">
      <c r="A13642" t="s">
        <v>12</v>
      </c>
    </row>
    <row r="13643" spans="1:1" x14ac:dyDescent="0.3">
      <c r="A13643" t="s">
        <v>13</v>
      </c>
    </row>
    <row r="13644" spans="1:1" x14ac:dyDescent="0.3">
      <c r="A13644" t="s">
        <v>54</v>
      </c>
    </row>
    <row r="13645" spans="1:1" x14ac:dyDescent="0.3">
      <c r="A13645" t="s">
        <v>6113</v>
      </c>
    </row>
    <row r="13646" spans="1:1" x14ac:dyDescent="0.3">
      <c r="A13646" t="s">
        <v>6114</v>
      </c>
    </row>
    <row r="13647" spans="1:1" x14ac:dyDescent="0.3">
      <c r="A13647" t="s">
        <v>4436</v>
      </c>
    </row>
    <row r="13648" spans="1:1" x14ac:dyDescent="0.3">
      <c r="A13648" t="s">
        <v>110</v>
      </c>
    </row>
    <row r="13649" spans="1:1" x14ac:dyDescent="0.3">
      <c r="A13649" t="s">
        <v>1154</v>
      </c>
    </row>
    <row r="13650" spans="1:1" x14ac:dyDescent="0.3">
      <c r="A13650" t="s">
        <v>6115</v>
      </c>
    </row>
    <row r="13651" spans="1:1" x14ac:dyDescent="0.3">
      <c r="A13651" t="s">
        <v>51</v>
      </c>
    </row>
    <row r="13652" spans="1:1" x14ac:dyDescent="0.3">
      <c r="A13652" t="s">
        <v>52</v>
      </c>
    </row>
    <row r="13653" spans="1:1" x14ac:dyDescent="0.3">
      <c r="A13653" t="s">
        <v>79</v>
      </c>
    </row>
    <row r="13654" spans="1:1" x14ac:dyDescent="0.3">
      <c r="A13654" t="s">
        <v>98</v>
      </c>
    </row>
    <row r="13655" spans="1:1" x14ac:dyDescent="0.3">
      <c r="A13655" t="s">
        <v>13</v>
      </c>
    </row>
    <row r="13656" spans="1:1" x14ac:dyDescent="0.3">
      <c r="A13656" t="s">
        <v>105</v>
      </c>
    </row>
    <row r="13657" spans="1:1" x14ac:dyDescent="0.3">
      <c r="A13657" t="s">
        <v>6116</v>
      </c>
    </row>
    <row r="13658" spans="1:1" x14ac:dyDescent="0.3">
      <c r="A13658" t="s">
        <v>1157</v>
      </c>
    </row>
    <row r="13659" spans="1:1" x14ac:dyDescent="0.3">
      <c r="A13659" t="s">
        <v>6117</v>
      </c>
    </row>
    <row r="13660" spans="1:1" x14ac:dyDescent="0.3">
      <c r="A13660" t="s">
        <v>12</v>
      </c>
    </row>
    <row r="13661" spans="1:1" x14ac:dyDescent="0.3">
      <c r="A13661" t="s">
        <v>13</v>
      </c>
    </row>
    <row r="13662" spans="1:1" x14ac:dyDescent="0.3">
      <c r="A13662" t="s">
        <v>106</v>
      </c>
    </row>
    <row r="13663" spans="1:1" x14ac:dyDescent="0.3">
      <c r="A13663" t="s">
        <v>6118</v>
      </c>
    </row>
    <row r="13664" spans="1:1" x14ac:dyDescent="0.3">
      <c r="A13664" t="s">
        <v>1157</v>
      </c>
    </row>
    <row r="13665" spans="1:1" x14ac:dyDescent="0.3">
      <c r="A13665" t="s">
        <v>6119</v>
      </c>
    </row>
    <row r="13666" spans="1:1" x14ac:dyDescent="0.3">
      <c r="A13666" t="s">
        <v>12</v>
      </c>
    </row>
    <row r="13667" spans="1:1" x14ac:dyDescent="0.3">
      <c r="A13667" t="s">
        <v>40</v>
      </c>
    </row>
    <row r="13669" spans="1:1" x14ac:dyDescent="0.3">
      <c r="A13669" t="s">
        <v>12</v>
      </c>
    </row>
    <row r="13670" spans="1:1" x14ac:dyDescent="0.3">
      <c r="A13670" t="s">
        <v>13</v>
      </c>
    </row>
    <row r="13671" spans="1:1" x14ac:dyDescent="0.3">
      <c r="A13671" t="s">
        <v>107</v>
      </c>
    </row>
    <row r="13672" spans="1:1" x14ac:dyDescent="0.3">
      <c r="A13672" t="s">
        <v>6120</v>
      </c>
    </row>
    <row r="13673" spans="1:1" x14ac:dyDescent="0.3">
      <c r="A13673" t="s">
        <v>6121</v>
      </c>
    </row>
    <row r="13674" spans="1:1" x14ac:dyDescent="0.3">
      <c r="A13674" t="s">
        <v>4436</v>
      </c>
    </row>
    <row r="13675" spans="1:1" x14ac:dyDescent="0.3">
      <c r="A13675" t="s">
        <v>110</v>
      </c>
    </row>
    <row r="13676" spans="1:1" x14ac:dyDescent="0.3">
      <c r="A13676" t="s">
        <v>1154</v>
      </c>
    </row>
    <row r="13677" spans="1:1" x14ac:dyDescent="0.3">
      <c r="A13677" t="s">
        <v>6122</v>
      </c>
    </row>
    <row r="13678" spans="1:1" x14ac:dyDescent="0.3">
      <c r="A13678" t="s">
        <v>51</v>
      </c>
    </row>
    <row r="13679" spans="1:1" x14ac:dyDescent="0.3">
      <c r="A13679" t="s">
        <v>52</v>
      </c>
    </row>
    <row r="13680" spans="1:1" x14ac:dyDescent="0.3">
      <c r="A13680" t="s">
        <v>79</v>
      </c>
    </row>
    <row r="13681" spans="1:1" x14ac:dyDescent="0.3">
      <c r="A13681" t="s">
        <v>98</v>
      </c>
    </row>
    <row r="13682" spans="1:1" x14ac:dyDescent="0.3">
      <c r="A13682" t="s">
        <v>13</v>
      </c>
    </row>
    <row r="13683" spans="1:1" x14ac:dyDescent="0.3">
      <c r="A13683" t="s">
        <v>105</v>
      </c>
    </row>
    <row r="13684" spans="1:1" x14ac:dyDescent="0.3">
      <c r="A13684" t="s">
        <v>6123</v>
      </c>
    </row>
    <row r="13685" spans="1:1" x14ac:dyDescent="0.3">
      <c r="A13685" t="s">
        <v>1157</v>
      </c>
    </row>
    <row r="13686" spans="1:1" x14ac:dyDescent="0.3">
      <c r="A13686" t="s">
        <v>6124</v>
      </c>
    </row>
    <row r="13687" spans="1:1" x14ac:dyDescent="0.3">
      <c r="A13687" t="s">
        <v>12</v>
      </c>
    </row>
    <row r="13688" spans="1:1" x14ac:dyDescent="0.3">
      <c r="A13688" t="s">
        <v>13</v>
      </c>
    </row>
    <row r="13689" spans="1:1" x14ac:dyDescent="0.3">
      <c r="A13689" t="s">
        <v>106</v>
      </c>
    </row>
    <row r="13690" spans="1:1" x14ac:dyDescent="0.3">
      <c r="A13690" t="s">
        <v>6125</v>
      </c>
    </row>
    <row r="13691" spans="1:1" x14ac:dyDescent="0.3">
      <c r="A13691" t="s">
        <v>1157</v>
      </c>
    </row>
    <row r="13692" spans="1:1" x14ac:dyDescent="0.3">
      <c r="A13692" t="s">
        <v>6126</v>
      </c>
    </row>
    <row r="13693" spans="1:1" x14ac:dyDescent="0.3">
      <c r="A13693" t="s">
        <v>12</v>
      </c>
    </row>
    <row r="13694" spans="1:1" x14ac:dyDescent="0.3">
      <c r="A13694" t="s">
        <v>40</v>
      </c>
    </row>
    <row r="13696" spans="1:1" x14ac:dyDescent="0.3">
      <c r="A13696" t="s">
        <v>12</v>
      </c>
    </row>
    <row r="13697" spans="1:1" x14ac:dyDescent="0.3">
      <c r="A13697" t="s">
        <v>13</v>
      </c>
    </row>
    <row r="13698" spans="1:1" x14ac:dyDescent="0.3">
      <c r="A13698" t="s">
        <v>108</v>
      </c>
    </row>
    <row r="13699" spans="1:1" x14ac:dyDescent="0.3">
      <c r="A13699" t="s">
        <v>4460</v>
      </c>
    </row>
    <row r="13700" spans="1:1" x14ac:dyDescent="0.3">
      <c r="A13700" t="s">
        <v>6127</v>
      </c>
    </row>
    <row r="13701" spans="1:1" x14ac:dyDescent="0.3">
      <c r="A13701" t="s">
        <v>4436</v>
      </c>
    </row>
    <row r="13702" spans="1:1" x14ac:dyDescent="0.3">
      <c r="A13702" t="s">
        <v>110</v>
      </c>
    </row>
    <row r="13703" spans="1:1" x14ac:dyDescent="0.3">
      <c r="A13703" t="s">
        <v>1154</v>
      </c>
    </row>
    <row r="13704" spans="1:1" x14ac:dyDescent="0.3">
      <c r="A13704" t="s">
        <v>6128</v>
      </c>
    </row>
    <row r="13705" spans="1:1" x14ac:dyDescent="0.3">
      <c r="A13705" t="s">
        <v>51</v>
      </c>
    </row>
    <row r="13706" spans="1:1" x14ac:dyDescent="0.3">
      <c r="A13706" t="s">
        <v>52</v>
      </c>
    </row>
    <row r="13707" spans="1:1" x14ac:dyDescent="0.3">
      <c r="A13707" t="s">
        <v>79</v>
      </c>
    </row>
    <row r="13708" spans="1:1" x14ac:dyDescent="0.3">
      <c r="A13708" t="s">
        <v>98</v>
      </c>
    </row>
    <row r="13709" spans="1:1" x14ac:dyDescent="0.3">
      <c r="A13709" t="s">
        <v>13</v>
      </c>
    </row>
    <row r="13710" spans="1:1" x14ac:dyDescent="0.3">
      <c r="A13710" t="s">
        <v>105</v>
      </c>
    </row>
    <row r="13711" spans="1:1" x14ac:dyDescent="0.3">
      <c r="A13711" t="s">
        <v>6129</v>
      </c>
    </row>
    <row r="13712" spans="1:1" x14ac:dyDescent="0.3">
      <c r="A13712" t="s">
        <v>1157</v>
      </c>
    </row>
    <row r="13713" spans="1:1" x14ac:dyDescent="0.3">
      <c r="A13713" t="s">
        <v>6130</v>
      </c>
    </row>
    <row r="13714" spans="1:1" x14ac:dyDescent="0.3">
      <c r="A13714" t="s">
        <v>12</v>
      </c>
    </row>
    <row r="13715" spans="1:1" x14ac:dyDescent="0.3">
      <c r="A13715" t="s">
        <v>13</v>
      </c>
    </row>
    <row r="13716" spans="1:1" x14ac:dyDescent="0.3">
      <c r="A13716" t="s">
        <v>106</v>
      </c>
    </row>
    <row r="13717" spans="1:1" x14ac:dyDescent="0.3">
      <c r="A13717" t="s">
        <v>6131</v>
      </c>
    </row>
    <row r="13718" spans="1:1" x14ac:dyDescent="0.3">
      <c r="A13718" t="s">
        <v>1157</v>
      </c>
    </row>
    <row r="13719" spans="1:1" x14ac:dyDescent="0.3">
      <c r="A13719" t="s">
        <v>6132</v>
      </c>
    </row>
    <row r="13720" spans="1:1" x14ac:dyDescent="0.3">
      <c r="A13720" t="s">
        <v>12</v>
      </c>
    </row>
    <row r="13721" spans="1:1" x14ac:dyDescent="0.3">
      <c r="A13721" t="s">
        <v>40</v>
      </c>
    </row>
    <row r="13723" spans="1:1" x14ac:dyDescent="0.3">
      <c r="A13723" t="s">
        <v>12</v>
      </c>
    </row>
    <row r="13724" spans="1:1" x14ac:dyDescent="0.3">
      <c r="A13724" t="s">
        <v>13</v>
      </c>
    </row>
    <row r="13725" spans="1:1" x14ac:dyDescent="0.3">
      <c r="A13725" t="s">
        <v>1184</v>
      </c>
    </row>
    <row r="13726" spans="1:1" x14ac:dyDescent="0.3">
      <c r="A13726" t="s">
        <v>6133</v>
      </c>
    </row>
    <row r="13727" spans="1:1" x14ac:dyDescent="0.3">
      <c r="A13727" t="s">
        <v>6134</v>
      </c>
    </row>
    <row r="13728" spans="1:1" x14ac:dyDescent="0.3">
      <c r="A13728" t="s">
        <v>4436</v>
      </c>
    </row>
    <row r="13729" spans="1:1" x14ac:dyDescent="0.3">
      <c r="A13729" t="s">
        <v>110</v>
      </c>
    </row>
    <row r="13730" spans="1:1" x14ac:dyDescent="0.3">
      <c r="A13730" t="s">
        <v>6135</v>
      </c>
    </row>
    <row r="13731" spans="1:1" x14ac:dyDescent="0.3">
      <c r="A13731" t="s">
        <v>6136</v>
      </c>
    </row>
    <row r="13732" spans="1:1" x14ac:dyDescent="0.3">
      <c r="A13732" t="s">
        <v>51</v>
      </c>
    </row>
    <row r="13733" spans="1:1" x14ac:dyDescent="0.3">
      <c r="A13733" t="s">
        <v>52</v>
      </c>
    </row>
    <row r="13734" spans="1:1" x14ac:dyDescent="0.3">
      <c r="A13734" t="s">
        <v>79</v>
      </c>
    </row>
    <row r="13736" spans="1:1" x14ac:dyDescent="0.3">
      <c r="A13736" t="s">
        <v>12</v>
      </c>
    </row>
    <row r="13737" spans="1:1" x14ac:dyDescent="0.3">
      <c r="A13737" t="s">
        <v>13</v>
      </c>
    </row>
    <row r="13738" spans="1:1" x14ac:dyDescent="0.3">
      <c r="A13738" t="s">
        <v>1187</v>
      </c>
    </row>
    <row r="13739" spans="1:1" x14ac:dyDescent="0.3">
      <c r="A13739" t="s">
        <v>6137</v>
      </c>
    </row>
    <row r="13740" spans="1:1" x14ac:dyDescent="0.3">
      <c r="A13740" t="s">
        <v>6138</v>
      </c>
    </row>
    <row r="13741" spans="1:1" x14ac:dyDescent="0.3">
      <c r="A13741" t="s">
        <v>4436</v>
      </c>
    </row>
    <row r="13742" spans="1:1" x14ac:dyDescent="0.3">
      <c r="A13742" t="s">
        <v>110</v>
      </c>
    </row>
    <row r="13743" spans="1:1" x14ac:dyDescent="0.3">
      <c r="A13743" t="s">
        <v>1154</v>
      </c>
    </row>
    <row r="13744" spans="1:1" x14ac:dyDescent="0.3">
      <c r="A13744" t="s">
        <v>6139</v>
      </c>
    </row>
    <row r="13745" spans="1:1" x14ac:dyDescent="0.3">
      <c r="A13745" t="s">
        <v>51</v>
      </c>
    </row>
    <row r="13746" spans="1:1" x14ac:dyDescent="0.3">
      <c r="A13746" t="s">
        <v>52</v>
      </c>
    </row>
    <row r="13747" spans="1:1" x14ac:dyDescent="0.3">
      <c r="A13747" t="s">
        <v>79</v>
      </c>
    </row>
    <row r="13748" spans="1:1" x14ac:dyDescent="0.3">
      <c r="A13748" t="s">
        <v>98</v>
      </c>
    </row>
    <row r="13749" spans="1:1" x14ac:dyDescent="0.3">
      <c r="A13749" t="s">
        <v>13</v>
      </c>
    </row>
    <row r="13750" spans="1:1" x14ac:dyDescent="0.3">
      <c r="A13750" t="s">
        <v>105</v>
      </c>
    </row>
    <row r="13751" spans="1:1" x14ac:dyDescent="0.3">
      <c r="A13751" t="s">
        <v>6140</v>
      </c>
    </row>
    <row r="13752" spans="1:1" x14ac:dyDescent="0.3">
      <c r="A13752" t="s">
        <v>1157</v>
      </c>
    </row>
    <row r="13753" spans="1:1" x14ac:dyDescent="0.3">
      <c r="A13753" t="s">
        <v>6141</v>
      </c>
    </row>
    <row r="13754" spans="1:1" x14ac:dyDescent="0.3">
      <c r="A13754" t="s">
        <v>12</v>
      </c>
    </row>
    <row r="13755" spans="1:1" x14ac:dyDescent="0.3">
      <c r="A13755" t="s">
        <v>40</v>
      </c>
    </row>
    <row r="13757" spans="1:1" x14ac:dyDescent="0.3">
      <c r="A13757" t="s">
        <v>12</v>
      </c>
    </row>
    <row r="13758" spans="1:1" x14ac:dyDescent="0.3">
      <c r="A13758" t="s">
        <v>13</v>
      </c>
    </row>
    <row r="13759" spans="1:1" x14ac:dyDescent="0.3">
      <c r="A13759" t="s">
        <v>1190</v>
      </c>
    </row>
    <row r="13760" spans="1:1" x14ac:dyDescent="0.3">
      <c r="A13760" t="s">
        <v>6142</v>
      </c>
    </row>
    <row r="13761" spans="1:1" x14ac:dyDescent="0.3">
      <c r="A13761" t="s">
        <v>6143</v>
      </c>
    </row>
    <row r="13762" spans="1:1" x14ac:dyDescent="0.3">
      <c r="A13762" t="s">
        <v>4436</v>
      </c>
    </row>
    <row r="13763" spans="1:1" x14ac:dyDescent="0.3">
      <c r="A13763" t="s">
        <v>110</v>
      </c>
    </row>
    <row r="13764" spans="1:1" x14ac:dyDescent="0.3">
      <c r="A13764" t="s">
        <v>1154</v>
      </c>
    </row>
    <row r="13765" spans="1:1" x14ac:dyDescent="0.3">
      <c r="A13765" t="s">
        <v>6144</v>
      </c>
    </row>
    <row r="13766" spans="1:1" x14ac:dyDescent="0.3">
      <c r="A13766" t="s">
        <v>51</v>
      </c>
    </row>
    <row r="13767" spans="1:1" x14ac:dyDescent="0.3">
      <c r="A13767" t="s">
        <v>52</v>
      </c>
    </row>
    <row r="13768" spans="1:1" x14ac:dyDescent="0.3">
      <c r="A13768" t="s">
        <v>79</v>
      </c>
    </row>
    <row r="13769" spans="1:1" x14ac:dyDescent="0.3">
      <c r="A13769" t="s">
        <v>98</v>
      </c>
    </row>
    <row r="13770" spans="1:1" x14ac:dyDescent="0.3">
      <c r="A13770" t="s">
        <v>13</v>
      </c>
    </row>
    <row r="13771" spans="1:1" x14ac:dyDescent="0.3">
      <c r="A13771" t="s">
        <v>105</v>
      </c>
    </row>
    <row r="13772" spans="1:1" x14ac:dyDescent="0.3">
      <c r="A13772" t="s">
        <v>6145</v>
      </c>
    </row>
    <row r="13773" spans="1:1" x14ac:dyDescent="0.3">
      <c r="A13773" t="s">
        <v>1157</v>
      </c>
    </row>
    <row r="13774" spans="1:1" x14ac:dyDescent="0.3">
      <c r="A13774" t="s">
        <v>6146</v>
      </c>
    </row>
    <row r="13775" spans="1:1" x14ac:dyDescent="0.3">
      <c r="A13775" t="s">
        <v>12</v>
      </c>
    </row>
    <row r="13776" spans="1:1" x14ac:dyDescent="0.3">
      <c r="A13776" t="s">
        <v>13</v>
      </c>
    </row>
    <row r="13777" spans="1:1" x14ac:dyDescent="0.3">
      <c r="A13777" t="s">
        <v>106</v>
      </c>
    </row>
    <row r="13778" spans="1:1" x14ac:dyDescent="0.3">
      <c r="A13778" t="s">
        <v>6147</v>
      </c>
    </row>
    <row r="13779" spans="1:1" x14ac:dyDescent="0.3">
      <c r="A13779" t="s">
        <v>1157</v>
      </c>
    </row>
    <row r="13780" spans="1:1" x14ac:dyDescent="0.3">
      <c r="A13780" t="s">
        <v>6148</v>
      </c>
    </row>
    <row r="13781" spans="1:1" x14ac:dyDescent="0.3">
      <c r="A13781" t="s">
        <v>12</v>
      </c>
    </row>
    <row r="13782" spans="1:1" x14ac:dyDescent="0.3">
      <c r="A13782" t="s">
        <v>40</v>
      </c>
    </row>
    <row r="13784" spans="1:1" x14ac:dyDescent="0.3">
      <c r="A13784" t="s">
        <v>12</v>
      </c>
    </row>
    <row r="13785" spans="1:1" x14ac:dyDescent="0.3">
      <c r="A13785" t="s">
        <v>13</v>
      </c>
    </row>
    <row r="13786" spans="1:1" x14ac:dyDescent="0.3">
      <c r="A13786" t="s">
        <v>1193</v>
      </c>
    </row>
    <row r="13787" spans="1:1" x14ac:dyDescent="0.3">
      <c r="A13787" t="s">
        <v>6149</v>
      </c>
    </row>
    <row r="13788" spans="1:1" x14ac:dyDescent="0.3">
      <c r="A13788" t="s">
        <v>6150</v>
      </c>
    </row>
    <row r="13789" spans="1:1" x14ac:dyDescent="0.3">
      <c r="A13789" t="s">
        <v>4436</v>
      </c>
    </row>
    <row r="13790" spans="1:1" x14ac:dyDescent="0.3">
      <c r="A13790" t="s">
        <v>110</v>
      </c>
    </row>
    <row r="13791" spans="1:1" x14ac:dyDescent="0.3">
      <c r="A13791" t="s">
        <v>1154</v>
      </c>
    </row>
    <row r="13792" spans="1:1" x14ac:dyDescent="0.3">
      <c r="A13792" t="s">
        <v>6151</v>
      </c>
    </row>
    <row r="13793" spans="1:1" x14ac:dyDescent="0.3">
      <c r="A13793" t="s">
        <v>51</v>
      </c>
    </row>
    <row r="13794" spans="1:1" x14ac:dyDescent="0.3">
      <c r="A13794" t="s">
        <v>52</v>
      </c>
    </row>
    <row r="13795" spans="1:1" x14ac:dyDescent="0.3">
      <c r="A13795" t="s">
        <v>79</v>
      </c>
    </row>
    <row r="13797" spans="1:1" x14ac:dyDescent="0.3">
      <c r="A13797" t="s">
        <v>12</v>
      </c>
    </row>
    <row r="13798" spans="1:1" x14ac:dyDescent="0.3">
      <c r="A13798" t="s">
        <v>13</v>
      </c>
    </row>
    <row r="13799" spans="1:1" x14ac:dyDescent="0.3">
      <c r="A13799" t="s">
        <v>1201</v>
      </c>
    </row>
    <row r="13800" spans="1:1" x14ac:dyDescent="0.3">
      <c r="A13800" t="s">
        <v>1492</v>
      </c>
    </row>
    <row r="13801" spans="1:1" x14ac:dyDescent="0.3">
      <c r="A13801" t="s">
        <v>6152</v>
      </c>
    </row>
    <row r="13802" spans="1:1" x14ac:dyDescent="0.3">
      <c r="A13802" t="s">
        <v>4436</v>
      </c>
    </row>
    <row r="13803" spans="1:1" x14ac:dyDescent="0.3">
      <c r="A13803" t="s">
        <v>110</v>
      </c>
    </row>
    <row r="13804" spans="1:1" x14ac:dyDescent="0.3">
      <c r="A13804" t="s">
        <v>1154</v>
      </c>
    </row>
    <row r="13805" spans="1:1" x14ac:dyDescent="0.3">
      <c r="A13805" t="s">
        <v>6153</v>
      </c>
    </row>
    <row r="13806" spans="1:1" x14ac:dyDescent="0.3">
      <c r="A13806" t="s">
        <v>51</v>
      </c>
    </row>
    <row r="13807" spans="1:1" x14ac:dyDescent="0.3">
      <c r="A13807" t="s">
        <v>52</v>
      </c>
    </row>
    <row r="13808" spans="1:1" x14ac:dyDescent="0.3">
      <c r="A13808" t="s">
        <v>79</v>
      </c>
    </row>
    <row r="13810" spans="1:1" x14ac:dyDescent="0.3">
      <c r="A13810" t="s">
        <v>12</v>
      </c>
    </row>
    <row r="13811" spans="1:1" x14ac:dyDescent="0.3">
      <c r="A13811" t="s">
        <v>13</v>
      </c>
    </row>
    <row r="13812" spans="1:1" x14ac:dyDescent="0.3">
      <c r="A13812" t="s">
        <v>1204</v>
      </c>
    </row>
    <row r="13813" spans="1:1" x14ac:dyDescent="0.3">
      <c r="A13813" t="s">
        <v>1492</v>
      </c>
    </row>
    <row r="13814" spans="1:1" x14ac:dyDescent="0.3">
      <c r="A13814" t="s">
        <v>6154</v>
      </c>
    </row>
    <row r="13815" spans="1:1" x14ac:dyDescent="0.3">
      <c r="A13815" t="s">
        <v>4436</v>
      </c>
    </row>
    <row r="13816" spans="1:1" x14ac:dyDescent="0.3">
      <c r="A13816" t="s">
        <v>110</v>
      </c>
    </row>
    <row r="13817" spans="1:1" x14ac:dyDescent="0.3">
      <c r="A13817" t="s">
        <v>1154</v>
      </c>
    </row>
    <row r="13818" spans="1:1" x14ac:dyDescent="0.3">
      <c r="A13818" t="s">
        <v>6155</v>
      </c>
    </row>
    <row r="13819" spans="1:1" x14ac:dyDescent="0.3">
      <c r="A13819" t="s">
        <v>51</v>
      </c>
    </row>
    <row r="13820" spans="1:1" x14ac:dyDescent="0.3">
      <c r="A13820" t="s">
        <v>52</v>
      </c>
    </row>
    <row r="13821" spans="1:1" x14ac:dyDescent="0.3">
      <c r="A13821" t="s">
        <v>79</v>
      </c>
    </row>
    <row r="13823" spans="1:1" x14ac:dyDescent="0.3">
      <c r="A13823" t="s">
        <v>12</v>
      </c>
    </row>
    <row r="13824" spans="1:1" x14ac:dyDescent="0.3">
      <c r="A13824" t="s">
        <v>13</v>
      </c>
    </row>
    <row r="13825" spans="1:1" x14ac:dyDescent="0.3">
      <c r="A13825" t="s">
        <v>1212</v>
      </c>
    </row>
    <row r="13826" spans="1:1" x14ac:dyDescent="0.3">
      <c r="A13826" t="s">
        <v>6156</v>
      </c>
    </row>
    <row r="13827" spans="1:1" x14ac:dyDescent="0.3">
      <c r="A13827" t="s">
        <v>6157</v>
      </c>
    </row>
    <row r="13828" spans="1:1" x14ac:dyDescent="0.3">
      <c r="A13828" t="s">
        <v>4436</v>
      </c>
    </row>
    <row r="13829" spans="1:1" x14ac:dyDescent="0.3">
      <c r="A13829" t="s">
        <v>110</v>
      </c>
    </row>
    <row r="13830" spans="1:1" x14ac:dyDescent="0.3">
      <c r="A13830" t="s">
        <v>1154</v>
      </c>
    </row>
    <row r="13831" spans="1:1" x14ac:dyDescent="0.3">
      <c r="A13831" t="s">
        <v>6158</v>
      </c>
    </row>
    <row r="13832" spans="1:1" x14ac:dyDescent="0.3">
      <c r="A13832" t="s">
        <v>51</v>
      </c>
    </row>
    <row r="13833" spans="1:1" x14ac:dyDescent="0.3">
      <c r="A13833" t="s">
        <v>52</v>
      </c>
    </row>
    <row r="13834" spans="1:1" x14ac:dyDescent="0.3">
      <c r="A13834" t="s">
        <v>79</v>
      </c>
    </row>
    <row r="13835" spans="1:1" x14ac:dyDescent="0.3">
      <c r="A13835" t="s">
        <v>98</v>
      </c>
    </row>
    <row r="13836" spans="1:1" x14ac:dyDescent="0.3">
      <c r="A13836" t="s">
        <v>13</v>
      </c>
    </row>
    <row r="13837" spans="1:1" x14ac:dyDescent="0.3">
      <c r="A13837" t="s">
        <v>105</v>
      </c>
    </row>
    <row r="13838" spans="1:1" x14ac:dyDescent="0.3">
      <c r="A13838" t="s">
        <v>6159</v>
      </c>
    </row>
    <row r="13839" spans="1:1" x14ac:dyDescent="0.3">
      <c r="A13839" t="s">
        <v>1157</v>
      </c>
    </row>
    <row r="13840" spans="1:1" x14ac:dyDescent="0.3">
      <c r="A13840" t="s">
        <v>2010</v>
      </c>
    </row>
    <row r="13841" spans="1:1" x14ac:dyDescent="0.3">
      <c r="A13841" t="s">
        <v>12</v>
      </c>
    </row>
    <row r="13842" spans="1:1" x14ac:dyDescent="0.3">
      <c r="A13842" t="s">
        <v>13</v>
      </c>
    </row>
    <row r="13843" spans="1:1" x14ac:dyDescent="0.3">
      <c r="A13843" t="s">
        <v>106</v>
      </c>
    </row>
    <row r="13844" spans="1:1" x14ac:dyDescent="0.3">
      <c r="A13844" t="s">
        <v>6160</v>
      </c>
    </row>
    <row r="13845" spans="1:1" x14ac:dyDescent="0.3">
      <c r="A13845" t="s">
        <v>1157</v>
      </c>
    </row>
    <row r="13846" spans="1:1" x14ac:dyDescent="0.3">
      <c r="A13846" t="s">
        <v>6161</v>
      </c>
    </row>
    <row r="13847" spans="1:1" x14ac:dyDescent="0.3">
      <c r="A13847" t="s">
        <v>12</v>
      </c>
    </row>
    <row r="13848" spans="1:1" x14ac:dyDescent="0.3">
      <c r="A13848" t="s">
        <v>40</v>
      </c>
    </row>
    <row r="13850" spans="1:1" x14ac:dyDescent="0.3">
      <c r="A13850" t="s">
        <v>12</v>
      </c>
    </row>
    <row r="13851" spans="1:1" x14ac:dyDescent="0.3">
      <c r="A13851" t="s">
        <v>13</v>
      </c>
    </row>
    <row r="13852" spans="1:1" x14ac:dyDescent="0.3">
      <c r="A13852" t="s">
        <v>1220</v>
      </c>
    </row>
    <row r="13853" spans="1:1" x14ac:dyDescent="0.3">
      <c r="A13853" t="s">
        <v>6162</v>
      </c>
    </row>
    <row r="13854" spans="1:1" x14ac:dyDescent="0.3">
      <c r="A13854" t="s">
        <v>6163</v>
      </c>
    </row>
    <row r="13855" spans="1:1" x14ac:dyDescent="0.3">
      <c r="A13855" t="s">
        <v>4436</v>
      </c>
    </row>
    <row r="13856" spans="1:1" x14ac:dyDescent="0.3">
      <c r="A13856" t="s">
        <v>110</v>
      </c>
    </row>
    <row r="13857" spans="1:1" x14ac:dyDescent="0.3">
      <c r="A13857" t="s">
        <v>1154</v>
      </c>
    </row>
    <row r="13858" spans="1:1" x14ac:dyDescent="0.3">
      <c r="A13858" t="s">
        <v>6164</v>
      </c>
    </row>
    <row r="13859" spans="1:1" x14ac:dyDescent="0.3">
      <c r="A13859" t="s">
        <v>51</v>
      </c>
    </row>
    <row r="13860" spans="1:1" x14ac:dyDescent="0.3">
      <c r="A13860" t="s">
        <v>52</v>
      </c>
    </row>
    <row r="13861" spans="1:1" x14ac:dyDescent="0.3">
      <c r="A13861" t="s">
        <v>79</v>
      </c>
    </row>
    <row r="13862" spans="1:1" x14ac:dyDescent="0.3">
      <c r="A13862" t="s">
        <v>98</v>
      </c>
    </row>
    <row r="13863" spans="1:1" x14ac:dyDescent="0.3">
      <c r="A13863" t="s">
        <v>13</v>
      </c>
    </row>
    <row r="13864" spans="1:1" x14ac:dyDescent="0.3">
      <c r="A13864" t="s">
        <v>105</v>
      </c>
    </row>
    <row r="13865" spans="1:1" x14ac:dyDescent="0.3">
      <c r="A13865" t="s">
        <v>6165</v>
      </c>
    </row>
    <row r="13866" spans="1:1" x14ac:dyDescent="0.3">
      <c r="A13866" t="s">
        <v>1157</v>
      </c>
    </row>
    <row r="13867" spans="1:1" x14ac:dyDescent="0.3">
      <c r="A13867" t="s">
        <v>6166</v>
      </c>
    </row>
    <row r="13868" spans="1:1" x14ac:dyDescent="0.3">
      <c r="A13868" t="s">
        <v>12</v>
      </c>
    </row>
    <row r="13869" spans="1:1" x14ac:dyDescent="0.3">
      <c r="A13869" t="s">
        <v>13</v>
      </c>
    </row>
    <row r="13870" spans="1:1" x14ac:dyDescent="0.3">
      <c r="A13870" t="s">
        <v>106</v>
      </c>
    </row>
    <row r="13871" spans="1:1" x14ac:dyDescent="0.3">
      <c r="A13871" t="s">
        <v>6167</v>
      </c>
    </row>
    <row r="13872" spans="1:1" x14ac:dyDescent="0.3">
      <c r="A13872" t="s">
        <v>1157</v>
      </c>
    </row>
    <row r="13873" spans="1:1" x14ac:dyDescent="0.3">
      <c r="A13873" t="s">
        <v>6168</v>
      </c>
    </row>
    <row r="13874" spans="1:1" x14ac:dyDescent="0.3">
      <c r="A13874" t="s">
        <v>12</v>
      </c>
    </row>
    <row r="13875" spans="1:1" x14ac:dyDescent="0.3">
      <c r="A13875" t="s">
        <v>40</v>
      </c>
    </row>
    <row r="13877" spans="1:1" x14ac:dyDescent="0.3">
      <c r="A13877" t="s">
        <v>12</v>
      </c>
    </row>
    <row r="13878" spans="1:1" x14ac:dyDescent="0.3">
      <c r="A13878" t="s">
        <v>13</v>
      </c>
    </row>
    <row r="13879" spans="1:1" x14ac:dyDescent="0.3">
      <c r="A13879" t="s">
        <v>1228</v>
      </c>
    </row>
    <row r="13880" spans="1:1" x14ac:dyDescent="0.3">
      <c r="A13880" t="s">
        <v>6169</v>
      </c>
    </row>
    <row r="13881" spans="1:1" x14ac:dyDescent="0.3">
      <c r="A13881" t="s">
        <v>6170</v>
      </c>
    </row>
    <row r="13882" spans="1:1" x14ac:dyDescent="0.3">
      <c r="A13882" t="s">
        <v>4436</v>
      </c>
    </row>
    <row r="13883" spans="1:1" x14ac:dyDescent="0.3">
      <c r="A13883" t="s">
        <v>110</v>
      </c>
    </row>
    <row r="13884" spans="1:1" x14ac:dyDescent="0.3">
      <c r="A13884" t="s">
        <v>6171</v>
      </c>
    </row>
    <row r="13885" spans="1:1" x14ac:dyDescent="0.3">
      <c r="A13885" t="s">
        <v>6172</v>
      </c>
    </row>
    <row r="13886" spans="1:1" x14ac:dyDescent="0.3">
      <c r="A13886" t="s">
        <v>51</v>
      </c>
    </row>
    <row r="13887" spans="1:1" x14ac:dyDescent="0.3">
      <c r="A13887" t="s">
        <v>52</v>
      </c>
    </row>
    <row r="13888" spans="1:1" x14ac:dyDescent="0.3">
      <c r="A13888" t="s">
        <v>79</v>
      </c>
    </row>
    <row r="13889" spans="1:1" x14ac:dyDescent="0.3">
      <c r="A13889" t="s">
        <v>98</v>
      </c>
    </row>
    <row r="13890" spans="1:1" x14ac:dyDescent="0.3">
      <c r="A13890" t="s">
        <v>13</v>
      </c>
    </row>
    <row r="13891" spans="1:1" x14ac:dyDescent="0.3">
      <c r="A13891" t="s">
        <v>105</v>
      </c>
    </row>
    <row r="13892" spans="1:1" x14ac:dyDescent="0.3">
      <c r="A13892" t="s">
        <v>6173</v>
      </c>
    </row>
    <row r="13893" spans="1:1" x14ac:dyDescent="0.3">
      <c r="A13893" t="s">
        <v>1157</v>
      </c>
    </row>
    <row r="13894" spans="1:1" x14ac:dyDescent="0.3">
      <c r="A13894" t="s">
        <v>6174</v>
      </c>
    </row>
    <row r="13895" spans="1:1" x14ac:dyDescent="0.3">
      <c r="A13895" t="s">
        <v>12</v>
      </c>
    </row>
    <row r="13896" spans="1:1" x14ac:dyDescent="0.3">
      <c r="A13896" t="s">
        <v>13</v>
      </c>
    </row>
    <row r="13897" spans="1:1" x14ac:dyDescent="0.3">
      <c r="A13897" t="s">
        <v>106</v>
      </c>
    </row>
    <row r="13898" spans="1:1" x14ac:dyDescent="0.3">
      <c r="A13898" t="s">
        <v>6175</v>
      </c>
    </row>
    <row r="13899" spans="1:1" x14ac:dyDescent="0.3">
      <c r="A13899" t="s">
        <v>1157</v>
      </c>
    </row>
    <row r="13900" spans="1:1" x14ac:dyDescent="0.3">
      <c r="A13900" t="s">
        <v>6176</v>
      </c>
    </row>
    <row r="13901" spans="1:1" x14ac:dyDescent="0.3">
      <c r="A13901" t="s">
        <v>12</v>
      </c>
    </row>
    <row r="13902" spans="1:1" x14ac:dyDescent="0.3">
      <c r="A13902" t="s">
        <v>40</v>
      </c>
    </row>
    <row r="13904" spans="1:1" x14ac:dyDescent="0.3">
      <c r="A13904" t="s">
        <v>12</v>
      </c>
    </row>
    <row r="13905" spans="1:1" x14ac:dyDescent="0.3">
      <c r="A13905" t="s">
        <v>13</v>
      </c>
    </row>
    <row r="13906" spans="1:1" x14ac:dyDescent="0.3">
      <c r="A13906" t="s">
        <v>1236</v>
      </c>
    </row>
    <row r="13907" spans="1:1" x14ac:dyDescent="0.3">
      <c r="A13907" t="s">
        <v>6177</v>
      </c>
    </row>
    <row r="13908" spans="1:1" x14ac:dyDescent="0.3">
      <c r="A13908" t="s">
        <v>6178</v>
      </c>
    </row>
    <row r="13909" spans="1:1" x14ac:dyDescent="0.3">
      <c r="A13909" t="s">
        <v>4436</v>
      </c>
    </row>
    <row r="13910" spans="1:1" x14ac:dyDescent="0.3">
      <c r="A13910" t="s">
        <v>110</v>
      </c>
    </row>
    <row r="13911" spans="1:1" x14ac:dyDescent="0.3">
      <c r="A13911" t="s">
        <v>1154</v>
      </c>
    </row>
    <row r="13912" spans="1:1" x14ac:dyDescent="0.3">
      <c r="A13912" t="s">
        <v>6179</v>
      </c>
    </row>
    <row r="13913" spans="1:1" x14ac:dyDescent="0.3">
      <c r="A13913" t="s">
        <v>51</v>
      </c>
    </row>
    <row r="13914" spans="1:1" x14ac:dyDescent="0.3">
      <c r="A13914" t="s">
        <v>52</v>
      </c>
    </row>
    <row r="13915" spans="1:1" x14ac:dyDescent="0.3">
      <c r="A13915" t="s">
        <v>79</v>
      </c>
    </row>
    <row r="13916" spans="1:1" x14ac:dyDescent="0.3">
      <c r="A13916" t="s">
        <v>98</v>
      </c>
    </row>
    <row r="13917" spans="1:1" x14ac:dyDescent="0.3">
      <c r="A13917" t="s">
        <v>13</v>
      </c>
    </row>
    <row r="13918" spans="1:1" x14ac:dyDescent="0.3">
      <c r="A13918" t="s">
        <v>105</v>
      </c>
    </row>
    <row r="13919" spans="1:1" x14ac:dyDescent="0.3">
      <c r="A13919" t="s">
        <v>6180</v>
      </c>
    </row>
    <row r="13920" spans="1:1" x14ac:dyDescent="0.3">
      <c r="A13920" t="s">
        <v>1157</v>
      </c>
    </row>
    <row r="13921" spans="1:1" x14ac:dyDescent="0.3">
      <c r="A13921" t="s">
        <v>6181</v>
      </c>
    </row>
    <row r="13922" spans="1:1" x14ac:dyDescent="0.3">
      <c r="A13922" t="s">
        <v>12</v>
      </c>
    </row>
    <row r="13923" spans="1:1" x14ac:dyDescent="0.3">
      <c r="A13923" t="s">
        <v>13</v>
      </c>
    </row>
    <row r="13924" spans="1:1" x14ac:dyDescent="0.3">
      <c r="A13924" t="s">
        <v>106</v>
      </c>
    </row>
    <row r="13925" spans="1:1" x14ac:dyDescent="0.3">
      <c r="A13925" t="s">
        <v>6182</v>
      </c>
    </row>
    <row r="13926" spans="1:1" x14ac:dyDescent="0.3">
      <c r="A13926" t="s">
        <v>1157</v>
      </c>
    </row>
    <row r="13927" spans="1:1" x14ac:dyDescent="0.3">
      <c r="A13927" t="s">
        <v>6183</v>
      </c>
    </row>
    <row r="13928" spans="1:1" x14ac:dyDescent="0.3">
      <c r="A13928" t="s">
        <v>12</v>
      </c>
    </row>
    <row r="13929" spans="1:1" x14ac:dyDescent="0.3">
      <c r="A13929" t="s">
        <v>40</v>
      </c>
    </row>
    <row r="13931" spans="1:1" x14ac:dyDescent="0.3">
      <c r="A13931" t="s">
        <v>12</v>
      </c>
    </row>
    <row r="13932" spans="1:1" x14ac:dyDescent="0.3">
      <c r="A13932" t="s">
        <v>13</v>
      </c>
    </row>
    <row r="13933" spans="1:1" x14ac:dyDescent="0.3">
      <c r="A13933" t="s">
        <v>1244</v>
      </c>
    </row>
    <row r="13934" spans="1:1" x14ac:dyDescent="0.3">
      <c r="A13934" t="s">
        <v>6184</v>
      </c>
    </row>
    <row r="13935" spans="1:1" x14ac:dyDescent="0.3">
      <c r="A13935" t="s">
        <v>6185</v>
      </c>
    </row>
    <row r="13936" spans="1:1" x14ac:dyDescent="0.3">
      <c r="A13936" t="s">
        <v>4436</v>
      </c>
    </row>
    <row r="13937" spans="1:1" x14ac:dyDescent="0.3">
      <c r="A13937" t="s">
        <v>110</v>
      </c>
    </row>
    <row r="13938" spans="1:1" x14ac:dyDescent="0.3">
      <c r="A13938" t="s">
        <v>1154</v>
      </c>
    </row>
    <row r="13939" spans="1:1" x14ac:dyDescent="0.3">
      <c r="A13939" t="s">
        <v>6186</v>
      </c>
    </row>
    <row r="13940" spans="1:1" x14ac:dyDescent="0.3">
      <c r="A13940" t="s">
        <v>51</v>
      </c>
    </row>
    <row r="13941" spans="1:1" x14ac:dyDescent="0.3">
      <c r="A13941" t="s">
        <v>52</v>
      </c>
    </row>
    <row r="13942" spans="1:1" x14ac:dyDescent="0.3">
      <c r="A13942" t="s">
        <v>79</v>
      </c>
    </row>
    <row r="13944" spans="1:1" x14ac:dyDescent="0.3">
      <c r="A13944" t="s">
        <v>12</v>
      </c>
    </row>
    <row r="13945" spans="1:1" x14ac:dyDescent="0.3">
      <c r="A13945" t="s">
        <v>13</v>
      </c>
    </row>
    <row r="13946" spans="1:1" x14ac:dyDescent="0.3">
      <c r="A13946" t="s">
        <v>1252</v>
      </c>
    </row>
    <row r="13947" spans="1:1" x14ac:dyDescent="0.3">
      <c r="A13947" t="s">
        <v>6187</v>
      </c>
    </row>
    <row r="13948" spans="1:1" x14ac:dyDescent="0.3">
      <c r="A13948" t="s">
        <v>6188</v>
      </c>
    </row>
    <row r="13949" spans="1:1" x14ac:dyDescent="0.3">
      <c r="A13949" t="s">
        <v>4436</v>
      </c>
    </row>
    <row r="13950" spans="1:1" x14ac:dyDescent="0.3">
      <c r="A13950" t="s">
        <v>110</v>
      </c>
    </row>
    <row r="13951" spans="1:1" x14ac:dyDescent="0.3">
      <c r="A13951" t="s">
        <v>1154</v>
      </c>
    </row>
    <row r="13952" spans="1:1" x14ac:dyDescent="0.3">
      <c r="A13952" t="s">
        <v>6189</v>
      </c>
    </row>
    <row r="13953" spans="1:1" x14ac:dyDescent="0.3">
      <c r="A13953" t="s">
        <v>51</v>
      </c>
    </row>
    <row r="13954" spans="1:1" x14ac:dyDescent="0.3">
      <c r="A13954" t="s">
        <v>52</v>
      </c>
    </row>
    <row r="13955" spans="1:1" x14ac:dyDescent="0.3">
      <c r="A13955" t="s">
        <v>79</v>
      </c>
    </row>
    <row r="13957" spans="1:1" x14ac:dyDescent="0.3">
      <c r="A13957" t="s">
        <v>12</v>
      </c>
    </row>
    <row r="13958" spans="1:1" x14ac:dyDescent="0.3">
      <c r="A13958" t="s">
        <v>13</v>
      </c>
    </row>
    <row r="13959" spans="1:1" x14ac:dyDescent="0.3">
      <c r="A13959" t="s">
        <v>1256</v>
      </c>
    </row>
    <row r="13960" spans="1:1" x14ac:dyDescent="0.3">
      <c r="A13960" t="s">
        <v>6190</v>
      </c>
    </row>
    <row r="13961" spans="1:1" x14ac:dyDescent="0.3">
      <c r="A13961" t="s">
        <v>6191</v>
      </c>
    </row>
    <row r="13962" spans="1:1" x14ac:dyDescent="0.3">
      <c r="A13962" t="s">
        <v>4436</v>
      </c>
    </row>
    <row r="13963" spans="1:1" x14ac:dyDescent="0.3">
      <c r="A13963" t="s">
        <v>110</v>
      </c>
    </row>
    <row r="13964" spans="1:1" x14ac:dyDescent="0.3">
      <c r="A13964" t="s">
        <v>1154</v>
      </c>
    </row>
    <row r="13965" spans="1:1" x14ac:dyDescent="0.3">
      <c r="A13965" t="s">
        <v>6192</v>
      </c>
    </row>
    <row r="13966" spans="1:1" x14ac:dyDescent="0.3">
      <c r="A13966" t="s">
        <v>51</v>
      </c>
    </row>
    <row r="13967" spans="1:1" x14ac:dyDescent="0.3">
      <c r="A13967" t="s">
        <v>52</v>
      </c>
    </row>
    <row r="13968" spans="1:1" x14ac:dyDescent="0.3">
      <c r="A13968" t="s">
        <v>79</v>
      </c>
    </row>
    <row r="13969" spans="1:1" x14ac:dyDescent="0.3">
      <c r="A13969" t="s">
        <v>98</v>
      </c>
    </row>
    <row r="13970" spans="1:1" x14ac:dyDescent="0.3">
      <c r="A13970" t="s">
        <v>13</v>
      </c>
    </row>
    <row r="13971" spans="1:1" x14ac:dyDescent="0.3">
      <c r="A13971" t="s">
        <v>105</v>
      </c>
    </row>
    <row r="13972" spans="1:1" x14ac:dyDescent="0.3">
      <c r="A13972" t="s">
        <v>6193</v>
      </c>
    </row>
    <row r="13973" spans="1:1" x14ac:dyDescent="0.3">
      <c r="A13973" t="s">
        <v>1157</v>
      </c>
    </row>
    <row r="13974" spans="1:1" x14ac:dyDescent="0.3">
      <c r="A13974" t="s">
        <v>6194</v>
      </c>
    </row>
    <row r="13975" spans="1:1" x14ac:dyDescent="0.3">
      <c r="A13975" t="s">
        <v>12</v>
      </c>
    </row>
    <row r="13976" spans="1:1" x14ac:dyDescent="0.3">
      <c r="A13976" t="s">
        <v>13</v>
      </c>
    </row>
    <row r="13977" spans="1:1" x14ac:dyDescent="0.3">
      <c r="A13977" t="s">
        <v>106</v>
      </c>
    </row>
    <row r="13978" spans="1:1" x14ac:dyDescent="0.3">
      <c r="A13978" t="s">
        <v>6195</v>
      </c>
    </row>
    <row r="13979" spans="1:1" x14ac:dyDescent="0.3">
      <c r="A13979" t="s">
        <v>1157</v>
      </c>
    </row>
    <row r="13980" spans="1:1" x14ac:dyDescent="0.3">
      <c r="A13980" t="s">
        <v>6196</v>
      </c>
    </row>
    <row r="13981" spans="1:1" x14ac:dyDescent="0.3">
      <c r="A13981" t="s">
        <v>12</v>
      </c>
    </row>
    <row r="13982" spans="1:1" x14ac:dyDescent="0.3">
      <c r="A13982" t="s">
        <v>40</v>
      </c>
    </row>
    <row r="13984" spans="1:1" x14ac:dyDescent="0.3">
      <c r="A13984" t="s">
        <v>12</v>
      </c>
    </row>
    <row r="13985" spans="1:1" x14ac:dyDescent="0.3">
      <c r="A13985" t="s">
        <v>13</v>
      </c>
    </row>
    <row r="13986" spans="1:1" x14ac:dyDescent="0.3">
      <c r="A13986" t="s">
        <v>1260</v>
      </c>
    </row>
    <row r="13987" spans="1:1" x14ac:dyDescent="0.3">
      <c r="A13987" t="s">
        <v>6197</v>
      </c>
    </row>
    <row r="13988" spans="1:1" x14ac:dyDescent="0.3">
      <c r="A13988" t="s">
        <v>6198</v>
      </c>
    </row>
    <row r="13989" spans="1:1" x14ac:dyDescent="0.3">
      <c r="A13989" t="s">
        <v>4436</v>
      </c>
    </row>
    <row r="13990" spans="1:1" x14ac:dyDescent="0.3">
      <c r="A13990" t="s">
        <v>110</v>
      </c>
    </row>
    <row r="13991" spans="1:1" x14ac:dyDescent="0.3">
      <c r="A13991" t="s">
        <v>1154</v>
      </c>
    </row>
    <row r="13992" spans="1:1" x14ac:dyDescent="0.3">
      <c r="A13992" t="s">
        <v>6199</v>
      </c>
    </row>
    <row r="13993" spans="1:1" x14ac:dyDescent="0.3">
      <c r="A13993" t="s">
        <v>51</v>
      </c>
    </row>
    <row r="13994" spans="1:1" x14ac:dyDescent="0.3">
      <c r="A13994" t="s">
        <v>52</v>
      </c>
    </row>
    <row r="13995" spans="1:1" x14ac:dyDescent="0.3">
      <c r="A13995" t="s">
        <v>79</v>
      </c>
    </row>
    <row r="13996" spans="1:1" x14ac:dyDescent="0.3">
      <c r="A13996" t="s">
        <v>98</v>
      </c>
    </row>
    <row r="13997" spans="1:1" x14ac:dyDescent="0.3">
      <c r="A13997" t="s">
        <v>13</v>
      </c>
    </row>
    <row r="13998" spans="1:1" x14ac:dyDescent="0.3">
      <c r="A13998" t="s">
        <v>105</v>
      </c>
    </row>
    <row r="13999" spans="1:1" x14ac:dyDescent="0.3">
      <c r="A13999" t="s">
        <v>6200</v>
      </c>
    </row>
    <row r="14000" spans="1:1" x14ac:dyDescent="0.3">
      <c r="A14000" t="s">
        <v>1157</v>
      </c>
    </row>
    <row r="14001" spans="1:1" x14ac:dyDescent="0.3">
      <c r="A14001" t="s">
        <v>6168</v>
      </c>
    </row>
    <row r="14002" spans="1:1" x14ac:dyDescent="0.3">
      <c r="A14002" t="s">
        <v>12</v>
      </c>
    </row>
    <row r="14003" spans="1:1" x14ac:dyDescent="0.3">
      <c r="A14003" t="s">
        <v>40</v>
      </c>
    </row>
    <row r="14005" spans="1:1" x14ac:dyDescent="0.3">
      <c r="A14005" t="s">
        <v>12</v>
      </c>
    </row>
    <row r="14006" spans="1:1" x14ac:dyDescent="0.3">
      <c r="A14006" t="s">
        <v>13</v>
      </c>
    </row>
    <row r="14007" spans="1:1" x14ac:dyDescent="0.3">
      <c r="A14007" t="s">
        <v>1264</v>
      </c>
    </row>
    <row r="14008" spans="1:1" x14ac:dyDescent="0.3">
      <c r="A14008" t="s">
        <v>6201</v>
      </c>
    </row>
    <row r="14009" spans="1:1" x14ac:dyDescent="0.3">
      <c r="A14009" t="s">
        <v>6202</v>
      </c>
    </row>
    <row r="14010" spans="1:1" x14ac:dyDescent="0.3">
      <c r="A14010" t="s">
        <v>4436</v>
      </c>
    </row>
    <row r="14011" spans="1:1" x14ac:dyDescent="0.3">
      <c r="A14011" t="s">
        <v>110</v>
      </c>
    </row>
    <row r="14012" spans="1:1" x14ac:dyDescent="0.3">
      <c r="A14012" t="s">
        <v>1154</v>
      </c>
    </row>
    <row r="14013" spans="1:1" x14ac:dyDescent="0.3">
      <c r="A14013" t="s">
        <v>6203</v>
      </c>
    </row>
    <row r="14014" spans="1:1" x14ac:dyDescent="0.3">
      <c r="A14014" t="s">
        <v>51</v>
      </c>
    </row>
    <row r="14015" spans="1:1" x14ac:dyDescent="0.3">
      <c r="A14015" t="s">
        <v>52</v>
      </c>
    </row>
    <row r="14016" spans="1:1" x14ac:dyDescent="0.3">
      <c r="A14016" t="s">
        <v>79</v>
      </c>
    </row>
    <row r="14017" spans="1:1" x14ac:dyDescent="0.3">
      <c r="A14017" t="s">
        <v>98</v>
      </c>
    </row>
    <row r="14018" spans="1:1" x14ac:dyDescent="0.3">
      <c r="A14018" t="s">
        <v>13</v>
      </c>
    </row>
    <row r="14019" spans="1:1" x14ac:dyDescent="0.3">
      <c r="A14019" t="s">
        <v>105</v>
      </c>
    </row>
    <row r="14020" spans="1:1" x14ac:dyDescent="0.3">
      <c r="A14020" t="s">
        <v>6204</v>
      </c>
    </row>
    <row r="14021" spans="1:1" x14ac:dyDescent="0.3">
      <c r="A14021" t="s">
        <v>1157</v>
      </c>
    </row>
    <row r="14022" spans="1:1" x14ac:dyDescent="0.3">
      <c r="A14022" t="s">
        <v>6205</v>
      </c>
    </row>
    <row r="14023" spans="1:1" x14ac:dyDescent="0.3">
      <c r="A14023" t="s">
        <v>12</v>
      </c>
    </row>
    <row r="14024" spans="1:1" x14ac:dyDescent="0.3">
      <c r="A14024" t="s">
        <v>13</v>
      </c>
    </row>
    <row r="14025" spans="1:1" x14ac:dyDescent="0.3">
      <c r="A14025" t="s">
        <v>106</v>
      </c>
    </row>
    <row r="14026" spans="1:1" x14ac:dyDescent="0.3">
      <c r="A14026" t="s">
        <v>6206</v>
      </c>
    </row>
    <row r="14027" spans="1:1" x14ac:dyDescent="0.3">
      <c r="A14027" t="s">
        <v>1157</v>
      </c>
    </row>
    <row r="14028" spans="1:1" x14ac:dyDescent="0.3">
      <c r="A14028" t="s">
        <v>6207</v>
      </c>
    </row>
    <row r="14029" spans="1:1" x14ac:dyDescent="0.3">
      <c r="A14029" t="s">
        <v>12</v>
      </c>
    </row>
    <row r="14030" spans="1:1" x14ac:dyDescent="0.3">
      <c r="A14030" t="s">
        <v>40</v>
      </c>
    </row>
    <row r="14032" spans="1:1" x14ac:dyDescent="0.3">
      <c r="A14032" t="s">
        <v>12</v>
      </c>
    </row>
    <row r="14033" spans="1:1" x14ac:dyDescent="0.3">
      <c r="A14033" t="s">
        <v>13</v>
      </c>
    </row>
    <row r="14034" spans="1:1" x14ac:dyDescent="0.3">
      <c r="A14034" t="s">
        <v>1268</v>
      </c>
    </row>
    <row r="14035" spans="1:1" x14ac:dyDescent="0.3">
      <c r="A14035" t="s">
        <v>6208</v>
      </c>
    </row>
    <row r="14036" spans="1:1" x14ac:dyDescent="0.3">
      <c r="A14036" t="s">
        <v>6209</v>
      </c>
    </row>
    <row r="14037" spans="1:1" x14ac:dyDescent="0.3">
      <c r="A14037" t="s">
        <v>4436</v>
      </c>
    </row>
    <row r="14038" spans="1:1" x14ac:dyDescent="0.3">
      <c r="A14038" t="s">
        <v>110</v>
      </c>
    </row>
    <row r="14039" spans="1:1" x14ac:dyDescent="0.3">
      <c r="A14039" t="s">
        <v>1154</v>
      </c>
    </row>
    <row r="14040" spans="1:1" x14ac:dyDescent="0.3">
      <c r="A14040" t="s">
        <v>6210</v>
      </c>
    </row>
    <row r="14041" spans="1:1" x14ac:dyDescent="0.3">
      <c r="A14041" t="s">
        <v>51</v>
      </c>
    </row>
    <row r="14042" spans="1:1" x14ac:dyDescent="0.3">
      <c r="A14042" t="s">
        <v>52</v>
      </c>
    </row>
    <row r="14043" spans="1:1" x14ac:dyDescent="0.3">
      <c r="A14043" t="s">
        <v>79</v>
      </c>
    </row>
    <row r="14044" spans="1:1" x14ac:dyDescent="0.3">
      <c r="A14044" t="s">
        <v>98</v>
      </c>
    </row>
    <row r="14045" spans="1:1" x14ac:dyDescent="0.3">
      <c r="A14045" t="s">
        <v>13</v>
      </c>
    </row>
    <row r="14046" spans="1:1" x14ac:dyDescent="0.3">
      <c r="A14046" t="s">
        <v>105</v>
      </c>
    </row>
    <row r="14047" spans="1:1" x14ac:dyDescent="0.3">
      <c r="A14047" t="s">
        <v>6211</v>
      </c>
    </row>
    <row r="14048" spans="1:1" x14ac:dyDescent="0.3">
      <c r="A14048" t="s">
        <v>1157</v>
      </c>
    </row>
    <row r="14049" spans="1:1" x14ac:dyDescent="0.3">
      <c r="A14049" t="s">
        <v>6212</v>
      </c>
    </row>
    <row r="14050" spans="1:1" x14ac:dyDescent="0.3">
      <c r="A14050" t="s">
        <v>12</v>
      </c>
    </row>
    <row r="14051" spans="1:1" x14ac:dyDescent="0.3">
      <c r="A14051" t="s">
        <v>13</v>
      </c>
    </row>
    <row r="14052" spans="1:1" x14ac:dyDescent="0.3">
      <c r="A14052" t="s">
        <v>106</v>
      </c>
    </row>
    <row r="14053" spans="1:1" x14ac:dyDescent="0.3">
      <c r="A14053" t="s">
        <v>6213</v>
      </c>
    </row>
    <row r="14054" spans="1:1" x14ac:dyDescent="0.3">
      <c r="A14054" t="s">
        <v>1157</v>
      </c>
    </row>
    <row r="14055" spans="1:1" x14ac:dyDescent="0.3">
      <c r="A14055" t="s">
        <v>6214</v>
      </c>
    </row>
    <row r="14056" spans="1:1" x14ac:dyDescent="0.3">
      <c r="A14056" t="s">
        <v>12</v>
      </c>
    </row>
    <row r="14057" spans="1:1" x14ac:dyDescent="0.3">
      <c r="A14057" t="s">
        <v>40</v>
      </c>
    </row>
    <row r="14059" spans="1:1" x14ac:dyDescent="0.3">
      <c r="A14059" t="s">
        <v>12</v>
      </c>
    </row>
    <row r="14060" spans="1:1" x14ac:dyDescent="0.3">
      <c r="A14060" t="s">
        <v>13</v>
      </c>
    </row>
    <row r="14061" spans="1:1" x14ac:dyDescent="0.3">
      <c r="A14061" t="s">
        <v>1276</v>
      </c>
    </row>
    <row r="14062" spans="1:1" x14ac:dyDescent="0.3">
      <c r="A14062" t="s">
        <v>6215</v>
      </c>
    </row>
    <row r="14063" spans="1:1" x14ac:dyDescent="0.3">
      <c r="A14063" t="s">
        <v>6216</v>
      </c>
    </row>
    <row r="14064" spans="1:1" x14ac:dyDescent="0.3">
      <c r="A14064" t="s">
        <v>4436</v>
      </c>
    </row>
    <row r="14065" spans="1:1" x14ac:dyDescent="0.3">
      <c r="A14065" t="s">
        <v>110</v>
      </c>
    </row>
    <row r="14066" spans="1:1" x14ac:dyDescent="0.3">
      <c r="A14066" t="s">
        <v>1154</v>
      </c>
    </row>
    <row r="14067" spans="1:1" x14ac:dyDescent="0.3">
      <c r="A14067" t="s">
        <v>6217</v>
      </c>
    </row>
    <row r="14068" spans="1:1" x14ac:dyDescent="0.3">
      <c r="A14068" t="s">
        <v>51</v>
      </c>
    </row>
    <row r="14069" spans="1:1" x14ac:dyDescent="0.3">
      <c r="A14069" t="s">
        <v>52</v>
      </c>
    </row>
    <row r="14070" spans="1:1" x14ac:dyDescent="0.3">
      <c r="A14070" t="s">
        <v>79</v>
      </c>
    </row>
    <row r="14071" spans="1:1" x14ac:dyDescent="0.3">
      <c r="A14071" t="s">
        <v>98</v>
      </c>
    </row>
    <row r="14072" spans="1:1" x14ac:dyDescent="0.3">
      <c r="A14072" t="s">
        <v>13</v>
      </c>
    </row>
    <row r="14073" spans="1:1" x14ac:dyDescent="0.3">
      <c r="A14073" t="s">
        <v>105</v>
      </c>
    </row>
    <row r="14074" spans="1:1" x14ac:dyDescent="0.3">
      <c r="A14074" t="s">
        <v>6218</v>
      </c>
    </row>
    <row r="14075" spans="1:1" x14ac:dyDescent="0.3">
      <c r="A14075" t="s">
        <v>1157</v>
      </c>
    </row>
    <row r="14076" spans="1:1" x14ac:dyDescent="0.3">
      <c r="A14076" t="s">
        <v>6219</v>
      </c>
    </row>
    <row r="14077" spans="1:1" x14ac:dyDescent="0.3">
      <c r="A14077" t="s">
        <v>12</v>
      </c>
    </row>
    <row r="14078" spans="1:1" x14ac:dyDescent="0.3">
      <c r="A14078" t="s">
        <v>13</v>
      </c>
    </row>
    <row r="14079" spans="1:1" x14ac:dyDescent="0.3">
      <c r="A14079" t="s">
        <v>106</v>
      </c>
    </row>
    <row r="14080" spans="1:1" x14ac:dyDescent="0.3">
      <c r="A14080" t="s">
        <v>6220</v>
      </c>
    </row>
    <row r="14081" spans="1:1" x14ac:dyDescent="0.3">
      <c r="A14081" t="s">
        <v>1157</v>
      </c>
    </row>
    <row r="14082" spans="1:1" x14ac:dyDescent="0.3">
      <c r="A14082" t="s">
        <v>6221</v>
      </c>
    </row>
    <row r="14083" spans="1:1" x14ac:dyDescent="0.3">
      <c r="A14083" t="s">
        <v>12</v>
      </c>
    </row>
    <row r="14084" spans="1:1" x14ac:dyDescent="0.3">
      <c r="A14084" t="s">
        <v>40</v>
      </c>
    </row>
    <row r="14086" spans="1:1" x14ac:dyDescent="0.3">
      <c r="A14086" t="s">
        <v>12</v>
      </c>
    </row>
    <row r="14087" spans="1:1" x14ac:dyDescent="0.3">
      <c r="A14087" t="s">
        <v>13</v>
      </c>
    </row>
    <row r="14088" spans="1:1" x14ac:dyDescent="0.3">
      <c r="A14088" t="s">
        <v>1279</v>
      </c>
    </row>
    <row r="14089" spans="1:1" x14ac:dyDescent="0.3">
      <c r="A14089" t="s">
        <v>6222</v>
      </c>
    </row>
    <row r="14090" spans="1:1" x14ac:dyDescent="0.3">
      <c r="A14090" t="s">
        <v>6223</v>
      </c>
    </row>
    <row r="14091" spans="1:1" x14ac:dyDescent="0.3">
      <c r="A14091" t="s">
        <v>4436</v>
      </c>
    </row>
    <row r="14092" spans="1:1" x14ac:dyDescent="0.3">
      <c r="A14092" t="s">
        <v>110</v>
      </c>
    </row>
    <row r="14093" spans="1:1" x14ac:dyDescent="0.3">
      <c r="A14093" t="s">
        <v>1154</v>
      </c>
    </row>
    <row r="14094" spans="1:1" x14ac:dyDescent="0.3">
      <c r="A14094" t="s">
        <v>6224</v>
      </c>
    </row>
    <row r="14095" spans="1:1" x14ac:dyDescent="0.3">
      <c r="A14095" t="s">
        <v>51</v>
      </c>
    </row>
    <row r="14096" spans="1:1" x14ac:dyDescent="0.3">
      <c r="A14096" t="s">
        <v>52</v>
      </c>
    </row>
    <row r="14097" spans="1:1" x14ac:dyDescent="0.3">
      <c r="A14097" t="s">
        <v>79</v>
      </c>
    </row>
    <row r="14098" spans="1:1" x14ac:dyDescent="0.3">
      <c r="A14098" t="s">
        <v>98</v>
      </c>
    </row>
    <row r="14099" spans="1:1" x14ac:dyDescent="0.3">
      <c r="A14099" t="s">
        <v>13</v>
      </c>
    </row>
    <row r="14100" spans="1:1" x14ac:dyDescent="0.3">
      <c r="A14100" t="s">
        <v>105</v>
      </c>
    </row>
    <row r="14101" spans="1:1" x14ac:dyDescent="0.3">
      <c r="A14101" t="s">
        <v>6225</v>
      </c>
    </row>
    <row r="14102" spans="1:1" x14ac:dyDescent="0.3">
      <c r="A14102" t="s">
        <v>1157</v>
      </c>
    </row>
    <row r="14103" spans="1:1" x14ac:dyDescent="0.3">
      <c r="A14103" t="s">
        <v>6226</v>
      </c>
    </row>
    <row r="14104" spans="1:1" x14ac:dyDescent="0.3">
      <c r="A14104" t="s">
        <v>12</v>
      </c>
    </row>
    <row r="14105" spans="1:1" x14ac:dyDescent="0.3">
      <c r="A14105" t="s">
        <v>13</v>
      </c>
    </row>
    <row r="14106" spans="1:1" x14ac:dyDescent="0.3">
      <c r="A14106" t="s">
        <v>106</v>
      </c>
    </row>
    <row r="14107" spans="1:1" x14ac:dyDescent="0.3">
      <c r="A14107" t="s">
        <v>6227</v>
      </c>
    </row>
    <row r="14108" spans="1:1" x14ac:dyDescent="0.3">
      <c r="A14108" t="s">
        <v>1157</v>
      </c>
    </row>
    <row r="14109" spans="1:1" x14ac:dyDescent="0.3">
      <c r="A14109" t="s">
        <v>6228</v>
      </c>
    </row>
    <row r="14110" spans="1:1" x14ac:dyDescent="0.3">
      <c r="A14110" t="s">
        <v>12</v>
      </c>
    </row>
    <row r="14111" spans="1:1" x14ac:dyDescent="0.3">
      <c r="A14111" t="s">
        <v>40</v>
      </c>
    </row>
    <row r="14113" spans="1:1" x14ac:dyDescent="0.3">
      <c r="A14113" t="s">
        <v>12</v>
      </c>
    </row>
    <row r="14114" spans="1:1" x14ac:dyDescent="0.3">
      <c r="A14114" t="s">
        <v>13</v>
      </c>
    </row>
    <row r="14115" spans="1:1" x14ac:dyDescent="0.3">
      <c r="A14115" t="s">
        <v>1287</v>
      </c>
    </row>
    <row r="14116" spans="1:1" x14ac:dyDescent="0.3">
      <c r="A14116" t="s">
        <v>5982</v>
      </c>
    </row>
    <row r="14117" spans="1:1" x14ac:dyDescent="0.3">
      <c r="A14117" t="s">
        <v>6229</v>
      </c>
    </row>
    <row r="14118" spans="1:1" x14ac:dyDescent="0.3">
      <c r="A14118" t="s">
        <v>4436</v>
      </c>
    </row>
    <row r="14119" spans="1:1" x14ac:dyDescent="0.3">
      <c r="A14119" t="s">
        <v>110</v>
      </c>
    </row>
    <row r="14120" spans="1:1" x14ac:dyDescent="0.3">
      <c r="A14120" t="s">
        <v>1154</v>
      </c>
    </row>
    <row r="14121" spans="1:1" x14ac:dyDescent="0.3">
      <c r="A14121" t="s">
        <v>6230</v>
      </c>
    </row>
    <row r="14122" spans="1:1" x14ac:dyDescent="0.3">
      <c r="A14122" t="s">
        <v>51</v>
      </c>
    </row>
    <row r="14123" spans="1:1" x14ac:dyDescent="0.3">
      <c r="A14123" t="s">
        <v>52</v>
      </c>
    </row>
    <row r="14124" spans="1:1" x14ac:dyDescent="0.3">
      <c r="A14124" t="s">
        <v>79</v>
      </c>
    </row>
    <row r="14125" spans="1:1" x14ac:dyDescent="0.3">
      <c r="A14125" t="s">
        <v>98</v>
      </c>
    </row>
    <row r="14126" spans="1:1" x14ac:dyDescent="0.3">
      <c r="A14126" t="s">
        <v>13</v>
      </c>
    </row>
    <row r="14127" spans="1:1" x14ac:dyDescent="0.3">
      <c r="A14127" t="s">
        <v>105</v>
      </c>
    </row>
    <row r="14128" spans="1:1" x14ac:dyDescent="0.3">
      <c r="A14128" t="s">
        <v>6231</v>
      </c>
    </row>
    <row r="14129" spans="1:1" x14ac:dyDescent="0.3">
      <c r="A14129" t="s">
        <v>1157</v>
      </c>
    </row>
    <row r="14130" spans="1:1" x14ac:dyDescent="0.3">
      <c r="A14130" t="s">
        <v>6232</v>
      </c>
    </row>
    <row r="14131" spans="1:1" x14ac:dyDescent="0.3">
      <c r="A14131" t="s">
        <v>12</v>
      </c>
    </row>
    <row r="14132" spans="1:1" x14ac:dyDescent="0.3">
      <c r="A14132" t="s">
        <v>13</v>
      </c>
    </row>
    <row r="14133" spans="1:1" x14ac:dyDescent="0.3">
      <c r="A14133" t="s">
        <v>106</v>
      </c>
    </row>
    <row r="14134" spans="1:1" x14ac:dyDescent="0.3">
      <c r="A14134" t="s">
        <v>6233</v>
      </c>
    </row>
    <row r="14135" spans="1:1" x14ac:dyDescent="0.3">
      <c r="A14135" t="s">
        <v>1157</v>
      </c>
    </row>
    <row r="14136" spans="1:1" x14ac:dyDescent="0.3">
      <c r="A14136" t="s">
        <v>5968</v>
      </c>
    </row>
    <row r="14137" spans="1:1" x14ac:dyDescent="0.3">
      <c r="A14137" t="s">
        <v>12</v>
      </c>
    </row>
    <row r="14138" spans="1:1" x14ac:dyDescent="0.3">
      <c r="A14138" t="s">
        <v>40</v>
      </c>
    </row>
    <row r="14140" spans="1:1" x14ac:dyDescent="0.3">
      <c r="A14140" t="s">
        <v>12</v>
      </c>
    </row>
    <row r="14141" spans="1:1" x14ac:dyDescent="0.3">
      <c r="A14141" t="s">
        <v>13</v>
      </c>
    </row>
    <row r="14142" spans="1:1" x14ac:dyDescent="0.3">
      <c r="A14142" t="s">
        <v>1295</v>
      </c>
    </row>
    <row r="14143" spans="1:1" x14ac:dyDescent="0.3">
      <c r="A14143" t="s">
        <v>6234</v>
      </c>
    </row>
    <row r="14144" spans="1:1" x14ac:dyDescent="0.3">
      <c r="A14144" t="s">
        <v>6235</v>
      </c>
    </row>
    <row r="14145" spans="1:1" x14ac:dyDescent="0.3">
      <c r="A14145" t="s">
        <v>4436</v>
      </c>
    </row>
    <row r="14146" spans="1:1" x14ac:dyDescent="0.3">
      <c r="A14146" t="s">
        <v>110</v>
      </c>
    </row>
    <row r="14147" spans="1:1" x14ac:dyDescent="0.3">
      <c r="A14147" t="s">
        <v>1154</v>
      </c>
    </row>
    <row r="14148" spans="1:1" x14ac:dyDescent="0.3">
      <c r="A14148" t="s">
        <v>6236</v>
      </c>
    </row>
    <row r="14149" spans="1:1" x14ac:dyDescent="0.3">
      <c r="A14149" t="s">
        <v>51</v>
      </c>
    </row>
    <row r="14150" spans="1:1" x14ac:dyDescent="0.3">
      <c r="A14150" t="s">
        <v>52</v>
      </c>
    </row>
    <row r="14151" spans="1:1" x14ac:dyDescent="0.3">
      <c r="A14151" t="s">
        <v>79</v>
      </c>
    </row>
    <row r="14153" spans="1:1" x14ac:dyDescent="0.3">
      <c r="A14153" t="s">
        <v>12</v>
      </c>
    </row>
    <row r="14154" spans="1:1" x14ac:dyDescent="0.3">
      <c r="A14154" t="s">
        <v>13</v>
      </c>
    </row>
    <row r="14155" spans="1:1" x14ac:dyDescent="0.3">
      <c r="A14155" t="s">
        <v>1298</v>
      </c>
    </row>
    <row r="14156" spans="1:1" x14ac:dyDescent="0.3">
      <c r="A14156" t="s">
        <v>6237</v>
      </c>
    </row>
    <row r="14157" spans="1:1" x14ac:dyDescent="0.3">
      <c r="A14157" t="s">
        <v>6238</v>
      </c>
    </row>
    <row r="14158" spans="1:1" x14ac:dyDescent="0.3">
      <c r="A14158" t="s">
        <v>4436</v>
      </c>
    </row>
    <row r="14159" spans="1:1" x14ac:dyDescent="0.3">
      <c r="A14159" t="s">
        <v>110</v>
      </c>
    </row>
    <row r="14160" spans="1:1" x14ac:dyDescent="0.3">
      <c r="A14160" t="s">
        <v>6239</v>
      </c>
    </row>
    <row r="14161" spans="1:1" x14ac:dyDescent="0.3">
      <c r="A14161" t="s">
        <v>6240</v>
      </c>
    </row>
    <row r="14162" spans="1:1" x14ac:dyDescent="0.3">
      <c r="A14162" t="s">
        <v>51</v>
      </c>
    </row>
    <row r="14163" spans="1:1" x14ac:dyDescent="0.3">
      <c r="A14163" t="s">
        <v>52</v>
      </c>
    </row>
    <row r="14164" spans="1:1" x14ac:dyDescent="0.3">
      <c r="A14164" t="s">
        <v>79</v>
      </c>
    </row>
    <row r="14166" spans="1:1" x14ac:dyDescent="0.3">
      <c r="A14166" t="s">
        <v>12</v>
      </c>
    </row>
    <row r="14167" spans="1:1" x14ac:dyDescent="0.3">
      <c r="A14167" t="s">
        <v>13</v>
      </c>
    </row>
    <row r="14168" spans="1:1" x14ac:dyDescent="0.3">
      <c r="A14168" t="s">
        <v>1306</v>
      </c>
    </row>
    <row r="14169" spans="1:1" x14ac:dyDescent="0.3">
      <c r="A14169" t="s">
        <v>6241</v>
      </c>
    </row>
    <row r="14170" spans="1:1" x14ac:dyDescent="0.3">
      <c r="A14170" t="s">
        <v>6242</v>
      </c>
    </row>
    <row r="14171" spans="1:1" x14ac:dyDescent="0.3">
      <c r="A14171" t="s">
        <v>4436</v>
      </c>
    </row>
    <row r="14172" spans="1:1" x14ac:dyDescent="0.3">
      <c r="A14172" t="s">
        <v>110</v>
      </c>
    </row>
    <row r="14173" spans="1:1" x14ac:dyDescent="0.3">
      <c r="A14173" t="s">
        <v>1154</v>
      </c>
    </row>
    <row r="14174" spans="1:1" x14ac:dyDescent="0.3">
      <c r="A14174" t="s">
        <v>6243</v>
      </c>
    </row>
    <row r="14175" spans="1:1" x14ac:dyDescent="0.3">
      <c r="A14175" t="s">
        <v>51</v>
      </c>
    </row>
    <row r="14176" spans="1:1" x14ac:dyDescent="0.3">
      <c r="A14176" t="s">
        <v>52</v>
      </c>
    </row>
    <row r="14177" spans="1:1" x14ac:dyDescent="0.3">
      <c r="A14177" t="s">
        <v>79</v>
      </c>
    </row>
    <row r="14179" spans="1:1" x14ac:dyDescent="0.3">
      <c r="A14179" t="s">
        <v>12</v>
      </c>
    </row>
    <row r="14180" spans="1:1" x14ac:dyDescent="0.3">
      <c r="A14180" t="s">
        <v>13</v>
      </c>
    </row>
    <row r="14181" spans="1:1" x14ac:dyDescent="0.3">
      <c r="A14181" t="s">
        <v>1314</v>
      </c>
    </row>
    <row r="14182" spans="1:1" x14ac:dyDescent="0.3">
      <c r="A14182" t="s">
        <v>6244</v>
      </c>
    </row>
    <row r="14183" spans="1:1" x14ac:dyDescent="0.3">
      <c r="A14183" t="s">
        <v>6245</v>
      </c>
    </row>
    <row r="14184" spans="1:1" x14ac:dyDescent="0.3">
      <c r="A14184" t="s">
        <v>4436</v>
      </c>
    </row>
    <row r="14185" spans="1:1" x14ac:dyDescent="0.3">
      <c r="A14185" t="s">
        <v>110</v>
      </c>
    </row>
    <row r="14186" spans="1:1" x14ac:dyDescent="0.3">
      <c r="A14186" t="s">
        <v>1154</v>
      </c>
    </row>
    <row r="14187" spans="1:1" x14ac:dyDescent="0.3">
      <c r="A14187" t="s">
        <v>6246</v>
      </c>
    </row>
    <row r="14188" spans="1:1" x14ac:dyDescent="0.3">
      <c r="A14188" t="s">
        <v>51</v>
      </c>
    </row>
    <row r="14189" spans="1:1" x14ac:dyDescent="0.3">
      <c r="A14189" t="s">
        <v>52</v>
      </c>
    </row>
    <row r="14190" spans="1:1" x14ac:dyDescent="0.3">
      <c r="A14190" t="s">
        <v>79</v>
      </c>
    </row>
    <row r="14192" spans="1:1" x14ac:dyDescent="0.3">
      <c r="A14192" t="s">
        <v>12</v>
      </c>
    </row>
    <row r="14193" spans="1:1" x14ac:dyDescent="0.3">
      <c r="A14193" t="s">
        <v>13</v>
      </c>
    </row>
    <row r="14194" spans="1:1" x14ac:dyDescent="0.3">
      <c r="A14194" t="s">
        <v>1322</v>
      </c>
    </row>
    <row r="14195" spans="1:1" x14ac:dyDescent="0.3">
      <c r="A14195" t="s">
        <v>6247</v>
      </c>
    </row>
    <row r="14196" spans="1:1" x14ac:dyDescent="0.3">
      <c r="A14196" t="s">
        <v>6248</v>
      </c>
    </row>
    <row r="14197" spans="1:1" x14ac:dyDescent="0.3">
      <c r="A14197" t="s">
        <v>4436</v>
      </c>
    </row>
    <row r="14198" spans="1:1" x14ac:dyDescent="0.3">
      <c r="A14198" t="s">
        <v>110</v>
      </c>
    </row>
    <row r="14199" spans="1:1" x14ac:dyDescent="0.3">
      <c r="A14199" t="s">
        <v>1154</v>
      </c>
    </row>
    <row r="14200" spans="1:1" x14ac:dyDescent="0.3">
      <c r="A14200" t="s">
        <v>6249</v>
      </c>
    </row>
    <row r="14201" spans="1:1" x14ac:dyDescent="0.3">
      <c r="A14201" t="s">
        <v>51</v>
      </c>
    </row>
    <row r="14202" spans="1:1" x14ac:dyDescent="0.3">
      <c r="A14202" t="s">
        <v>52</v>
      </c>
    </row>
    <row r="14203" spans="1:1" x14ac:dyDescent="0.3">
      <c r="A14203" t="s">
        <v>79</v>
      </c>
    </row>
    <row r="14205" spans="1:1" x14ac:dyDescent="0.3">
      <c r="A14205" t="s">
        <v>12</v>
      </c>
    </row>
    <row r="14206" spans="1:1" x14ac:dyDescent="0.3">
      <c r="A14206" t="s">
        <v>13</v>
      </c>
    </row>
    <row r="14207" spans="1:1" x14ac:dyDescent="0.3">
      <c r="A14207" t="s">
        <v>1328</v>
      </c>
    </row>
    <row r="14208" spans="1:1" x14ac:dyDescent="0.3">
      <c r="A14208" t="s">
        <v>6250</v>
      </c>
    </row>
    <row r="14209" spans="1:1" x14ac:dyDescent="0.3">
      <c r="A14209" t="s">
        <v>6251</v>
      </c>
    </row>
    <row r="14210" spans="1:1" x14ac:dyDescent="0.3">
      <c r="A14210" t="s">
        <v>4436</v>
      </c>
    </row>
    <row r="14211" spans="1:1" x14ac:dyDescent="0.3">
      <c r="A14211" t="s">
        <v>110</v>
      </c>
    </row>
    <row r="14212" spans="1:1" x14ac:dyDescent="0.3">
      <c r="A14212" t="s">
        <v>1154</v>
      </c>
    </row>
    <row r="14213" spans="1:1" x14ac:dyDescent="0.3">
      <c r="A14213" t="s">
        <v>6252</v>
      </c>
    </row>
    <row r="14214" spans="1:1" x14ac:dyDescent="0.3">
      <c r="A14214" t="s">
        <v>51</v>
      </c>
    </row>
    <row r="14215" spans="1:1" x14ac:dyDescent="0.3">
      <c r="A14215" t="s">
        <v>52</v>
      </c>
    </row>
    <row r="14216" spans="1:1" x14ac:dyDescent="0.3">
      <c r="A14216" t="s">
        <v>79</v>
      </c>
    </row>
    <row r="14217" spans="1:1" x14ac:dyDescent="0.3">
      <c r="A14217" t="s">
        <v>98</v>
      </c>
    </row>
    <row r="14218" spans="1:1" x14ac:dyDescent="0.3">
      <c r="A14218" t="s">
        <v>13</v>
      </c>
    </row>
    <row r="14219" spans="1:1" x14ac:dyDescent="0.3">
      <c r="A14219" t="s">
        <v>105</v>
      </c>
    </row>
    <row r="14220" spans="1:1" x14ac:dyDescent="0.3">
      <c r="A14220" t="s">
        <v>6253</v>
      </c>
    </row>
    <row r="14221" spans="1:1" x14ac:dyDescent="0.3">
      <c r="A14221" t="s">
        <v>1157</v>
      </c>
    </row>
    <row r="14222" spans="1:1" x14ac:dyDescent="0.3">
      <c r="A14222" t="s">
        <v>6254</v>
      </c>
    </row>
    <row r="14223" spans="1:1" x14ac:dyDescent="0.3">
      <c r="A14223" t="s">
        <v>12</v>
      </c>
    </row>
    <row r="14224" spans="1:1" x14ac:dyDescent="0.3">
      <c r="A14224" t="s">
        <v>13</v>
      </c>
    </row>
    <row r="14225" spans="1:1" x14ac:dyDescent="0.3">
      <c r="A14225" t="s">
        <v>106</v>
      </c>
    </row>
    <row r="14226" spans="1:1" x14ac:dyDescent="0.3">
      <c r="A14226" t="s">
        <v>6255</v>
      </c>
    </row>
    <row r="14227" spans="1:1" x14ac:dyDescent="0.3">
      <c r="A14227" t="s">
        <v>1157</v>
      </c>
    </row>
    <row r="14228" spans="1:1" x14ac:dyDescent="0.3">
      <c r="A14228" t="s">
        <v>6194</v>
      </c>
    </row>
    <row r="14229" spans="1:1" x14ac:dyDescent="0.3">
      <c r="A14229" t="s">
        <v>12</v>
      </c>
    </row>
    <row r="14230" spans="1:1" x14ac:dyDescent="0.3">
      <c r="A14230" t="s">
        <v>40</v>
      </c>
    </row>
    <row r="14232" spans="1:1" x14ac:dyDescent="0.3">
      <c r="A14232" t="s">
        <v>12</v>
      </c>
    </row>
    <row r="14233" spans="1:1" x14ac:dyDescent="0.3">
      <c r="A14233" t="s">
        <v>13</v>
      </c>
    </row>
    <row r="14234" spans="1:1" x14ac:dyDescent="0.3">
      <c r="A14234" t="s">
        <v>1332</v>
      </c>
    </row>
    <row r="14235" spans="1:1" x14ac:dyDescent="0.3">
      <c r="A14235" t="s">
        <v>6256</v>
      </c>
    </row>
    <row r="14236" spans="1:1" x14ac:dyDescent="0.3">
      <c r="A14236" t="s">
        <v>6257</v>
      </c>
    </row>
    <row r="14237" spans="1:1" x14ac:dyDescent="0.3">
      <c r="A14237" t="s">
        <v>4436</v>
      </c>
    </row>
    <row r="14238" spans="1:1" x14ac:dyDescent="0.3">
      <c r="A14238" t="s">
        <v>110</v>
      </c>
    </row>
    <row r="14239" spans="1:1" x14ac:dyDescent="0.3">
      <c r="A14239" t="s">
        <v>1154</v>
      </c>
    </row>
    <row r="14240" spans="1:1" x14ac:dyDescent="0.3">
      <c r="A14240" t="s">
        <v>6258</v>
      </c>
    </row>
    <row r="14241" spans="1:1" x14ac:dyDescent="0.3">
      <c r="A14241" t="s">
        <v>51</v>
      </c>
    </row>
    <row r="14242" spans="1:1" x14ac:dyDescent="0.3">
      <c r="A14242" t="s">
        <v>52</v>
      </c>
    </row>
    <row r="14243" spans="1:1" x14ac:dyDescent="0.3">
      <c r="A14243" t="s">
        <v>79</v>
      </c>
    </row>
    <row r="14244" spans="1:1" x14ac:dyDescent="0.3">
      <c r="A14244" t="s">
        <v>98</v>
      </c>
    </row>
    <row r="14245" spans="1:1" x14ac:dyDescent="0.3">
      <c r="A14245" t="s">
        <v>13</v>
      </c>
    </row>
    <row r="14246" spans="1:1" x14ac:dyDescent="0.3">
      <c r="A14246" t="s">
        <v>105</v>
      </c>
    </row>
    <row r="14247" spans="1:1" x14ac:dyDescent="0.3">
      <c r="A14247" t="s">
        <v>6259</v>
      </c>
    </row>
    <row r="14248" spans="1:1" x14ac:dyDescent="0.3">
      <c r="A14248" t="s">
        <v>1157</v>
      </c>
    </row>
    <row r="14249" spans="1:1" x14ac:dyDescent="0.3">
      <c r="A14249" t="s">
        <v>6260</v>
      </c>
    </row>
    <row r="14250" spans="1:1" x14ac:dyDescent="0.3">
      <c r="A14250" t="s">
        <v>12</v>
      </c>
    </row>
    <row r="14251" spans="1:1" x14ac:dyDescent="0.3">
      <c r="A14251" t="s">
        <v>13</v>
      </c>
    </row>
    <row r="14252" spans="1:1" x14ac:dyDescent="0.3">
      <c r="A14252" t="s">
        <v>106</v>
      </c>
    </row>
    <row r="14253" spans="1:1" x14ac:dyDescent="0.3">
      <c r="A14253" t="s">
        <v>6261</v>
      </c>
    </row>
    <row r="14254" spans="1:1" x14ac:dyDescent="0.3">
      <c r="A14254" t="s">
        <v>1157</v>
      </c>
    </row>
    <row r="14255" spans="1:1" x14ac:dyDescent="0.3">
      <c r="A14255" t="s">
        <v>6262</v>
      </c>
    </row>
    <row r="14256" spans="1:1" x14ac:dyDescent="0.3">
      <c r="A14256" t="s">
        <v>12</v>
      </c>
    </row>
    <row r="14257" spans="1:1" x14ac:dyDescent="0.3">
      <c r="A14257" t="s">
        <v>40</v>
      </c>
    </row>
    <row r="14259" spans="1:1" x14ac:dyDescent="0.3">
      <c r="A14259" t="s">
        <v>12</v>
      </c>
    </row>
    <row r="14260" spans="1:1" x14ac:dyDescent="0.3">
      <c r="A14260" t="s">
        <v>13</v>
      </c>
    </row>
    <row r="14261" spans="1:1" x14ac:dyDescent="0.3">
      <c r="A14261" t="s">
        <v>1336</v>
      </c>
    </row>
    <row r="14262" spans="1:1" x14ac:dyDescent="0.3">
      <c r="A14262" t="s">
        <v>6263</v>
      </c>
    </row>
    <row r="14263" spans="1:1" x14ac:dyDescent="0.3">
      <c r="A14263" t="s">
        <v>6264</v>
      </c>
    </row>
    <row r="14264" spans="1:1" x14ac:dyDescent="0.3">
      <c r="A14264" t="s">
        <v>4436</v>
      </c>
    </row>
    <row r="14265" spans="1:1" x14ac:dyDescent="0.3">
      <c r="A14265" t="s">
        <v>110</v>
      </c>
    </row>
    <row r="14266" spans="1:1" x14ac:dyDescent="0.3">
      <c r="A14266" t="s">
        <v>1154</v>
      </c>
    </row>
    <row r="14267" spans="1:1" x14ac:dyDescent="0.3">
      <c r="A14267" t="s">
        <v>6265</v>
      </c>
    </row>
    <row r="14268" spans="1:1" x14ac:dyDescent="0.3">
      <c r="A14268" t="s">
        <v>51</v>
      </c>
    </row>
    <row r="14269" spans="1:1" x14ac:dyDescent="0.3">
      <c r="A14269" t="s">
        <v>52</v>
      </c>
    </row>
    <row r="14270" spans="1:1" x14ac:dyDescent="0.3">
      <c r="A14270" t="s">
        <v>79</v>
      </c>
    </row>
    <row r="14271" spans="1:1" x14ac:dyDescent="0.3">
      <c r="A14271" t="s">
        <v>98</v>
      </c>
    </row>
    <row r="14272" spans="1:1" x14ac:dyDescent="0.3">
      <c r="A14272" t="s">
        <v>13</v>
      </c>
    </row>
    <row r="14273" spans="1:1" x14ac:dyDescent="0.3">
      <c r="A14273" t="s">
        <v>105</v>
      </c>
    </row>
    <row r="14274" spans="1:1" x14ac:dyDescent="0.3">
      <c r="A14274" t="s">
        <v>6266</v>
      </c>
    </row>
    <row r="14275" spans="1:1" x14ac:dyDescent="0.3">
      <c r="A14275" t="s">
        <v>1157</v>
      </c>
    </row>
    <row r="14276" spans="1:1" x14ac:dyDescent="0.3">
      <c r="A14276" t="s">
        <v>6267</v>
      </c>
    </row>
    <row r="14277" spans="1:1" x14ac:dyDescent="0.3">
      <c r="A14277" t="s">
        <v>12</v>
      </c>
    </row>
    <row r="14278" spans="1:1" x14ac:dyDescent="0.3">
      <c r="A14278" t="s">
        <v>13</v>
      </c>
    </row>
    <row r="14279" spans="1:1" x14ac:dyDescent="0.3">
      <c r="A14279" t="s">
        <v>106</v>
      </c>
    </row>
    <row r="14280" spans="1:1" x14ac:dyDescent="0.3">
      <c r="A14280" t="s">
        <v>6268</v>
      </c>
    </row>
    <row r="14281" spans="1:1" x14ac:dyDescent="0.3">
      <c r="A14281" t="s">
        <v>1157</v>
      </c>
    </row>
    <row r="14282" spans="1:1" x14ac:dyDescent="0.3">
      <c r="A14282" t="s">
        <v>6269</v>
      </c>
    </row>
    <row r="14283" spans="1:1" x14ac:dyDescent="0.3">
      <c r="A14283" t="s">
        <v>12</v>
      </c>
    </row>
    <row r="14284" spans="1:1" x14ac:dyDescent="0.3">
      <c r="A14284" t="s">
        <v>40</v>
      </c>
    </row>
    <row r="14286" spans="1:1" x14ac:dyDescent="0.3">
      <c r="A14286" t="s">
        <v>12</v>
      </c>
    </row>
    <row r="14287" spans="1:1" x14ac:dyDescent="0.3">
      <c r="A14287" t="s">
        <v>13</v>
      </c>
    </row>
    <row r="14288" spans="1:1" x14ac:dyDescent="0.3">
      <c r="A14288" t="s">
        <v>1340</v>
      </c>
    </row>
    <row r="14289" spans="1:1" x14ac:dyDescent="0.3">
      <c r="A14289" t="s">
        <v>6270</v>
      </c>
    </row>
    <row r="14290" spans="1:1" x14ac:dyDescent="0.3">
      <c r="A14290" t="s">
        <v>6271</v>
      </c>
    </row>
    <row r="14291" spans="1:1" x14ac:dyDescent="0.3">
      <c r="A14291" t="s">
        <v>4436</v>
      </c>
    </row>
    <row r="14292" spans="1:1" x14ac:dyDescent="0.3">
      <c r="A14292" t="s">
        <v>110</v>
      </c>
    </row>
    <row r="14293" spans="1:1" x14ac:dyDescent="0.3">
      <c r="A14293" t="s">
        <v>1154</v>
      </c>
    </row>
    <row r="14294" spans="1:1" x14ac:dyDescent="0.3">
      <c r="A14294" t="s">
        <v>6272</v>
      </c>
    </row>
    <row r="14295" spans="1:1" x14ac:dyDescent="0.3">
      <c r="A14295" t="s">
        <v>51</v>
      </c>
    </row>
    <row r="14296" spans="1:1" x14ac:dyDescent="0.3">
      <c r="A14296" t="s">
        <v>52</v>
      </c>
    </row>
    <row r="14297" spans="1:1" x14ac:dyDescent="0.3">
      <c r="A14297" t="s">
        <v>79</v>
      </c>
    </row>
    <row r="14299" spans="1:1" x14ac:dyDescent="0.3">
      <c r="A14299" t="s">
        <v>12</v>
      </c>
    </row>
    <row r="14300" spans="1:1" x14ac:dyDescent="0.3">
      <c r="A14300" t="s">
        <v>13</v>
      </c>
    </row>
    <row r="14301" spans="1:1" x14ac:dyDescent="0.3">
      <c r="A14301" t="s">
        <v>1343</v>
      </c>
    </row>
    <row r="14302" spans="1:1" x14ac:dyDescent="0.3">
      <c r="A14302" t="s">
        <v>6273</v>
      </c>
    </row>
    <row r="14303" spans="1:1" x14ac:dyDescent="0.3">
      <c r="A14303" t="s">
        <v>6274</v>
      </c>
    </row>
    <row r="14304" spans="1:1" x14ac:dyDescent="0.3">
      <c r="A14304" t="s">
        <v>4436</v>
      </c>
    </row>
    <row r="14305" spans="1:1" x14ac:dyDescent="0.3">
      <c r="A14305" t="s">
        <v>110</v>
      </c>
    </row>
    <row r="14306" spans="1:1" x14ac:dyDescent="0.3">
      <c r="A14306" t="s">
        <v>1154</v>
      </c>
    </row>
    <row r="14307" spans="1:1" x14ac:dyDescent="0.3">
      <c r="A14307" t="s">
        <v>6275</v>
      </c>
    </row>
    <row r="14308" spans="1:1" x14ac:dyDescent="0.3">
      <c r="A14308" t="s">
        <v>51</v>
      </c>
    </row>
    <row r="14309" spans="1:1" x14ac:dyDescent="0.3">
      <c r="A14309" t="s">
        <v>52</v>
      </c>
    </row>
    <row r="14310" spans="1:1" x14ac:dyDescent="0.3">
      <c r="A14310" t="s">
        <v>79</v>
      </c>
    </row>
    <row r="14312" spans="1:1" x14ac:dyDescent="0.3">
      <c r="A14312" t="s">
        <v>12</v>
      </c>
    </row>
    <row r="14313" spans="1:1" x14ac:dyDescent="0.3">
      <c r="A14313" t="s">
        <v>13</v>
      </c>
    </row>
    <row r="14314" spans="1:1" x14ac:dyDescent="0.3">
      <c r="A14314" t="s">
        <v>1351</v>
      </c>
    </row>
    <row r="14315" spans="1:1" x14ac:dyDescent="0.3">
      <c r="A14315" t="s">
        <v>6137</v>
      </c>
    </row>
    <row r="14316" spans="1:1" x14ac:dyDescent="0.3">
      <c r="A14316" t="s">
        <v>6276</v>
      </c>
    </row>
    <row r="14317" spans="1:1" x14ac:dyDescent="0.3">
      <c r="A14317" t="s">
        <v>4436</v>
      </c>
    </row>
    <row r="14318" spans="1:1" x14ac:dyDescent="0.3">
      <c r="A14318" t="s">
        <v>110</v>
      </c>
    </row>
    <row r="14319" spans="1:1" x14ac:dyDescent="0.3">
      <c r="A14319" t="s">
        <v>1154</v>
      </c>
    </row>
    <row r="14320" spans="1:1" x14ac:dyDescent="0.3">
      <c r="A14320" t="s">
        <v>6277</v>
      </c>
    </row>
    <row r="14321" spans="1:1" x14ac:dyDescent="0.3">
      <c r="A14321" t="s">
        <v>51</v>
      </c>
    </row>
    <row r="14322" spans="1:1" x14ac:dyDescent="0.3">
      <c r="A14322" t="s">
        <v>52</v>
      </c>
    </row>
    <row r="14323" spans="1:1" x14ac:dyDescent="0.3">
      <c r="A14323" t="s">
        <v>79</v>
      </c>
    </row>
    <row r="14325" spans="1:1" x14ac:dyDescent="0.3">
      <c r="A14325" t="s">
        <v>12</v>
      </c>
    </row>
    <row r="14326" spans="1:1" x14ac:dyDescent="0.3">
      <c r="A14326" t="s">
        <v>13</v>
      </c>
    </row>
    <row r="14327" spans="1:1" x14ac:dyDescent="0.3">
      <c r="A14327" t="s">
        <v>1359</v>
      </c>
    </row>
    <row r="14328" spans="1:1" x14ac:dyDescent="0.3">
      <c r="A14328" t="s">
        <v>5225</v>
      </c>
    </row>
    <row r="14329" spans="1:1" x14ac:dyDescent="0.3">
      <c r="A14329" t="s">
        <v>6278</v>
      </c>
    </row>
    <row r="14330" spans="1:1" x14ac:dyDescent="0.3">
      <c r="A14330" t="s">
        <v>4436</v>
      </c>
    </row>
    <row r="14331" spans="1:1" x14ac:dyDescent="0.3">
      <c r="A14331" t="s">
        <v>110</v>
      </c>
    </row>
    <row r="14332" spans="1:1" x14ac:dyDescent="0.3">
      <c r="A14332" t="s">
        <v>1154</v>
      </c>
    </row>
    <row r="14333" spans="1:1" x14ac:dyDescent="0.3">
      <c r="A14333" t="s">
        <v>6279</v>
      </c>
    </row>
    <row r="14334" spans="1:1" x14ac:dyDescent="0.3">
      <c r="A14334" t="s">
        <v>51</v>
      </c>
    </row>
    <row r="14335" spans="1:1" x14ac:dyDescent="0.3">
      <c r="A14335" t="s">
        <v>52</v>
      </c>
    </row>
    <row r="14336" spans="1:1" x14ac:dyDescent="0.3">
      <c r="A14336" t="s">
        <v>79</v>
      </c>
    </row>
    <row r="14338" spans="1:1" x14ac:dyDescent="0.3">
      <c r="A14338" t="s">
        <v>12</v>
      </c>
    </row>
    <row r="14339" spans="1:1" x14ac:dyDescent="0.3">
      <c r="A14339" t="s">
        <v>13</v>
      </c>
    </row>
    <row r="14340" spans="1:1" x14ac:dyDescent="0.3">
      <c r="A14340" t="s">
        <v>1367</v>
      </c>
    </row>
    <row r="14341" spans="1:1" x14ac:dyDescent="0.3">
      <c r="A14341" t="s">
        <v>6280</v>
      </c>
    </row>
    <row r="14342" spans="1:1" x14ac:dyDescent="0.3">
      <c r="A14342" t="s">
        <v>6281</v>
      </c>
    </row>
    <row r="14343" spans="1:1" x14ac:dyDescent="0.3">
      <c r="A14343" t="s">
        <v>4436</v>
      </c>
    </row>
    <row r="14344" spans="1:1" x14ac:dyDescent="0.3">
      <c r="A14344" t="s">
        <v>110</v>
      </c>
    </row>
    <row r="14345" spans="1:1" x14ac:dyDescent="0.3">
      <c r="A14345" t="s">
        <v>1154</v>
      </c>
    </row>
    <row r="14346" spans="1:1" x14ac:dyDescent="0.3">
      <c r="A14346" t="s">
        <v>6282</v>
      </c>
    </row>
    <row r="14347" spans="1:1" x14ac:dyDescent="0.3">
      <c r="A14347" t="s">
        <v>51</v>
      </c>
    </row>
    <row r="14348" spans="1:1" x14ac:dyDescent="0.3">
      <c r="A14348" t="s">
        <v>52</v>
      </c>
    </row>
    <row r="14349" spans="1:1" x14ac:dyDescent="0.3">
      <c r="A14349" t="s">
        <v>79</v>
      </c>
    </row>
    <row r="14351" spans="1:1" x14ac:dyDescent="0.3">
      <c r="A14351" t="s">
        <v>12</v>
      </c>
    </row>
    <row r="14352" spans="1:1" x14ac:dyDescent="0.3">
      <c r="A14352" t="s">
        <v>13</v>
      </c>
    </row>
    <row r="14353" spans="1:1" x14ac:dyDescent="0.3">
      <c r="A14353" t="s">
        <v>1373</v>
      </c>
    </row>
    <row r="14354" spans="1:1" x14ac:dyDescent="0.3">
      <c r="A14354" t="s">
        <v>6283</v>
      </c>
    </row>
    <row r="14355" spans="1:1" x14ac:dyDescent="0.3">
      <c r="A14355" t="s">
        <v>6284</v>
      </c>
    </row>
    <row r="14356" spans="1:1" x14ac:dyDescent="0.3">
      <c r="A14356" t="s">
        <v>4436</v>
      </c>
    </row>
    <row r="14357" spans="1:1" x14ac:dyDescent="0.3">
      <c r="A14357" t="s">
        <v>110</v>
      </c>
    </row>
    <row r="14358" spans="1:1" x14ac:dyDescent="0.3">
      <c r="A14358" t="s">
        <v>1154</v>
      </c>
    </row>
    <row r="14359" spans="1:1" x14ac:dyDescent="0.3">
      <c r="A14359" t="s">
        <v>6285</v>
      </c>
    </row>
    <row r="14360" spans="1:1" x14ac:dyDescent="0.3">
      <c r="A14360" t="s">
        <v>51</v>
      </c>
    </row>
    <row r="14361" spans="1:1" x14ac:dyDescent="0.3">
      <c r="A14361" t="s">
        <v>52</v>
      </c>
    </row>
    <row r="14362" spans="1:1" x14ac:dyDescent="0.3">
      <c r="A14362" t="s">
        <v>79</v>
      </c>
    </row>
    <row r="14363" spans="1:1" x14ac:dyDescent="0.3">
      <c r="A14363" t="s">
        <v>98</v>
      </c>
    </row>
    <row r="14364" spans="1:1" x14ac:dyDescent="0.3">
      <c r="A14364" t="s">
        <v>13</v>
      </c>
    </row>
    <row r="14365" spans="1:1" x14ac:dyDescent="0.3">
      <c r="A14365" t="s">
        <v>105</v>
      </c>
    </row>
    <row r="14366" spans="1:1" x14ac:dyDescent="0.3">
      <c r="A14366" t="s">
        <v>6286</v>
      </c>
    </row>
    <row r="14367" spans="1:1" x14ac:dyDescent="0.3">
      <c r="A14367" t="s">
        <v>1157</v>
      </c>
    </row>
    <row r="14368" spans="1:1" x14ac:dyDescent="0.3">
      <c r="A14368" t="s">
        <v>6287</v>
      </c>
    </row>
    <row r="14369" spans="1:1" x14ac:dyDescent="0.3">
      <c r="A14369" t="s">
        <v>12</v>
      </c>
    </row>
    <row r="14370" spans="1:1" x14ac:dyDescent="0.3">
      <c r="A14370" t="s">
        <v>40</v>
      </c>
    </row>
    <row r="14372" spans="1:1" x14ac:dyDescent="0.3">
      <c r="A14372" t="s">
        <v>12</v>
      </c>
    </row>
    <row r="14373" spans="1:1" x14ac:dyDescent="0.3">
      <c r="A14373" t="s">
        <v>13</v>
      </c>
    </row>
    <row r="14374" spans="1:1" x14ac:dyDescent="0.3">
      <c r="A14374" t="s">
        <v>1640</v>
      </c>
    </row>
    <row r="14375" spans="1:1" x14ac:dyDescent="0.3">
      <c r="A14375" t="s">
        <v>6288</v>
      </c>
    </row>
    <row r="14376" spans="1:1" x14ac:dyDescent="0.3">
      <c r="A14376" t="s">
        <v>6289</v>
      </c>
    </row>
    <row r="14377" spans="1:1" x14ac:dyDescent="0.3">
      <c r="A14377" t="s">
        <v>4436</v>
      </c>
    </row>
    <row r="14378" spans="1:1" x14ac:dyDescent="0.3">
      <c r="A14378" t="s">
        <v>110</v>
      </c>
    </row>
    <row r="14379" spans="1:1" x14ac:dyDescent="0.3">
      <c r="A14379" t="s">
        <v>1154</v>
      </c>
    </row>
    <row r="14380" spans="1:1" x14ac:dyDescent="0.3">
      <c r="A14380" t="s">
        <v>6290</v>
      </c>
    </row>
    <row r="14381" spans="1:1" x14ac:dyDescent="0.3">
      <c r="A14381" t="s">
        <v>51</v>
      </c>
    </row>
    <row r="14382" spans="1:1" x14ac:dyDescent="0.3">
      <c r="A14382" t="s">
        <v>52</v>
      </c>
    </row>
    <row r="14383" spans="1:1" x14ac:dyDescent="0.3">
      <c r="A14383" t="s">
        <v>79</v>
      </c>
    </row>
    <row r="14384" spans="1:1" x14ac:dyDescent="0.3">
      <c r="A14384" t="s">
        <v>98</v>
      </c>
    </row>
    <row r="14385" spans="1:1" x14ac:dyDescent="0.3">
      <c r="A14385" t="s">
        <v>13</v>
      </c>
    </row>
    <row r="14386" spans="1:1" x14ac:dyDescent="0.3">
      <c r="A14386" t="s">
        <v>105</v>
      </c>
    </row>
    <row r="14387" spans="1:1" x14ac:dyDescent="0.3">
      <c r="A14387" t="s">
        <v>6291</v>
      </c>
    </row>
    <row r="14388" spans="1:1" x14ac:dyDescent="0.3">
      <c r="A14388" t="s">
        <v>1157</v>
      </c>
    </row>
    <row r="14389" spans="1:1" x14ac:dyDescent="0.3">
      <c r="A14389" t="s">
        <v>6292</v>
      </c>
    </row>
    <row r="14390" spans="1:1" x14ac:dyDescent="0.3">
      <c r="A14390" t="s">
        <v>12</v>
      </c>
    </row>
    <row r="14391" spans="1:1" x14ac:dyDescent="0.3">
      <c r="A14391" t="s">
        <v>13</v>
      </c>
    </row>
    <row r="14392" spans="1:1" x14ac:dyDescent="0.3">
      <c r="A14392" t="s">
        <v>106</v>
      </c>
    </row>
    <row r="14393" spans="1:1" x14ac:dyDescent="0.3">
      <c r="A14393" t="s">
        <v>6293</v>
      </c>
    </row>
    <row r="14394" spans="1:1" x14ac:dyDescent="0.3">
      <c r="A14394" t="s">
        <v>1157</v>
      </c>
    </row>
    <row r="14395" spans="1:1" x14ac:dyDescent="0.3">
      <c r="A14395" t="s">
        <v>6294</v>
      </c>
    </row>
    <row r="14396" spans="1:1" x14ac:dyDescent="0.3">
      <c r="A14396" t="s">
        <v>12</v>
      </c>
    </row>
    <row r="14397" spans="1:1" x14ac:dyDescent="0.3">
      <c r="A14397" t="s">
        <v>40</v>
      </c>
    </row>
    <row r="14399" spans="1:1" x14ac:dyDescent="0.3">
      <c r="A14399" t="s">
        <v>12</v>
      </c>
    </row>
    <row r="14400" spans="1:1" x14ac:dyDescent="0.3">
      <c r="A14400" t="s">
        <v>13</v>
      </c>
    </row>
    <row r="14401" spans="1:1" x14ac:dyDescent="0.3">
      <c r="A14401" t="s">
        <v>1643</v>
      </c>
    </row>
    <row r="14402" spans="1:1" x14ac:dyDescent="0.3">
      <c r="A14402" t="s">
        <v>6295</v>
      </c>
    </row>
    <row r="14403" spans="1:1" x14ac:dyDescent="0.3">
      <c r="A14403" t="s">
        <v>6296</v>
      </c>
    </row>
    <row r="14404" spans="1:1" x14ac:dyDescent="0.3">
      <c r="A14404" t="s">
        <v>4436</v>
      </c>
    </row>
    <row r="14405" spans="1:1" x14ac:dyDescent="0.3">
      <c r="A14405" t="s">
        <v>110</v>
      </c>
    </row>
    <row r="14406" spans="1:1" x14ac:dyDescent="0.3">
      <c r="A14406" t="s">
        <v>1154</v>
      </c>
    </row>
    <row r="14407" spans="1:1" x14ac:dyDescent="0.3">
      <c r="A14407" t="s">
        <v>6297</v>
      </c>
    </row>
    <row r="14408" spans="1:1" x14ac:dyDescent="0.3">
      <c r="A14408" t="s">
        <v>51</v>
      </c>
    </row>
    <row r="14409" spans="1:1" x14ac:dyDescent="0.3">
      <c r="A14409" t="s">
        <v>52</v>
      </c>
    </row>
    <row r="14410" spans="1:1" x14ac:dyDescent="0.3">
      <c r="A14410" t="s">
        <v>79</v>
      </c>
    </row>
    <row r="14412" spans="1:1" x14ac:dyDescent="0.3">
      <c r="A14412" t="s">
        <v>12</v>
      </c>
    </row>
    <row r="14413" spans="1:1" x14ac:dyDescent="0.3">
      <c r="A14413" t="s">
        <v>40</v>
      </c>
    </row>
    <row r="14414" spans="1:1" x14ac:dyDescent="0.3">
      <c r="A14414" t="s">
        <v>12</v>
      </c>
    </row>
    <row r="14415" spans="1:1" x14ac:dyDescent="0.3">
      <c r="A14415" t="s">
        <v>13</v>
      </c>
    </row>
    <row r="14416" spans="1:1" x14ac:dyDescent="0.3">
      <c r="A14416" t="s">
        <v>6298</v>
      </c>
    </row>
    <row r="14417" spans="1:1" x14ac:dyDescent="0.3">
      <c r="A14417" t="s">
        <v>6299</v>
      </c>
    </row>
    <row r="14418" spans="1:1" x14ac:dyDescent="0.3">
      <c r="A14418" t="s">
        <v>39</v>
      </c>
    </row>
    <row r="14419" spans="1:1" x14ac:dyDescent="0.3">
      <c r="A14419" t="s">
        <v>13</v>
      </c>
    </row>
    <row r="14420" spans="1:1" x14ac:dyDescent="0.3">
      <c r="A14420" t="s">
        <v>50</v>
      </c>
    </row>
    <row r="14421" spans="1:1" x14ac:dyDescent="0.3">
      <c r="A14421" t="s">
        <v>6300</v>
      </c>
    </row>
    <row r="14422" spans="1:1" x14ac:dyDescent="0.3">
      <c r="A14422" t="s">
        <v>6301</v>
      </c>
    </row>
    <row r="14423" spans="1:1" x14ac:dyDescent="0.3">
      <c r="A14423" t="s">
        <v>4436</v>
      </c>
    </row>
    <row r="14424" spans="1:1" x14ac:dyDescent="0.3">
      <c r="A14424" t="s">
        <v>110</v>
      </c>
    </row>
    <row r="14425" spans="1:1" x14ac:dyDescent="0.3">
      <c r="A14425" t="s">
        <v>1154</v>
      </c>
    </row>
    <row r="14426" spans="1:1" x14ac:dyDescent="0.3">
      <c r="A14426" t="s">
        <v>6302</v>
      </c>
    </row>
    <row r="14427" spans="1:1" x14ac:dyDescent="0.3">
      <c r="A14427" t="s">
        <v>51</v>
      </c>
    </row>
    <row r="14428" spans="1:1" x14ac:dyDescent="0.3">
      <c r="A14428" t="s">
        <v>52</v>
      </c>
    </row>
    <row r="14429" spans="1:1" x14ac:dyDescent="0.3">
      <c r="A14429" t="s">
        <v>79</v>
      </c>
    </row>
    <row r="14430" spans="1:1" x14ac:dyDescent="0.3">
      <c r="A14430" t="s">
        <v>98</v>
      </c>
    </row>
    <row r="14431" spans="1:1" x14ac:dyDescent="0.3">
      <c r="A14431" t="s">
        <v>13</v>
      </c>
    </row>
    <row r="14432" spans="1:1" x14ac:dyDescent="0.3">
      <c r="A14432" t="s">
        <v>105</v>
      </c>
    </row>
    <row r="14433" spans="1:1" x14ac:dyDescent="0.3">
      <c r="A14433" t="s">
        <v>6303</v>
      </c>
    </row>
    <row r="14434" spans="1:1" x14ac:dyDescent="0.3">
      <c r="A14434" t="s">
        <v>1157</v>
      </c>
    </row>
    <row r="14435" spans="1:1" x14ac:dyDescent="0.3">
      <c r="A14435" t="s">
        <v>6304</v>
      </c>
    </row>
    <row r="14436" spans="1:1" x14ac:dyDescent="0.3">
      <c r="A14436" t="s">
        <v>12</v>
      </c>
    </row>
    <row r="14437" spans="1:1" x14ac:dyDescent="0.3">
      <c r="A14437" t="s">
        <v>13</v>
      </c>
    </row>
    <row r="14438" spans="1:1" x14ac:dyDescent="0.3">
      <c r="A14438" t="s">
        <v>106</v>
      </c>
    </row>
    <row r="14439" spans="1:1" x14ac:dyDescent="0.3">
      <c r="A14439" t="s">
        <v>6305</v>
      </c>
    </row>
    <row r="14440" spans="1:1" x14ac:dyDescent="0.3">
      <c r="A14440" t="s">
        <v>1157</v>
      </c>
    </row>
    <row r="14441" spans="1:1" x14ac:dyDescent="0.3">
      <c r="A14441" t="s">
        <v>6306</v>
      </c>
    </row>
    <row r="14442" spans="1:1" x14ac:dyDescent="0.3">
      <c r="A14442" t="s">
        <v>12</v>
      </c>
    </row>
    <row r="14443" spans="1:1" x14ac:dyDescent="0.3">
      <c r="A14443" t="s">
        <v>40</v>
      </c>
    </row>
    <row r="14445" spans="1:1" x14ac:dyDescent="0.3">
      <c r="A14445" t="s">
        <v>12</v>
      </c>
    </row>
    <row r="14446" spans="1:1" x14ac:dyDescent="0.3">
      <c r="A14446" t="s">
        <v>13</v>
      </c>
    </row>
    <row r="14447" spans="1:1" x14ac:dyDescent="0.3">
      <c r="A14447" t="s">
        <v>53</v>
      </c>
    </row>
    <row r="14448" spans="1:1" x14ac:dyDescent="0.3">
      <c r="A14448" t="s">
        <v>1509</v>
      </c>
    </row>
    <row r="14449" spans="1:1" x14ac:dyDescent="0.3">
      <c r="A14449" t="s">
        <v>6307</v>
      </c>
    </row>
    <row r="14450" spans="1:1" x14ac:dyDescent="0.3">
      <c r="A14450" t="s">
        <v>4436</v>
      </c>
    </row>
    <row r="14451" spans="1:1" x14ac:dyDescent="0.3">
      <c r="A14451" t="s">
        <v>110</v>
      </c>
    </row>
    <row r="14452" spans="1:1" x14ac:dyDescent="0.3">
      <c r="A14452" t="s">
        <v>1154</v>
      </c>
    </row>
    <row r="14453" spans="1:1" x14ac:dyDescent="0.3">
      <c r="A14453" t="s">
        <v>6308</v>
      </c>
    </row>
    <row r="14454" spans="1:1" x14ac:dyDescent="0.3">
      <c r="A14454" t="s">
        <v>51</v>
      </c>
    </row>
    <row r="14455" spans="1:1" x14ac:dyDescent="0.3">
      <c r="A14455" t="s">
        <v>52</v>
      </c>
    </row>
    <row r="14456" spans="1:1" x14ac:dyDescent="0.3">
      <c r="A14456" t="s">
        <v>79</v>
      </c>
    </row>
    <row r="14457" spans="1:1" x14ac:dyDescent="0.3">
      <c r="A14457" t="s">
        <v>98</v>
      </c>
    </row>
    <row r="14458" spans="1:1" x14ac:dyDescent="0.3">
      <c r="A14458" t="s">
        <v>13</v>
      </c>
    </row>
    <row r="14459" spans="1:1" x14ac:dyDescent="0.3">
      <c r="A14459" t="s">
        <v>105</v>
      </c>
    </row>
    <row r="14460" spans="1:1" x14ac:dyDescent="0.3">
      <c r="A14460" t="s">
        <v>6309</v>
      </c>
    </row>
    <row r="14461" spans="1:1" x14ac:dyDescent="0.3">
      <c r="A14461" t="s">
        <v>1157</v>
      </c>
    </row>
    <row r="14462" spans="1:1" x14ac:dyDescent="0.3">
      <c r="A14462" t="s">
        <v>6310</v>
      </c>
    </row>
    <row r="14463" spans="1:1" x14ac:dyDescent="0.3">
      <c r="A14463" t="s">
        <v>12</v>
      </c>
    </row>
    <row r="14464" spans="1:1" x14ac:dyDescent="0.3">
      <c r="A14464" t="s">
        <v>13</v>
      </c>
    </row>
    <row r="14465" spans="1:1" x14ac:dyDescent="0.3">
      <c r="A14465" t="s">
        <v>106</v>
      </c>
    </row>
    <row r="14466" spans="1:1" x14ac:dyDescent="0.3">
      <c r="A14466" t="s">
        <v>6311</v>
      </c>
    </row>
    <row r="14467" spans="1:1" x14ac:dyDescent="0.3">
      <c r="A14467" t="s">
        <v>1157</v>
      </c>
    </row>
    <row r="14468" spans="1:1" x14ac:dyDescent="0.3">
      <c r="A14468" t="s">
        <v>6312</v>
      </c>
    </row>
    <row r="14469" spans="1:1" x14ac:dyDescent="0.3">
      <c r="A14469" t="s">
        <v>12</v>
      </c>
    </row>
    <row r="14470" spans="1:1" x14ac:dyDescent="0.3">
      <c r="A14470" t="s">
        <v>40</v>
      </c>
    </row>
    <row r="14472" spans="1:1" x14ac:dyDescent="0.3">
      <c r="A14472" t="s">
        <v>12</v>
      </c>
    </row>
    <row r="14473" spans="1:1" x14ac:dyDescent="0.3">
      <c r="A14473" t="s">
        <v>13</v>
      </c>
    </row>
    <row r="14474" spans="1:1" x14ac:dyDescent="0.3">
      <c r="A14474" t="s">
        <v>54</v>
      </c>
    </row>
    <row r="14475" spans="1:1" x14ac:dyDescent="0.3">
      <c r="A14475" t="s">
        <v>4561</v>
      </c>
    </row>
    <row r="14476" spans="1:1" x14ac:dyDescent="0.3">
      <c r="A14476" t="s">
        <v>6313</v>
      </c>
    </row>
    <row r="14477" spans="1:1" x14ac:dyDescent="0.3">
      <c r="A14477" t="s">
        <v>4436</v>
      </c>
    </row>
    <row r="14478" spans="1:1" x14ac:dyDescent="0.3">
      <c r="A14478" t="s">
        <v>110</v>
      </c>
    </row>
    <row r="14479" spans="1:1" x14ac:dyDescent="0.3">
      <c r="A14479" t="s">
        <v>1154</v>
      </c>
    </row>
    <row r="14480" spans="1:1" x14ac:dyDescent="0.3">
      <c r="A14480" t="s">
        <v>6314</v>
      </c>
    </row>
    <row r="14481" spans="1:1" x14ac:dyDescent="0.3">
      <c r="A14481" t="s">
        <v>51</v>
      </c>
    </row>
    <row r="14482" spans="1:1" x14ac:dyDescent="0.3">
      <c r="A14482" t="s">
        <v>52</v>
      </c>
    </row>
    <row r="14483" spans="1:1" x14ac:dyDescent="0.3">
      <c r="A14483" t="s">
        <v>79</v>
      </c>
    </row>
    <row r="14484" spans="1:1" x14ac:dyDescent="0.3">
      <c r="A14484" t="s">
        <v>98</v>
      </c>
    </row>
    <row r="14485" spans="1:1" x14ac:dyDescent="0.3">
      <c r="A14485" t="s">
        <v>13</v>
      </c>
    </row>
    <row r="14486" spans="1:1" x14ac:dyDescent="0.3">
      <c r="A14486" t="s">
        <v>105</v>
      </c>
    </row>
    <row r="14487" spans="1:1" x14ac:dyDescent="0.3">
      <c r="A14487" t="s">
        <v>6315</v>
      </c>
    </row>
    <row r="14488" spans="1:1" x14ac:dyDescent="0.3">
      <c r="A14488" t="s">
        <v>1157</v>
      </c>
    </row>
    <row r="14489" spans="1:1" x14ac:dyDescent="0.3">
      <c r="A14489" t="s">
        <v>6316</v>
      </c>
    </row>
    <row r="14490" spans="1:1" x14ac:dyDescent="0.3">
      <c r="A14490" t="s">
        <v>12</v>
      </c>
    </row>
    <row r="14491" spans="1:1" x14ac:dyDescent="0.3">
      <c r="A14491" t="s">
        <v>40</v>
      </c>
    </row>
    <row r="14493" spans="1:1" x14ac:dyDescent="0.3">
      <c r="A14493" t="s">
        <v>12</v>
      </c>
    </row>
    <row r="14494" spans="1:1" x14ac:dyDescent="0.3">
      <c r="A14494" t="s">
        <v>40</v>
      </c>
    </row>
    <row r="14495" spans="1:1" x14ac:dyDescent="0.3">
      <c r="A14495" t="s">
        <v>12</v>
      </c>
    </row>
    <row r="14496" spans="1:1" x14ac:dyDescent="0.3">
      <c r="A14496" t="s">
        <v>27</v>
      </c>
    </row>
    <row r="14497" spans="1:1" x14ac:dyDescent="0.3">
      <c r="A14497" t="s">
        <v>41</v>
      </c>
    </row>
    <row r="14498" spans="1:1" x14ac:dyDescent="0.3">
      <c r="A14498" t="s">
        <v>27</v>
      </c>
    </row>
    <row r="14499" spans="1:1" x14ac:dyDescent="0.3">
      <c r="A14499" t="s">
        <v>28</v>
      </c>
    </row>
    <row r="14500" spans="1:1" x14ac:dyDescent="0.3">
      <c r="A14500" t="s">
        <v>13</v>
      </c>
    </row>
    <row r="14501" spans="1:1" x14ac:dyDescent="0.3">
      <c r="A14501" t="s">
        <v>56</v>
      </c>
    </row>
    <row r="14502" spans="1:1" x14ac:dyDescent="0.3">
      <c r="A14502" t="s">
        <v>112</v>
      </c>
    </row>
    <row r="14503" spans="1:1" x14ac:dyDescent="0.3">
      <c r="A14503" t="s">
        <v>2768</v>
      </c>
    </row>
    <row r="14504" spans="1:1" x14ac:dyDescent="0.3">
      <c r="A14504" t="s">
        <v>109</v>
      </c>
    </row>
    <row r="14505" spans="1:1" x14ac:dyDescent="0.3">
      <c r="A14505" t="s">
        <v>57</v>
      </c>
    </row>
    <row r="14506" spans="1:1" x14ac:dyDescent="0.3">
      <c r="A14506" t="s">
        <v>12</v>
      </c>
    </row>
    <row r="14507" spans="1:1" x14ac:dyDescent="0.3">
      <c r="A14507" t="s">
        <v>27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5"/>
  <sheetViews>
    <sheetView workbookViewId="0">
      <selection activeCell="C2" sqref="C2"/>
    </sheetView>
  </sheetViews>
  <sheetFormatPr defaultRowHeight="14.4" x14ac:dyDescent="0.3"/>
  <cols>
    <col min="1" max="1" width="36.109375" style="11" bestFit="1" customWidth="1"/>
    <col min="2" max="2" width="64" bestFit="1" customWidth="1"/>
  </cols>
  <sheetData>
    <row r="1" spans="1:3" x14ac:dyDescent="0.3">
      <c r="A1" s="9" t="s">
        <v>82</v>
      </c>
      <c r="B1" t="s">
        <v>63</v>
      </c>
      <c r="C1" t="s">
        <v>22</v>
      </c>
    </row>
    <row r="2" spans="1:3" x14ac:dyDescent="0.3">
      <c r="A2" s="9" t="s">
        <v>83</v>
      </c>
      <c r="B2" t="s">
        <v>66</v>
      </c>
      <c r="C2" t="s">
        <v>60</v>
      </c>
    </row>
    <row r="3" spans="1:3" x14ac:dyDescent="0.3">
      <c r="A3" s="9" t="s">
        <v>84</v>
      </c>
      <c r="B3" s="5" t="s">
        <v>74</v>
      </c>
    </row>
    <row r="4" spans="1:3" x14ac:dyDescent="0.3">
      <c r="A4" s="9" t="s">
        <v>85</v>
      </c>
      <c r="B4" s="5" t="s">
        <v>74</v>
      </c>
    </row>
    <row r="5" spans="1:3" x14ac:dyDescent="0.3">
      <c r="A5" s="9" t="s">
        <v>86</v>
      </c>
      <c r="B5" t="s">
        <v>23</v>
      </c>
    </row>
    <row r="6" spans="1:3" x14ac:dyDescent="0.3">
      <c r="A6" s="9" t="s">
        <v>87</v>
      </c>
      <c r="B6" t="s">
        <v>64</v>
      </c>
    </row>
    <row r="7" spans="1:3" x14ac:dyDescent="0.3">
      <c r="A7" s="9" t="s">
        <v>88</v>
      </c>
      <c r="B7" t="s">
        <v>65</v>
      </c>
    </row>
    <row r="8" spans="1:3" x14ac:dyDescent="0.3">
      <c r="A8" s="9" t="s">
        <v>89</v>
      </c>
      <c r="B8" t="s">
        <v>24</v>
      </c>
    </row>
    <row r="9" spans="1:3" x14ac:dyDescent="0.3">
      <c r="A9" s="9" t="s">
        <v>90</v>
      </c>
      <c r="B9" t="s">
        <v>25</v>
      </c>
    </row>
    <row r="10" spans="1:3" x14ac:dyDescent="0.3">
      <c r="A10" s="9" t="s">
        <v>91</v>
      </c>
      <c r="B10" s="5" t="s">
        <v>42</v>
      </c>
    </row>
    <row r="11" spans="1:3" x14ac:dyDescent="0.3">
      <c r="A11" s="9" t="s">
        <v>92</v>
      </c>
      <c r="B11" t="s">
        <v>63</v>
      </c>
    </row>
    <row r="12" spans="1:3" x14ac:dyDescent="0.3">
      <c r="A12" s="10" t="s">
        <v>93</v>
      </c>
      <c r="B12">
        <v>0.05</v>
      </c>
    </row>
    <row r="13" spans="1:3" x14ac:dyDescent="0.3">
      <c r="A13" s="9" t="s">
        <v>94</v>
      </c>
      <c r="B13" t="s">
        <v>58</v>
      </c>
    </row>
    <row r="14" spans="1:3" x14ac:dyDescent="0.3">
      <c r="A14" s="9" t="s">
        <v>95</v>
      </c>
      <c r="B14">
        <v>0</v>
      </c>
    </row>
    <row r="15" spans="1:3" x14ac:dyDescent="0.3">
      <c r="A15" s="9" t="s">
        <v>81</v>
      </c>
      <c r="B15">
        <v>350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7B957-5697-49FC-99CB-5A77869E29E0}">
  <dimension ref="A1:E93"/>
  <sheetViews>
    <sheetView topLeftCell="A79" workbookViewId="0">
      <selection activeCell="G87" sqref="G87"/>
    </sheetView>
  </sheetViews>
  <sheetFormatPr defaultRowHeight="14.4" x14ac:dyDescent="0.3"/>
  <cols>
    <col min="1" max="1" width="8.88671875" customWidth="1"/>
    <col min="2" max="2" width="21.109375" bestFit="1" customWidth="1"/>
    <col min="3" max="3" width="33.109375" bestFit="1" customWidth="1"/>
  </cols>
  <sheetData>
    <row r="1" spans="1:5" x14ac:dyDescent="0.3">
      <c r="A1" s="17" t="s">
        <v>113</v>
      </c>
      <c r="B1" s="17" t="s">
        <v>128</v>
      </c>
      <c r="C1" s="17" t="s">
        <v>129</v>
      </c>
      <c r="D1" s="17" t="s">
        <v>131</v>
      </c>
      <c r="E1">
        <f>+D2+D16+D25+D32+D40+D47+D62+D66+D75+D87</f>
        <v>4529</v>
      </c>
    </row>
    <row r="2" spans="1:5" x14ac:dyDescent="0.3">
      <c r="A2" s="18" t="s">
        <v>116</v>
      </c>
      <c r="B2" s="18" t="s">
        <v>114</v>
      </c>
      <c r="C2" s="18"/>
      <c r="D2" s="18">
        <f>SUM(D3:D15)</f>
        <v>302</v>
      </c>
    </row>
    <row r="3" spans="1:5" x14ac:dyDescent="0.3">
      <c r="A3" s="16"/>
      <c r="B3" s="16"/>
      <c r="C3" s="16" t="s">
        <v>130</v>
      </c>
      <c r="D3" s="16">
        <v>3</v>
      </c>
    </row>
    <row r="4" spans="1:5" x14ac:dyDescent="0.3">
      <c r="A4" s="16"/>
      <c r="B4" s="16"/>
      <c r="C4" s="16" t="s">
        <v>132</v>
      </c>
      <c r="D4" s="16">
        <v>37</v>
      </c>
    </row>
    <row r="5" spans="1:5" x14ac:dyDescent="0.3">
      <c r="A5" s="16"/>
      <c r="B5" s="16"/>
      <c r="C5" s="16" t="s">
        <v>133</v>
      </c>
      <c r="D5" s="16">
        <v>74</v>
      </c>
    </row>
    <row r="6" spans="1:5" x14ac:dyDescent="0.3">
      <c r="A6" s="16"/>
      <c r="B6" s="16"/>
      <c r="C6" s="16" t="s">
        <v>134</v>
      </c>
      <c r="D6" s="16">
        <v>44</v>
      </c>
    </row>
    <row r="7" spans="1:5" x14ac:dyDescent="0.3">
      <c r="A7" s="16"/>
      <c r="B7" s="16"/>
      <c r="C7" s="16" t="s">
        <v>135</v>
      </c>
      <c r="D7" s="16">
        <v>20</v>
      </c>
    </row>
    <row r="8" spans="1:5" x14ac:dyDescent="0.3">
      <c r="A8" s="16"/>
      <c r="B8" s="16"/>
      <c r="C8" s="16" t="s">
        <v>136</v>
      </c>
      <c r="D8" s="16">
        <v>27</v>
      </c>
    </row>
    <row r="9" spans="1:5" x14ac:dyDescent="0.3">
      <c r="A9" s="16"/>
      <c r="B9" s="16"/>
      <c r="C9" s="16" t="s">
        <v>137</v>
      </c>
      <c r="D9" s="16">
        <v>14</v>
      </c>
    </row>
    <row r="10" spans="1:5" x14ac:dyDescent="0.3">
      <c r="A10" s="16"/>
      <c r="B10" s="16"/>
      <c r="C10" s="16" t="s">
        <v>138</v>
      </c>
      <c r="D10" s="16">
        <v>15</v>
      </c>
    </row>
    <row r="11" spans="1:5" x14ac:dyDescent="0.3">
      <c r="A11" s="16"/>
      <c r="B11" s="16"/>
      <c r="C11" s="16" t="s">
        <v>139</v>
      </c>
      <c r="D11" s="16">
        <v>33</v>
      </c>
    </row>
    <row r="12" spans="1:5" x14ac:dyDescent="0.3">
      <c r="A12" s="16"/>
      <c r="B12" s="16"/>
      <c r="C12" s="16" t="s">
        <v>140</v>
      </c>
      <c r="D12" s="16">
        <v>3</v>
      </c>
    </row>
    <row r="13" spans="1:5" x14ac:dyDescent="0.3">
      <c r="A13" s="16"/>
      <c r="B13" s="16"/>
      <c r="C13" s="16" t="s">
        <v>141</v>
      </c>
      <c r="D13" s="16">
        <v>19</v>
      </c>
    </row>
    <row r="14" spans="1:5" x14ac:dyDescent="0.3">
      <c r="A14" s="16"/>
      <c r="B14" s="16"/>
      <c r="C14" s="16" t="s">
        <v>142</v>
      </c>
      <c r="D14" s="16">
        <v>10</v>
      </c>
    </row>
    <row r="15" spans="1:5" x14ac:dyDescent="0.3">
      <c r="A15" s="16"/>
      <c r="B15" s="16"/>
      <c r="C15" s="16" t="s">
        <v>143</v>
      </c>
      <c r="D15" s="16">
        <v>3</v>
      </c>
    </row>
    <row r="16" spans="1:5" x14ac:dyDescent="0.3">
      <c r="A16" s="18" t="s">
        <v>116</v>
      </c>
      <c r="B16" s="18" t="s">
        <v>115</v>
      </c>
      <c r="C16" s="18"/>
      <c r="D16" s="18">
        <f>SUM(D17:D24)</f>
        <v>695</v>
      </c>
    </row>
    <row r="17" spans="1:4" x14ac:dyDescent="0.3">
      <c r="A17" s="16"/>
      <c r="B17" s="16"/>
      <c r="C17" s="16" t="s">
        <v>144</v>
      </c>
      <c r="D17" s="16">
        <v>40</v>
      </c>
    </row>
    <row r="18" spans="1:4" x14ac:dyDescent="0.3">
      <c r="A18" s="16"/>
      <c r="B18" s="16"/>
      <c r="C18" s="16" t="s">
        <v>145</v>
      </c>
      <c r="D18" s="16">
        <v>155</v>
      </c>
    </row>
    <row r="19" spans="1:4" x14ac:dyDescent="0.3">
      <c r="A19" s="16"/>
      <c r="B19" s="16"/>
      <c r="C19" s="16" t="s">
        <v>146</v>
      </c>
      <c r="D19" s="16">
        <f>40*3</f>
        <v>120</v>
      </c>
    </row>
    <row r="20" spans="1:4" x14ac:dyDescent="0.3">
      <c r="A20" s="16"/>
      <c r="B20" s="16"/>
      <c r="C20" s="16" t="s">
        <v>147</v>
      </c>
      <c r="D20" s="16">
        <v>161</v>
      </c>
    </row>
    <row r="21" spans="1:4" x14ac:dyDescent="0.3">
      <c r="A21" s="16"/>
      <c r="B21" s="16"/>
      <c r="C21" s="16" t="s">
        <v>148</v>
      </c>
      <c r="D21" s="16">
        <v>84</v>
      </c>
    </row>
    <row r="22" spans="1:4" x14ac:dyDescent="0.3">
      <c r="A22" s="16"/>
      <c r="B22" s="16"/>
      <c r="C22" s="16" t="s">
        <v>149</v>
      </c>
      <c r="D22" s="16">
        <v>78</v>
      </c>
    </row>
    <row r="23" spans="1:4" x14ac:dyDescent="0.3">
      <c r="A23" s="16"/>
      <c r="B23" s="16"/>
      <c r="C23" s="16" t="s">
        <v>150</v>
      </c>
      <c r="D23" s="16">
        <v>33</v>
      </c>
    </row>
    <row r="24" spans="1:4" x14ac:dyDescent="0.3">
      <c r="A24" s="16"/>
      <c r="B24" s="16"/>
      <c r="C24" s="16" t="s">
        <v>151</v>
      </c>
      <c r="D24" s="16">
        <v>24</v>
      </c>
    </row>
    <row r="25" spans="1:4" x14ac:dyDescent="0.3">
      <c r="A25" s="18" t="s">
        <v>119</v>
      </c>
      <c r="B25" s="18" t="s">
        <v>117</v>
      </c>
      <c r="C25" s="18"/>
      <c r="D25" s="18">
        <f>SUM(D26:D31)</f>
        <v>147</v>
      </c>
    </row>
    <row r="26" spans="1:4" x14ac:dyDescent="0.3">
      <c r="A26" s="16"/>
      <c r="B26" s="16"/>
      <c r="C26" s="16" t="s">
        <v>152</v>
      </c>
      <c r="D26" s="16">
        <v>37</v>
      </c>
    </row>
    <row r="27" spans="1:4" x14ac:dyDescent="0.3">
      <c r="A27" s="16"/>
      <c r="B27" s="16"/>
      <c r="C27" s="16" t="s">
        <v>153</v>
      </c>
      <c r="D27" s="16">
        <v>40</v>
      </c>
    </row>
    <row r="28" spans="1:4" x14ac:dyDescent="0.3">
      <c r="A28" s="16"/>
      <c r="B28" s="16"/>
      <c r="C28" s="19" t="s">
        <v>154</v>
      </c>
      <c r="D28" s="16">
        <v>12</v>
      </c>
    </row>
    <row r="29" spans="1:4" x14ac:dyDescent="0.3">
      <c r="A29" s="16"/>
      <c r="B29" s="16"/>
      <c r="C29" s="16" t="s">
        <v>155</v>
      </c>
      <c r="D29" s="16">
        <f>14*3</f>
        <v>42</v>
      </c>
    </row>
    <row r="30" spans="1:4" x14ac:dyDescent="0.3">
      <c r="A30" s="16"/>
      <c r="B30" s="16"/>
      <c r="C30" s="16" t="s">
        <v>156</v>
      </c>
      <c r="D30" s="16">
        <v>4</v>
      </c>
    </row>
    <row r="31" spans="1:4" x14ac:dyDescent="0.3">
      <c r="A31" s="16"/>
      <c r="B31" s="16"/>
      <c r="C31" s="16" t="s">
        <v>157</v>
      </c>
      <c r="D31" s="16">
        <v>12</v>
      </c>
    </row>
    <row r="32" spans="1:4" x14ac:dyDescent="0.3">
      <c r="A32" s="18" t="s">
        <v>119</v>
      </c>
      <c r="B32" s="18" t="s">
        <v>118</v>
      </c>
      <c r="C32" s="18"/>
      <c r="D32" s="18">
        <f>SUM(D33:D39)</f>
        <v>786</v>
      </c>
    </row>
    <row r="33" spans="1:4" x14ac:dyDescent="0.3">
      <c r="A33" s="16"/>
      <c r="B33" s="16"/>
      <c r="C33" s="16" t="s">
        <v>158</v>
      </c>
      <c r="D33" s="16">
        <f>101*3</f>
        <v>303</v>
      </c>
    </row>
    <row r="34" spans="1:4" x14ac:dyDescent="0.3">
      <c r="A34" s="16"/>
      <c r="B34" s="16"/>
      <c r="C34" s="16" t="s">
        <v>159</v>
      </c>
      <c r="D34" s="16">
        <v>73</v>
      </c>
    </row>
    <row r="35" spans="1:4" x14ac:dyDescent="0.3">
      <c r="A35" s="16"/>
      <c r="B35" s="16"/>
      <c r="C35" s="16" t="s">
        <v>160</v>
      </c>
      <c r="D35" s="16">
        <v>250</v>
      </c>
    </row>
    <row r="36" spans="1:4" x14ac:dyDescent="0.3">
      <c r="A36" s="16"/>
      <c r="B36" s="16"/>
      <c r="C36" s="19" t="s">
        <v>161</v>
      </c>
      <c r="D36" s="16">
        <v>134</v>
      </c>
    </row>
    <row r="37" spans="1:4" x14ac:dyDescent="0.3">
      <c r="A37" s="16"/>
      <c r="B37" s="16"/>
      <c r="C37" s="19" t="s">
        <v>162</v>
      </c>
      <c r="D37" s="16">
        <v>14</v>
      </c>
    </row>
    <row r="38" spans="1:4" x14ac:dyDescent="0.3">
      <c r="A38" s="16"/>
      <c r="B38" s="16"/>
      <c r="C38" s="16" t="s">
        <v>163</v>
      </c>
      <c r="D38" s="16">
        <v>8</v>
      </c>
    </row>
    <row r="39" spans="1:4" x14ac:dyDescent="0.3">
      <c r="A39" s="16"/>
      <c r="B39" s="16"/>
      <c r="C39" s="16" t="s">
        <v>164</v>
      </c>
      <c r="D39" s="16">
        <v>4</v>
      </c>
    </row>
    <row r="40" spans="1:4" x14ac:dyDescent="0.3">
      <c r="A40" s="18" t="s">
        <v>122</v>
      </c>
      <c r="B40" s="18" t="s">
        <v>120</v>
      </c>
      <c r="C40" s="18"/>
      <c r="D40" s="18">
        <f>SUM(D41:D46)</f>
        <v>857</v>
      </c>
    </row>
    <row r="41" spans="1:4" x14ac:dyDescent="0.3">
      <c r="A41" s="16"/>
      <c r="B41" s="16"/>
      <c r="C41" s="16" t="s">
        <v>165</v>
      </c>
      <c r="D41" s="16">
        <v>116</v>
      </c>
    </row>
    <row r="42" spans="1:4" x14ac:dyDescent="0.3">
      <c r="A42" s="16"/>
      <c r="B42" s="16"/>
      <c r="C42" s="16" t="s">
        <v>166</v>
      </c>
      <c r="D42" s="16">
        <v>277</v>
      </c>
    </row>
    <row r="43" spans="1:4" x14ac:dyDescent="0.3">
      <c r="A43" s="16"/>
      <c r="B43" s="16"/>
      <c r="C43" s="16" t="s">
        <v>167</v>
      </c>
      <c r="D43" s="16">
        <v>263</v>
      </c>
    </row>
    <row r="44" spans="1:4" x14ac:dyDescent="0.3">
      <c r="A44" s="16"/>
      <c r="B44" s="16"/>
      <c r="C44" s="16" t="s">
        <v>168</v>
      </c>
      <c r="D44" s="16">
        <v>167</v>
      </c>
    </row>
    <row r="45" spans="1:4" x14ac:dyDescent="0.3">
      <c r="A45" s="16"/>
      <c r="B45" s="16"/>
      <c r="C45" s="16" t="s">
        <v>169</v>
      </c>
      <c r="D45" s="16">
        <v>10</v>
      </c>
    </row>
    <row r="46" spans="1:4" x14ac:dyDescent="0.3">
      <c r="A46" s="16"/>
      <c r="B46" s="16"/>
      <c r="C46" s="16" t="s">
        <v>170</v>
      </c>
      <c r="D46" s="16">
        <f>8*3</f>
        <v>24</v>
      </c>
    </row>
    <row r="47" spans="1:4" x14ac:dyDescent="0.3">
      <c r="A47" s="18" t="s">
        <v>122</v>
      </c>
      <c r="B47" s="18" t="s">
        <v>121</v>
      </c>
      <c r="C47" s="18"/>
      <c r="D47" s="18">
        <f>SUM(D48:D61)</f>
        <v>461</v>
      </c>
    </row>
    <row r="48" spans="1:4" x14ac:dyDescent="0.3">
      <c r="A48" s="16"/>
      <c r="B48" s="16"/>
      <c r="C48" s="16" t="s">
        <v>171</v>
      </c>
      <c r="D48" s="16">
        <v>28</v>
      </c>
    </row>
    <row r="49" spans="1:4" x14ac:dyDescent="0.3">
      <c r="A49" s="16"/>
      <c r="B49" s="16"/>
      <c r="C49" s="16" t="s">
        <v>172</v>
      </c>
      <c r="D49" s="16">
        <f>15*3</f>
        <v>45</v>
      </c>
    </row>
    <row r="50" spans="1:4" x14ac:dyDescent="0.3">
      <c r="A50" s="16"/>
      <c r="B50" s="16"/>
      <c r="C50" s="16" t="s">
        <v>173</v>
      </c>
      <c r="D50" s="16">
        <v>59</v>
      </c>
    </row>
    <row r="51" spans="1:4" x14ac:dyDescent="0.3">
      <c r="A51" s="16"/>
      <c r="B51" s="16"/>
      <c r="C51" s="16" t="s">
        <v>174</v>
      </c>
      <c r="D51" s="16">
        <v>20</v>
      </c>
    </row>
    <row r="52" spans="1:4" x14ac:dyDescent="0.3">
      <c r="A52" s="16"/>
      <c r="B52" s="16"/>
      <c r="C52" s="16" t="s">
        <v>175</v>
      </c>
      <c r="D52" s="16">
        <v>31</v>
      </c>
    </row>
    <row r="53" spans="1:4" x14ac:dyDescent="0.3">
      <c r="A53" s="16"/>
      <c r="B53" s="16"/>
      <c r="C53" s="16" t="s">
        <v>176</v>
      </c>
      <c r="D53" s="16">
        <f>14*3</f>
        <v>42</v>
      </c>
    </row>
    <row r="54" spans="1:4" x14ac:dyDescent="0.3">
      <c r="A54" s="16"/>
      <c r="B54" s="16"/>
      <c r="C54" s="16" t="s">
        <v>177</v>
      </c>
      <c r="D54" s="16">
        <v>52</v>
      </c>
    </row>
    <row r="55" spans="1:4" x14ac:dyDescent="0.3">
      <c r="A55" s="16"/>
      <c r="B55" s="16"/>
      <c r="C55" s="16" t="s">
        <v>178</v>
      </c>
      <c r="D55" s="16">
        <v>26</v>
      </c>
    </row>
    <row r="56" spans="1:4" x14ac:dyDescent="0.3">
      <c r="A56" s="16"/>
      <c r="B56" s="16"/>
      <c r="C56" s="16" t="s">
        <v>179</v>
      </c>
      <c r="D56" s="16">
        <v>55</v>
      </c>
    </row>
    <row r="57" spans="1:4" x14ac:dyDescent="0.3">
      <c r="A57" s="16"/>
      <c r="B57" s="16"/>
      <c r="C57" s="16" t="s">
        <v>180</v>
      </c>
      <c r="D57" s="16">
        <v>49</v>
      </c>
    </row>
    <row r="58" spans="1:4" x14ac:dyDescent="0.3">
      <c r="A58" s="16"/>
      <c r="B58" s="16"/>
      <c r="C58" s="16" t="s">
        <v>181</v>
      </c>
      <c r="D58" s="16">
        <v>20</v>
      </c>
    </row>
    <row r="59" spans="1:4" x14ac:dyDescent="0.3">
      <c r="A59" s="16"/>
      <c r="B59" s="16"/>
      <c r="C59" s="16" t="s">
        <v>182</v>
      </c>
      <c r="D59" s="16">
        <f>7*3</f>
        <v>21</v>
      </c>
    </row>
    <row r="60" spans="1:4" x14ac:dyDescent="0.3">
      <c r="A60" s="16"/>
      <c r="B60" s="16"/>
      <c r="C60" s="16" t="s">
        <v>183</v>
      </c>
      <c r="D60" s="16">
        <v>9</v>
      </c>
    </row>
    <row r="61" spans="1:4" x14ac:dyDescent="0.3">
      <c r="A61" s="16"/>
      <c r="B61" s="16"/>
      <c r="C61" s="16" t="s">
        <v>184</v>
      </c>
      <c r="D61" s="16">
        <v>4</v>
      </c>
    </row>
    <row r="62" spans="1:4" x14ac:dyDescent="0.3">
      <c r="A62" s="18" t="s">
        <v>125</v>
      </c>
      <c r="B62" s="18" t="s">
        <v>123</v>
      </c>
      <c r="C62" s="18"/>
      <c r="D62" s="18">
        <f>SUM(D63:D65)</f>
        <v>328</v>
      </c>
    </row>
    <row r="63" spans="1:4" x14ac:dyDescent="0.3">
      <c r="A63" s="16"/>
      <c r="B63" s="16"/>
      <c r="C63" s="16" t="s">
        <v>185</v>
      </c>
      <c r="D63" s="16">
        <v>200</v>
      </c>
    </row>
    <row r="64" spans="1:4" x14ac:dyDescent="0.3">
      <c r="A64" s="16"/>
      <c r="B64" s="16"/>
      <c r="C64" s="16" t="s">
        <v>186</v>
      </c>
      <c r="D64" s="16">
        <f>18*3</f>
        <v>54</v>
      </c>
    </row>
    <row r="65" spans="1:4" x14ac:dyDescent="0.3">
      <c r="A65" s="16"/>
      <c r="B65" s="16"/>
      <c r="C65" s="16" t="s">
        <v>187</v>
      </c>
      <c r="D65" s="16">
        <v>74</v>
      </c>
    </row>
    <row r="66" spans="1:4" x14ac:dyDescent="0.3">
      <c r="A66" s="18" t="s">
        <v>125</v>
      </c>
      <c r="B66" s="18" t="s">
        <v>124</v>
      </c>
      <c r="C66" s="18"/>
      <c r="D66" s="18">
        <f>SUM(D67:D74)</f>
        <v>263</v>
      </c>
    </row>
    <row r="67" spans="1:4" x14ac:dyDescent="0.3">
      <c r="A67" s="16"/>
      <c r="B67" s="16"/>
      <c r="C67" s="16" t="s">
        <v>188</v>
      </c>
      <c r="D67" s="16">
        <v>82</v>
      </c>
    </row>
    <row r="68" spans="1:4" x14ac:dyDescent="0.3">
      <c r="A68" s="16"/>
      <c r="B68" s="16"/>
      <c r="C68" s="16" t="s">
        <v>189</v>
      </c>
      <c r="D68" s="16">
        <v>43</v>
      </c>
    </row>
    <row r="69" spans="1:4" x14ac:dyDescent="0.3">
      <c r="A69" s="16"/>
      <c r="B69" s="16"/>
      <c r="C69" s="16" t="s">
        <v>190</v>
      </c>
      <c r="D69" s="16">
        <v>62</v>
      </c>
    </row>
    <row r="70" spans="1:4" x14ac:dyDescent="0.3">
      <c r="A70" s="16"/>
      <c r="B70" s="16"/>
      <c r="C70" s="16" t="s">
        <v>191</v>
      </c>
      <c r="D70" s="16">
        <v>14</v>
      </c>
    </row>
    <row r="71" spans="1:4" x14ac:dyDescent="0.3">
      <c r="A71" s="16"/>
      <c r="B71" s="16"/>
      <c r="C71" s="19" t="s">
        <v>192</v>
      </c>
      <c r="D71" s="16">
        <v>13</v>
      </c>
    </row>
    <row r="72" spans="1:4" x14ac:dyDescent="0.3">
      <c r="A72" s="16"/>
      <c r="B72" s="16"/>
      <c r="C72" s="16" t="s">
        <v>193</v>
      </c>
      <c r="D72" s="16">
        <v>3</v>
      </c>
    </row>
    <row r="73" spans="1:4" x14ac:dyDescent="0.3">
      <c r="A73" s="16"/>
      <c r="B73" s="16"/>
      <c r="C73" s="16" t="s">
        <v>194</v>
      </c>
      <c r="D73" s="16">
        <f>12*3</f>
        <v>36</v>
      </c>
    </row>
    <row r="74" spans="1:4" x14ac:dyDescent="0.3">
      <c r="A74" s="16"/>
      <c r="B74" s="16"/>
      <c r="C74" s="16" t="s">
        <v>195</v>
      </c>
      <c r="D74" s="16">
        <v>10</v>
      </c>
    </row>
    <row r="75" spans="1:4" x14ac:dyDescent="0.3">
      <c r="A75" s="18"/>
      <c r="B75" s="18" t="s">
        <v>126</v>
      </c>
      <c r="C75" s="18"/>
      <c r="D75" s="18">
        <f>SUM(D76:D86)</f>
        <v>368</v>
      </c>
    </row>
    <row r="76" spans="1:4" x14ac:dyDescent="0.3">
      <c r="A76" s="16"/>
      <c r="B76" s="16"/>
      <c r="C76" s="16" t="s">
        <v>196</v>
      </c>
      <c r="D76" s="16">
        <v>17</v>
      </c>
    </row>
    <row r="77" spans="1:4" x14ac:dyDescent="0.3">
      <c r="A77" s="16"/>
      <c r="B77" s="16"/>
      <c r="C77" s="16" t="s">
        <v>197</v>
      </c>
      <c r="D77" s="16">
        <f>16*3</f>
        <v>48</v>
      </c>
    </row>
    <row r="78" spans="1:4" x14ac:dyDescent="0.3">
      <c r="A78" s="16"/>
      <c r="B78" s="16"/>
      <c r="C78" s="16" t="s">
        <v>198</v>
      </c>
      <c r="D78" s="16">
        <v>22</v>
      </c>
    </row>
    <row r="79" spans="1:4" x14ac:dyDescent="0.3">
      <c r="A79" s="16"/>
      <c r="B79" s="16"/>
      <c r="C79" s="16" t="s">
        <v>199</v>
      </c>
      <c r="D79" s="16">
        <v>119</v>
      </c>
    </row>
    <row r="80" spans="1:4" x14ac:dyDescent="0.3">
      <c r="A80" s="16"/>
      <c r="B80" s="16"/>
      <c r="C80" s="16" t="s">
        <v>200</v>
      </c>
      <c r="D80" s="16">
        <v>40</v>
      </c>
    </row>
    <row r="81" spans="1:5" x14ac:dyDescent="0.3">
      <c r="A81" s="16"/>
      <c r="B81" s="16"/>
      <c r="C81" s="16" t="s">
        <v>201</v>
      </c>
      <c r="D81" s="16">
        <v>5</v>
      </c>
    </row>
    <row r="82" spans="1:5" x14ac:dyDescent="0.3">
      <c r="A82" s="16"/>
      <c r="B82" s="16"/>
      <c r="C82" s="16" t="s">
        <v>202</v>
      </c>
      <c r="D82" s="16">
        <f>14*3</f>
        <v>42</v>
      </c>
    </row>
    <row r="83" spans="1:5" x14ac:dyDescent="0.3">
      <c r="A83" s="16"/>
      <c r="B83" s="16"/>
      <c r="C83" s="16" t="s">
        <v>203</v>
      </c>
      <c r="D83" s="16">
        <v>53</v>
      </c>
    </row>
    <row r="84" spans="1:5" x14ac:dyDescent="0.3">
      <c r="A84" s="16"/>
      <c r="B84" s="16"/>
      <c r="C84" s="16" t="s">
        <v>204</v>
      </c>
      <c r="D84" s="16">
        <v>3</v>
      </c>
    </row>
    <row r="85" spans="1:5" x14ac:dyDescent="0.3">
      <c r="A85" s="16"/>
      <c r="B85" s="16"/>
      <c r="C85" s="16" t="s">
        <v>205</v>
      </c>
      <c r="D85" s="16">
        <v>8</v>
      </c>
    </row>
    <row r="86" spans="1:5" x14ac:dyDescent="0.3">
      <c r="A86" s="16"/>
      <c r="B86" s="16"/>
      <c r="C86" s="16" t="s">
        <v>206</v>
      </c>
      <c r="D86" s="16">
        <v>11</v>
      </c>
    </row>
    <row r="87" spans="1:5" x14ac:dyDescent="0.3">
      <c r="A87" s="18" t="s">
        <v>2769</v>
      </c>
      <c r="B87" s="18" t="s">
        <v>127</v>
      </c>
      <c r="C87" s="18"/>
      <c r="D87" s="18">
        <f>SUM(D88:D93)</f>
        <v>322</v>
      </c>
      <c r="E87" t="s">
        <v>2770</v>
      </c>
    </row>
    <row r="88" spans="1:5" x14ac:dyDescent="0.3">
      <c r="A88" s="16"/>
      <c r="B88" s="16"/>
      <c r="C88" s="16" t="s">
        <v>207</v>
      </c>
      <c r="D88" s="16">
        <f>16*3</f>
        <v>48</v>
      </c>
    </row>
    <row r="89" spans="1:5" x14ac:dyDescent="0.3">
      <c r="A89" s="16"/>
      <c r="B89" s="16"/>
      <c r="C89" s="16" t="s">
        <v>208</v>
      </c>
      <c r="D89" s="16">
        <f>14*3</f>
        <v>42</v>
      </c>
    </row>
    <row r="90" spans="1:5" x14ac:dyDescent="0.3">
      <c r="A90" s="16"/>
      <c r="B90" s="16"/>
      <c r="C90" s="16" t="s">
        <v>209</v>
      </c>
      <c r="D90" s="16">
        <f>61*3</f>
        <v>183</v>
      </c>
    </row>
    <row r="91" spans="1:5" x14ac:dyDescent="0.3">
      <c r="A91" s="16"/>
      <c r="B91" s="16"/>
      <c r="C91" s="16" t="s">
        <v>210</v>
      </c>
      <c r="D91" s="16">
        <v>37</v>
      </c>
    </row>
    <row r="92" spans="1:5" x14ac:dyDescent="0.3">
      <c r="A92" s="16"/>
      <c r="B92" s="16"/>
      <c r="C92" s="16" t="s">
        <v>211</v>
      </c>
      <c r="D92" s="16">
        <v>11</v>
      </c>
    </row>
    <row r="93" spans="1:5" x14ac:dyDescent="0.3">
      <c r="A93" s="16"/>
      <c r="B93" s="16"/>
      <c r="C93" s="16" t="s">
        <v>212</v>
      </c>
      <c r="D93" s="16">
        <v>1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AD873-0D7B-4E98-BC52-108ECA530A6F}">
  <dimension ref="A1:E631"/>
  <sheetViews>
    <sheetView workbookViewId="0">
      <selection activeCell="E1" sqref="A1:E1048576"/>
    </sheetView>
  </sheetViews>
  <sheetFormatPr defaultColWidth="25.21875" defaultRowHeight="14.4" x14ac:dyDescent="0.3"/>
  <sheetData>
    <row r="1" spans="1:5" x14ac:dyDescent="0.3">
      <c r="A1" t="s">
        <v>2863</v>
      </c>
      <c r="B1" t="s">
        <v>2864</v>
      </c>
      <c r="C1" t="s">
        <v>2865</v>
      </c>
      <c r="D1" t="s">
        <v>2866</v>
      </c>
      <c r="E1" t="s">
        <v>2867</v>
      </c>
    </row>
    <row r="2" spans="1:5" x14ac:dyDescent="0.3">
      <c r="A2" t="s">
        <v>2868</v>
      </c>
      <c r="B2" t="s">
        <v>2869</v>
      </c>
      <c r="C2">
        <v>237.5</v>
      </c>
      <c r="E2" t="s">
        <v>2870</v>
      </c>
    </row>
    <row r="3" spans="1:5" x14ac:dyDescent="0.3">
      <c r="E3" t="s">
        <v>2871</v>
      </c>
    </row>
    <row r="4" spans="1:5" x14ac:dyDescent="0.3">
      <c r="A4" t="s">
        <v>2872</v>
      </c>
      <c r="B4" t="s">
        <v>2873</v>
      </c>
      <c r="C4">
        <v>205</v>
      </c>
    </row>
    <row r="5" spans="1:5" x14ac:dyDescent="0.3">
      <c r="A5" t="s">
        <v>2874</v>
      </c>
      <c r="B5" t="s">
        <v>2875</v>
      </c>
      <c r="C5">
        <v>311.43</v>
      </c>
      <c r="D5" t="s">
        <v>2876</v>
      </c>
      <c r="E5" t="s">
        <v>2877</v>
      </c>
    </row>
    <row r="6" spans="1:5" x14ac:dyDescent="0.3">
      <c r="E6" t="s">
        <v>2878</v>
      </c>
    </row>
    <row r="7" spans="1:5" x14ac:dyDescent="0.3">
      <c r="A7" t="s">
        <v>2879</v>
      </c>
      <c r="B7" t="s">
        <v>2880</v>
      </c>
      <c r="C7">
        <v>295.05</v>
      </c>
      <c r="E7" t="s">
        <v>2881</v>
      </c>
    </row>
    <row r="8" spans="1:5" x14ac:dyDescent="0.3">
      <c r="E8" t="s">
        <v>2882</v>
      </c>
    </row>
    <row r="9" spans="1:5" x14ac:dyDescent="0.3">
      <c r="A9" t="s">
        <v>2883</v>
      </c>
      <c r="B9" t="s">
        <v>2884</v>
      </c>
      <c r="C9">
        <v>68.19</v>
      </c>
      <c r="E9" t="s">
        <v>2885</v>
      </c>
    </row>
    <row r="10" spans="1:5" x14ac:dyDescent="0.3">
      <c r="E10" t="s">
        <v>2886</v>
      </c>
    </row>
    <row r="11" spans="1:5" x14ac:dyDescent="0.3">
      <c r="A11" t="s">
        <v>2887</v>
      </c>
      <c r="B11" t="s">
        <v>2888</v>
      </c>
      <c r="C11">
        <v>70.760000000000005</v>
      </c>
      <c r="E11" t="s">
        <v>2889</v>
      </c>
    </row>
    <row r="12" spans="1:5" x14ac:dyDescent="0.3">
      <c r="E12" t="s">
        <v>2890</v>
      </c>
    </row>
    <row r="13" spans="1:5" x14ac:dyDescent="0.3">
      <c r="A13" t="s">
        <v>2891</v>
      </c>
      <c r="B13" t="s">
        <v>2892</v>
      </c>
      <c r="C13">
        <v>52.38</v>
      </c>
      <c r="E13" t="s">
        <v>2893</v>
      </c>
    </row>
    <row r="14" spans="1:5" x14ac:dyDescent="0.3">
      <c r="E14" t="s">
        <v>2894</v>
      </c>
    </row>
    <row r="15" spans="1:5" x14ac:dyDescent="0.3">
      <c r="A15" t="s">
        <v>2895</v>
      </c>
      <c r="B15" t="s">
        <v>2896</v>
      </c>
      <c r="C15">
        <v>183</v>
      </c>
    </row>
    <row r="16" spans="1:5" x14ac:dyDescent="0.3">
      <c r="A16" t="s">
        <v>2897</v>
      </c>
      <c r="B16" t="s">
        <v>2898</v>
      </c>
      <c r="C16">
        <v>414.64</v>
      </c>
      <c r="E16" t="s">
        <v>2899</v>
      </c>
    </row>
    <row r="17" spans="1:5" x14ac:dyDescent="0.3">
      <c r="E17" t="s">
        <v>2900</v>
      </c>
    </row>
    <row r="18" spans="1:5" x14ac:dyDescent="0.3">
      <c r="A18" t="s">
        <v>2901</v>
      </c>
      <c r="B18" t="s">
        <v>2902</v>
      </c>
      <c r="C18">
        <v>73.05</v>
      </c>
      <c r="E18" t="s">
        <v>2903</v>
      </c>
    </row>
    <row r="19" spans="1:5" x14ac:dyDescent="0.3">
      <c r="E19" t="s">
        <v>2904</v>
      </c>
    </row>
    <row r="20" spans="1:5" x14ac:dyDescent="0.3">
      <c r="A20" t="s">
        <v>2905</v>
      </c>
      <c r="B20" t="s">
        <v>2906</v>
      </c>
      <c r="C20">
        <v>70</v>
      </c>
      <c r="E20" t="s">
        <v>2907</v>
      </c>
    </row>
    <row r="21" spans="1:5" x14ac:dyDescent="0.3">
      <c r="E21" t="s">
        <v>2908</v>
      </c>
    </row>
    <row r="22" spans="1:5" x14ac:dyDescent="0.3">
      <c r="A22" t="s">
        <v>2909</v>
      </c>
      <c r="B22" t="s">
        <v>2910</v>
      </c>
      <c r="C22">
        <v>448.04</v>
      </c>
      <c r="E22" t="s">
        <v>2911</v>
      </c>
    </row>
    <row r="23" spans="1:5" x14ac:dyDescent="0.3">
      <c r="E23" t="s">
        <v>2912</v>
      </c>
    </row>
    <row r="24" spans="1:5" x14ac:dyDescent="0.3">
      <c r="A24" t="s">
        <v>2913</v>
      </c>
      <c r="B24" t="s">
        <v>2914</v>
      </c>
      <c r="C24">
        <v>66.19</v>
      </c>
      <c r="E24" t="s">
        <v>2915</v>
      </c>
    </row>
    <row r="25" spans="1:5" x14ac:dyDescent="0.3">
      <c r="E25" t="s">
        <v>2916</v>
      </c>
    </row>
    <row r="26" spans="1:5" x14ac:dyDescent="0.3">
      <c r="A26" t="s">
        <v>2917</v>
      </c>
      <c r="B26" t="s">
        <v>2918</v>
      </c>
      <c r="C26">
        <v>451.07</v>
      </c>
      <c r="E26" t="s">
        <v>2919</v>
      </c>
    </row>
    <row r="27" spans="1:5" x14ac:dyDescent="0.3">
      <c r="E27" t="s">
        <v>2920</v>
      </c>
    </row>
    <row r="28" spans="1:5" x14ac:dyDescent="0.3">
      <c r="A28" t="s">
        <v>2921</v>
      </c>
      <c r="B28" t="s">
        <v>2922</v>
      </c>
      <c r="C28">
        <v>639.02</v>
      </c>
      <c r="E28" t="s">
        <v>2923</v>
      </c>
    </row>
    <row r="29" spans="1:5" x14ac:dyDescent="0.3">
      <c r="E29" t="s">
        <v>2924</v>
      </c>
    </row>
    <row r="30" spans="1:5" x14ac:dyDescent="0.3">
      <c r="A30" t="s">
        <v>2925</v>
      </c>
      <c r="B30" t="s">
        <v>2926</v>
      </c>
      <c r="C30">
        <v>461.61</v>
      </c>
      <c r="E30" t="s">
        <v>2927</v>
      </c>
    </row>
    <row r="31" spans="1:5" x14ac:dyDescent="0.3">
      <c r="A31" t="s">
        <v>2928</v>
      </c>
      <c r="B31" t="s">
        <v>2929</v>
      </c>
      <c r="C31">
        <v>764.02</v>
      </c>
      <c r="D31" t="s">
        <v>2930</v>
      </c>
      <c r="E31" t="s">
        <v>2931</v>
      </c>
    </row>
    <row r="32" spans="1:5" x14ac:dyDescent="0.3">
      <c r="E32" t="s">
        <v>2932</v>
      </c>
    </row>
    <row r="33" spans="1:5" x14ac:dyDescent="0.3">
      <c r="A33" t="s">
        <v>2933</v>
      </c>
      <c r="B33" t="s">
        <v>2934</v>
      </c>
      <c r="C33">
        <v>210</v>
      </c>
      <c r="E33" t="s">
        <v>2935</v>
      </c>
    </row>
    <row r="34" spans="1:5" x14ac:dyDescent="0.3">
      <c r="E34" t="s">
        <v>2936</v>
      </c>
    </row>
    <row r="35" spans="1:5" x14ac:dyDescent="0.3">
      <c r="A35" t="s">
        <v>2937</v>
      </c>
      <c r="B35" t="s">
        <v>2938</v>
      </c>
      <c r="C35">
        <v>205.71</v>
      </c>
      <c r="E35" t="s">
        <v>2939</v>
      </c>
    </row>
    <row r="36" spans="1:5" x14ac:dyDescent="0.3">
      <c r="E36" t="s">
        <v>2940</v>
      </c>
    </row>
    <row r="37" spans="1:5" x14ac:dyDescent="0.3">
      <c r="A37" t="s">
        <v>2941</v>
      </c>
      <c r="B37" t="s">
        <v>2942</v>
      </c>
      <c r="C37">
        <v>103.05</v>
      </c>
      <c r="E37" t="s">
        <v>2943</v>
      </c>
    </row>
    <row r="38" spans="1:5" x14ac:dyDescent="0.3">
      <c r="E38" t="s">
        <v>2944</v>
      </c>
    </row>
    <row r="39" spans="1:5" x14ac:dyDescent="0.3">
      <c r="A39" t="s">
        <v>2937</v>
      </c>
      <c r="B39" t="s">
        <v>2938</v>
      </c>
      <c r="C39">
        <v>205.71</v>
      </c>
      <c r="E39" t="s">
        <v>2939</v>
      </c>
    </row>
    <row r="40" spans="1:5" x14ac:dyDescent="0.3">
      <c r="E40" t="s">
        <v>2940</v>
      </c>
    </row>
    <row r="41" spans="1:5" x14ac:dyDescent="0.3">
      <c r="A41" t="s">
        <v>2945</v>
      </c>
      <c r="B41" t="s">
        <v>2946</v>
      </c>
      <c r="C41">
        <v>47.77</v>
      </c>
    </row>
    <row r="42" spans="1:5" x14ac:dyDescent="0.3">
      <c r="A42" t="s">
        <v>2947</v>
      </c>
      <c r="B42" t="s">
        <v>2948</v>
      </c>
      <c r="C42">
        <v>526.07000000000005</v>
      </c>
      <c r="D42" t="s">
        <v>2949</v>
      </c>
      <c r="E42" t="s">
        <v>2950</v>
      </c>
    </row>
    <row r="43" spans="1:5" x14ac:dyDescent="0.3">
      <c r="E43" t="s">
        <v>2951</v>
      </c>
    </row>
    <row r="44" spans="1:5" x14ac:dyDescent="0.3">
      <c r="A44" t="s">
        <v>2952</v>
      </c>
      <c r="B44" t="s">
        <v>2953</v>
      </c>
      <c r="C44">
        <v>175</v>
      </c>
      <c r="E44" t="s">
        <v>2954</v>
      </c>
    </row>
    <row r="45" spans="1:5" x14ac:dyDescent="0.3">
      <c r="E45" t="s">
        <v>2955</v>
      </c>
    </row>
    <row r="46" spans="1:5" x14ac:dyDescent="0.3">
      <c r="A46" t="s">
        <v>2956</v>
      </c>
      <c r="B46" t="s">
        <v>2957</v>
      </c>
      <c r="C46">
        <v>433.39</v>
      </c>
      <c r="E46" t="s">
        <v>2958</v>
      </c>
    </row>
    <row r="47" spans="1:5" x14ac:dyDescent="0.3">
      <c r="E47" t="s">
        <v>2959</v>
      </c>
    </row>
    <row r="48" spans="1:5" x14ac:dyDescent="0.3">
      <c r="A48" t="s">
        <v>2960</v>
      </c>
      <c r="B48" t="s">
        <v>2961</v>
      </c>
      <c r="C48">
        <v>106.36</v>
      </c>
      <c r="E48" t="s">
        <v>2962</v>
      </c>
    </row>
    <row r="49" spans="1:5" x14ac:dyDescent="0.3">
      <c r="E49" t="s">
        <v>2963</v>
      </c>
    </row>
    <row r="50" spans="1:5" x14ac:dyDescent="0.3">
      <c r="A50" t="s">
        <v>2964</v>
      </c>
      <c r="B50" t="s">
        <v>2965</v>
      </c>
      <c r="C50">
        <v>359.05</v>
      </c>
      <c r="D50" t="s">
        <v>2966</v>
      </c>
      <c r="E50" t="s">
        <v>2967</v>
      </c>
    </row>
    <row r="51" spans="1:5" x14ac:dyDescent="0.3">
      <c r="E51" t="s">
        <v>2968</v>
      </c>
    </row>
    <row r="52" spans="1:5" x14ac:dyDescent="0.3">
      <c r="A52" t="s">
        <v>2969</v>
      </c>
      <c r="B52" t="s">
        <v>2970</v>
      </c>
      <c r="C52">
        <v>215</v>
      </c>
      <c r="E52" t="s">
        <v>2971</v>
      </c>
    </row>
    <row r="53" spans="1:5" x14ac:dyDescent="0.3">
      <c r="E53" t="s">
        <v>2972</v>
      </c>
    </row>
    <row r="54" spans="1:5" x14ac:dyDescent="0.3">
      <c r="A54" t="s">
        <v>2973</v>
      </c>
      <c r="B54" t="s">
        <v>2974</v>
      </c>
      <c r="C54">
        <v>317.2</v>
      </c>
      <c r="D54" t="s">
        <v>2975</v>
      </c>
      <c r="E54" t="s">
        <v>2976</v>
      </c>
    </row>
    <row r="55" spans="1:5" x14ac:dyDescent="0.3">
      <c r="E55" t="s">
        <v>2977</v>
      </c>
    </row>
    <row r="56" spans="1:5" x14ac:dyDescent="0.3">
      <c r="A56" t="s">
        <v>2978</v>
      </c>
      <c r="B56" t="s">
        <v>2979</v>
      </c>
      <c r="C56">
        <v>66</v>
      </c>
      <c r="E56" t="s">
        <v>2980</v>
      </c>
    </row>
    <row r="57" spans="1:5" x14ac:dyDescent="0.3">
      <c r="E57" t="s">
        <v>2981</v>
      </c>
    </row>
    <row r="58" spans="1:5" x14ac:dyDescent="0.3">
      <c r="A58" t="s">
        <v>2982</v>
      </c>
      <c r="B58" t="s">
        <v>2983</v>
      </c>
      <c r="C58">
        <v>361.96</v>
      </c>
      <c r="D58" t="s">
        <v>2984</v>
      </c>
      <c r="E58" t="s">
        <v>2985</v>
      </c>
    </row>
    <row r="59" spans="1:5" x14ac:dyDescent="0.3">
      <c r="E59" t="s">
        <v>2986</v>
      </c>
    </row>
    <row r="60" spans="1:5" x14ac:dyDescent="0.3">
      <c r="A60" t="s">
        <v>2987</v>
      </c>
      <c r="B60" t="s">
        <v>2988</v>
      </c>
      <c r="C60">
        <v>73.81</v>
      </c>
      <c r="E60" t="s">
        <v>2989</v>
      </c>
    </row>
    <row r="61" spans="1:5" x14ac:dyDescent="0.3">
      <c r="E61" t="s">
        <v>2990</v>
      </c>
    </row>
    <row r="62" spans="1:5" x14ac:dyDescent="0.3">
      <c r="A62" t="s">
        <v>2991</v>
      </c>
      <c r="B62" t="s">
        <v>2992</v>
      </c>
      <c r="C62">
        <v>252.38</v>
      </c>
      <c r="E62" t="s">
        <v>2993</v>
      </c>
    </row>
    <row r="63" spans="1:5" x14ac:dyDescent="0.3">
      <c r="E63" t="s">
        <v>2994</v>
      </c>
    </row>
    <row r="64" spans="1:5" x14ac:dyDescent="0.3">
      <c r="A64" t="s">
        <v>2995</v>
      </c>
      <c r="B64" t="s">
        <v>2996</v>
      </c>
      <c r="C64">
        <v>240.54</v>
      </c>
      <c r="E64" t="s">
        <v>2997</v>
      </c>
    </row>
    <row r="65" spans="1:5" x14ac:dyDescent="0.3">
      <c r="E65" t="s">
        <v>2998</v>
      </c>
    </row>
    <row r="66" spans="1:5" x14ac:dyDescent="0.3">
      <c r="A66" t="s">
        <v>2999</v>
      </c>
      <c r="B66" t="s">
        <v>3000</v>
      </c>
      <c r="C66">
        <v>375</v>
      </c>
      <c r="E66" t="s">
        <v>3001</v>
      </c>
    </row>
    <row r="67" spans="1:5" x14ac:dyDescent="0.3">
      <c r="E67" t="s">
        <v>3002</v>
      </c>
    </row>
    <row r="68" spans="1:5" x14ac:dyDescent="0.3">
      <c r="A68" t="s">
        <v>3003</v>
      </c>
      <c r="B68" t="s">
        <v>3004</v>
      </c>
      <c r="C68">
        <v>70</v>
      </c>
      <c r="E68" t="s">
        <v>3005</v>
      </c>
    </row>
    <row r="69" spans="1:5" x14ac:dyDescent="0.3">
      <c r="E69" t="s">
        <v>3006</v>
      </c>
    </row>
    <row r="70" spans="1:5" x14ac:dyDescent="0.3">
      <c r="A70" t="s">
        <v>3007</v>
      </c>
      <c r="B70" t="s">
        <v>3008</v>
      </c>
      <c r="C70">
        <v>297.43</v>
      </c>
      <c r="D70" t="s">
        <v>3009</v>
      </c>
      <c r="E70" t="s">
        <v>3010</v>
      </c>
    </row>
    <row r="71" spans="1:5" x14ac:dyDescent="0.3">
      <c r="E71" t="s">
        <v>3011</v>
      </c>
    </row>
    <row r="72" spans="1:5" x14ac:dyDescent="0.3">
      <c r="A72" t="s">
        <v>3012</v>
      </c>
      <c r="B72" t="s">
        <v>3013</v>
      </c>
      <c r="C72">
        <v>293.33</v>
      </c>
      <c r="E72" t="s">
        <v>3014</v>
      </c>
    </row>
    <row r="73" spans="1:5" x14ac:dyDescent="0.3">
      <c r="E73" t="s">
        <v>3015</v>
      </c>
    </row>
    <row r="74" spans="1:5" x14ac:dyDescent="0.3">
      <c r="A74" t="s">
        <v>3016</v>
      </c>
      <c r="B74" t="s">
        <v>3017</v>
      </c>
      <c r="C74">
        <v>476.34</v>
      </c>
      <c r="D74" t="s">
        <v>3018</v>
      </c>
    </row>
    <row r="75" spans="1:5" x14ac:dyDescent="0.3">
      <c r="A75" t="s">
        <v>3019</v>
      </c>
      <c r="B75" t="s">
        <v>3020</v>
      </c>
      <c r="C75">
        <v>215</v>
      </c>
      <c r="E75" t="s">
        <v>3021</v>
      </c>
    </row>
    <row r="76" spans="1:5" x14ac:dyDescent="0.3">
      <c r="E76" t="s">
        <v>3022</v>
      </c>
    </row>
    <row r="77" spans="1:5" x14ac:dyDescent="0.3">
      <c r="A77" t="s">
        <v>3023</v>
      </c>
      <c r="B77" t="s">
        <v>3024</v>
      </c>
      <c r="C77">
        <v>215</v>
      </c>
      <c r="E77" t="s">
        <v>3025</v>
      </c>
    </row>
    <row r="78" spans="1:5" x14ac:dyDescent="0.3">
      <c r="E78" t="s">
        <v>3026</v>
      </c>
    </row>
    <row r="79" spans="1:5" x14ac:dyDescent="0.3">
      <c r="A79" t="s">
        <v>3027</v>
      </c>
      <c r="B79" t="s">
        <v>3028</v>
      </c>
      <c r="C79">
        <v>446.7</v>
      </c>
      <c r="E79" t="s">
        <v>3029</v>
      </c>
    </row>
    <row r="80" spans="1:5" x14ac:dyDescent="0.3">
      <c r="E80" t="s">
        <v>3030</v>
      </c>
    </row>
    <row r="81" spans="1:5" x14ac:dyDescent="0.3">
      <c r="A81" t="s">
        <v>3031</v>
      </c>
      <c r="B81" t="s">
        <v>3032</v>
      </c>
      <c r="C81">
        <v>910.48</v>
      </c>
      <c r="D81" t="s">
        <v>3033</v>
      </c>
      <c r="E81" t="s">
        <v>3034</v>
      </c>
    </row>
    <row r="82" spans="1:5" x14ac:dyDescent="0.3">
      <c r="E82" t="s">
        <v>3035</v>
      </c>
    </row>
    <row r="83" spans="1:5" x14ac:dyDescent="0.3">
      <c r="A83" t="s">
        <v>3036</v>
      </c>
      <c r="B83" t="s">
        <v>3037</v>
      </c>
      <c r="C83">
        <v>338.84</v>
      </c>
      <c r="D83" t="s">
        <v>3038</v>
      </c>
      <c r="E83" t="s">
        <v>3039</v>
      </c>
    </row>
    <row r="84" spans="1:5" x14ac:dyDescent="0.3">
      <c r="E84" t="s">
        <v>3040</v>
      </c>
    </row>
    <row r="85" spans="1:5" x14ac:dyDescent="0.3">
      <c r="A85" t="s">
        <v>3041</v>
      </c>
      <c r="B85" t="s">
        <v>3042</v>
      </c>
      <c r="C85">
        <v>320.27</v>
      </c>
      <c r="D85" t="s">
        <v>3043</v>
      </c>
      <c r="E85" t="s">
        <v>3044</v>
      </c>
    </row>
    <row r="86" spans="1:5" x14ac:dyDescent="0.3">
      <c r="E86" t="s">
        <v>3045</v>
      </c>
    </row>
    <row r="87" spans="1:5" x14ac:dyDescent="0.3">
      <c r="A87" t="s">
        <v>3046</v>
      </c>
      <c r="B87" t="s">
        <v>3047</v>
      </c>
      <c r="C87">
        <v>61.71</v>
      </c>
      <c r="E87" t="s">
        <v>3048</v>
      </c>
    </row>
    <row r="88" spans="1:5" x14ac:dyDescent="0.3">
      <c r="E88" t="s">
        <v>3049</v>
      </c>
    </row>
    <row r="89" spans="1:5" x14ac:dyDescent="0.3">
      <c r="A89" t="s">
        <v>3050</v>
      </c>
      <c r="B89" t="s">
        <v>3051</v>
      </c>
      <c r="C89">
        <v>495.36</v>
      </c>
      <c r="E89" t="s">
        <v>3052</v>
      </c>
    </row>
    <row r="90" spans="1:5" x14ac:dyDescent="0.3">
      <c r="E90" t="s">
        <v>3053</v>
      </c>
    </row>
    <row r="91" spans="1:5" x14ac:dyDescent="0.3">
      <c r="A91" t="s">
        <v>3054</v>
      </c>
      <c r="B91" t="s">
        <v>3055</v>
      </c>
      <c r="C91">
        <v>93.75</v>
      </c>
      <c r="E91" t="s">
        <v>3056</v>
      </c>
    </row>
    <row r="92" spans="1:5" x14ac:dyDescent="0.3">
      <c r="E92" t="s">
        <v>3057</v>
      </c>
    </row>
    <row r="93" spans="1:5" x14ac:dyDescent="0.3">
      <c r="A93" t="s">
        <v>3058</v>
      </c>
      <c r="B93" t="s">
        <v>3059</v>
      </c>
      <c r="C93">
        <v>9285.7099999999991</v>
      </c>
      <c r="D93" t="s">
        <v>3060</v>
      </c>
    </row>
    <row r="94" spans="1:5" x14ac:dyDescent="0.3">
      <c r="A94" t="s">
        <v>3061</v>
      </c>
      <c r="B94" t="s">
        <v>3062</v>
      </c>
      <c r="C94">
        <v>410</v>
      </c>
      <c r="E94" t="s">
        <v>3063</v>
      </c>
    </row>
    <row r="95" spans="1:5" x14ac:dyDescent="0.3">
      <c r="E95" t="s">
        <v>3064</v>
      </c>
    </row>
    <row r="96" spans="1:5" x14ac:dyDescent="0.3">
      <c r="A96" t="s">
        <v>3065</v>
      </c>
      <c r="B96" t="s">
        <v>3066</v>
      </c>
      <c r="C96">
        <v>505.36</v>
      </c>
    </row>
    <row r="97" spans="1:5" x14ac:dyDescent="0.3">
      <c r="A97" t="s">
        <v>3067</v>
      </c>
      <c r="B97" t="s">
        <v>3068</v>
      </c>
      <c r="C97">
        <v>53.52</v>
      </c>
      <c r="E97" t="s">
        <v>3069</v>
      </c>
    </row>
    <row r="98" spans="1:5" x14ac:dyDescent="0.3">
      <c r="E98" t="s">
        <v>3070</v>
      </c>
    </row>
    <row r="99" spans="1:5" x14ac:dyDescent="0.3">
      <c r="A99" t="s">
        <v>3071</v>
      </c>
      <c r="B99" t="s">
        <v>3072</v>
      </c>
      <c r="C99">
        <v>90</v>
      </c>
      <c r="E99" t="s">
        <v>3073</v>
      </c>
    </row>
    <row r="100" spans="1:5" x14ac:dyDescent="0.3">
      <c r="E100" t="s">
        <v>3074</v>
      </c>
    </row>
    <row r="101" spans="1:5" x14ac:dyDescent="0.3">
      <c r="A101" t="s">
        <v>3075</v>
      </c>
      <c r="B101" t="s">
        <v>3076</v>
      </c>
      <c r="C101">
        <v>426.16</v>
      </c>
      <c r="E101" t="s">
        <v>3077</v>
      </c>
    </row>
    <row r="102" spans="1:5" x14ac:dyDescent="0.3">
      <c r="E102" t="s">
        <v>3078</v>
      </c>
    </row>
    <row r="103" spans="1:5" x14ac:dyDescent="0.3">
      <c r="A103" t="s">
        <v>3079</v>
      </c>
      <c r="B103" t="s">
        <v>3080</v>
      </c>
      <c r="C103">
        <v>123.39</v>
      </c>
      <c r="D103" t="s">
        <v>3081</v>
      </c>
      <c r="E103" t="s">
        <v>3082</v>
      </c>
    </row>
    <row r="104" spans="1:5" x14ac:dyDescent="0.3">
      <c r="E104" t="s">
        <v>3083</v>
      </c>
    </row>
    <row r="105" spans="1:5" x14ac:dyDescent="0.3">
      <c r="A105" t="s">
        <v>3084</v>
      </c>
      <c r="B105" t="s">
        <v>3085</v>
      </c>
      <c r="C105">
        <v>520.54</v>
      </c>
      <c r="E105" t="s">
        <v>3086</v>
      </c>
    </row>
    <row r="106" spans="1:5" x14ac:dyDescent="0.3">
      <c r="E106" t="s">
        <v>3087</v>
      </c>
    </row>
    <row r="107" spans="1:5" x14ac:dyDescent="0.3">
      <c r="A107" t="s">
        <v>3088</v>
      </c>
      <c r="B107" t="s">
        <v>3089</v>
      </c>
      <c r="C107">
        <v>360</v>
      </c>
      <c r="E107" t="s">
        <v>3090</v>
      </c>
    </row>
    <row r="108" spans="1:5" x14ac:dyDescent="0.3">
      <c r="E108" t="s">
        <v>3091</v>
      </c>
    </row>
    <row r="109" spans="1:5" x14ac:dyDescent="0.3">
      <c r="A109" t="s">
        <v>3092</v>
      </c>
      <c r="B109" t="s">
        <v>3093</v>
      </c>
      <c r="C109">
        <v>205.05</v>
      </c>
      <c r="E109" t="s">
        <v>3094</v>
      </c>
    </row>
    <row r="110" spans="1:5" x14ac:dyDescent="0.3">
      <c r="E110" t="s">
        <v>3095</v>
      </c>
    </row>
    <row r="111" spans="1:5" x14ac:dyDescent="0.3">
      <c r="A111" t="s">
        <v>3096</v>
      </c>
      <c r="B111" t="s">
        <v>3097</v>
      </c>
      <c r="C111">
        <v>103.57</v>
      </c>
      <c r="E111" t="s">
        <v>3098</v>
      </c>
    </row>
    <row r="112" spans="1:5" x14ac:dyDescent="0.3">
      <c r="E112" t="s">
        <v>3099</v>
      </c>
    </row>
    <row r="113" spans="1:5" x14ac:dyDescent="0.3">
      <c r="A113" t="s">
        <v>3100</v>
      </c>
      <c r="B113" t="s">
        <v>3101</v>
      </c>
      <c r="C113">
        <v>574</v>
      </c>
      <c r="D113" t="s">
        <v>3102</v>
      </c>
    </row>
    <row r="114" spans="1:5" x14ac:dyDescent="0.3">
      <c r="A114" t="s">
        <v>3103</v>
      </c>
      <c r="B114" t="s">
        <v>3104</v>
      </c>
      <c r="C114">
        <v>488.04</v>
      </c>
      <c r="E114" t="s">
        <v>3105</v>
      </c>
    </row>
    <row r="115" spans="1:5" x14ac:dyDescent="0.3">
      <c r="E115" t="s">
        <v>3106</v>
      </c>
    </row>
    <row r="116" spans="1:5" x14ac:dyDescent="0.3">
      <c r="A116" t="s">
        <v>3107</v>
      </c>
      <c r="B116" t="s">
        <v>3108</v>
      </c>
      <c r="C116">
        <v>191</v>
      </c>
      <c r="E116" t="s">
        <v>3109</v>
      </c>
    </row>
    <row r="117" spans="1:5" x14ac:dyDescent="0.3">
      <c r="E117" t="s">
        <v>3110</v>
      </c>
    </row>
    <row r="118" spans="1:5" x14ac:dyDescent="0.3">
      <c r="A118" t="s">
        <v>3111</v>
      </c>
      <c r="B118" t="s">
        <v>3112</v>
      </c>
      <c r="C118">
        <v>58</v>
      </c>
    </row>
    <row r="119" spans="1:5" x14ac:dyDescent="0.3">
      <c r="A119" t="s">
        <v>3113</v>
      </c>
      <c r="B119" t="s">
        <v>3114</v>
      </c>
      <c r="C119">
        <v>305.52</v>
      </c>
      <c r="D119" t="s">
        <v>3115</v>
      </c>
      <c r="E119" t="s">
        <v>3116</v>
      </c>
    </row>
    <row r="120" spans="1:5" x14ac:dyDescent="0.3">
      <c r="E120" t="s">
        <v>3117</v>
      </c>
    </row>
    <row r="121" spans="1:5" x14ac:dyDescent="0.3">
      <c r="A121" t="s">
        <v>3118</v>
      </c>
      <c r="B121" t="s">
        <v>3119</v>
      </c>
      <c r="C121">
        <v>463.04</v>
      </c>
      <c r="E121" t="s">
        <v>3120</v>
      </c>
    </row>
    <row r="122" spans="1:5" x14ac:dyDescent="0.3">
      <c r="E122" t="s">
        <v>3121</v>
      </c>
    </row>
    <row r="123" spans="1:5" x14ac:dyDescent="0.3">
      <c r="A123" t="s">
        <v>3122</v>
      </c>
      <c r="B123" t="s">
        <v>3123</v>
      </c>
      <c r="C123">
        <v>410</v>
      </c>
      <c r="E123" t="s">
        <v>3124</v>
      </c>
    </row>
    <row r="124" spans="1:5" x14ac:dyDescent="0.3">
      <c r="E124" t="s">
        <v>3125</v>
      </c>
    </row>
    <row r="125" spans="1:5" x14ac:dyDescent="0.3">
      <c r="A125" t="s">
        <v>3126</v>
      </c>
      <c r="B125" t="s">
        <v>3127</v>
      </c>
      <c r="C125">
        <v>443.04</v>
      </c>
      <c r="E125" t="s">
        <v>3128</v>
      </c>
    </row>
    <row r="126" spans="1:5" x14ac:dyDescent="0.3">
      <c r="E126" t="s">
        <v>3129</v>
      </c>
    </row>
    <row r="127" spans="1:5" x14ac:dyDescent="0.3">
      <c r="A127" t="s">
        <v>3130</v>
      </c>
      <c r="B127" t="s">
        <v>3131</v>
      </c>
      <c r="C127">
        <v>343.14</v>
      </c>
      <c r="D127" t="s">
        <v>3132</v>
      </c>
      <c r="E127" t="s">
        <v>3133</v>
      </c>
    </row>
    <row r="128" spans="1:5" x14ac:dyDescent="0.3">
      <c r="E128" t="s">
        <v>3134</v>
      </c>
    </row>
    <row r="129" spans="1:5" x14ac:dyDescent="0.3">
      <c r="A129" t="s">
        <v>3135</v>
      </c>
      <c r="B129" t="s">
        <v>3136</v>
      </c>
      <c r="C129">
        <v>325.05</v>
      </c>
      <c r="E129" t="s">
        <v>3137</v>
      </c>
    </row>
    <row r="130" spans="1:5" x14ac:dyDescent="0.3">
      <c r="A130" t="s">
        <v>3138</v>
      </c>
      <c r="B130" t="s">
        <v>3139</v>
      </c>
      <c r="C130">
        <v>297.95</v>
      </c>
      <c r="D130" t="s">
        <v>3140</v>
      </c>
      <c r="E130" t="s">
        <v>3141</v>
      </c>
    </row>
    <row r="131" spans="1:5" x14ac:dyDescent="0.3">
      <c r="E131" t="s">
        <v>3142</v>
      </c>
    </row>
    <row r="132" spans="1:5" x14ac:dyDescent="0.3">
      <c r="A132" t="s">
        <v>3143</v>
      </c>
      <c r="B132" t="s">
        <v>3144</v>
      </c>
      <c r="C132">
        <v>65.05</v>
      </c>
      <c r="E132" t="s">
        <v>3145</v>
      </c>
    </row>
    <row r="133" spans="1:5" x14ac:dyDescent="0.3">
      <c r="E133" t="s">
        <v>3146</v>
      </c>
    </row>
    <row r="134" spans="1:5" x14ac:dyDescent="0.3">
      <c r="A134" t="s">
        <v>3147</v>
      </c>
      <c r="B134" t="s">
        <v>3148</v>
      </c>
      <c r="C134">
        <v>134</v>
      </c>
      <c r="E134" t="s">
        <v>3149</v>
      </c>
    </row>
    <row r="135" spans="1:5" x14ac:dyDescent="0.3">
      <c r="E135" t="s">
        <v>3150</v>
      </c>
    </row>
    <row r="136" spans="1:5" x14ac:dyDescent="0.3">
      <c r="A136" t="s">
        <v>3151</v>
      </c>
      <c r="B136" t="s">
        <v>3152</v>
      </c>
      <c r="C136">
        <v>257.5</v>
      </c>
      <c r="E136" t="s">
        <v>3153</v>
      </c>
    </row>
    <row r="137" spans="1:5" x14ac:dyDescent="0.3">
      <c r="E137" t="s">
        <v>3154</v>
      </c>
    </row>
    <row r="138" spans="1:5" x14ac:dyDescent="0.3">
      <c r="A138" t="s">
        <v>3155</v>
      </c>
      <c r="B138" t="s">
        <v>3156</v>
      </c>
      <c r="C138">
        <v>155.80000000000001</v>
      </c>
      <c r="E138" t="s">
        <v>3157</v>
      </c>
    </row>
    <row r="139" spans="1:5" x14ac:dyDescent="0.3">
      <c r="E139" t="s">
        <v>3158</v>
      </c>
    </row>
    <row r="140" spans="1:5" x14ac:dyDescent="0.3">
      <c r="A140" t="s">
        <v>3159</v>
      </c>
      <c r="B140" t="s">
        <v>3160</v>
      </c>
      <c r="C140">
        <v>235.54</v>
      </c>
      <c r="E140" t="s">
        <v>3161</v>
      </c>
    </row>
    <row r="141" spans="1:5" x14ac:dyDescent="0.3">
      <c r="E141" t="s">
        <v>3162</v>
      </c>
    </row>
    <row r="142" spans="1:5" x14ac:dyDescent="0.3">
      <c r="A142" t="s">
        <v>3163</v>
      </c>
      <c r="B142" t="s">
        <v>3164</v>
      </c>
      <c r="C142">
        <v>335</v>
      </c>
      <c r="D142" t="s">
        <v>3165</v>
      </c>
      <c r="E142" t="s">
        <v>3166</v>
      </c>
    </row>
    <row r="143" spans="1:5" x14ac:dyDescent="0.3">
      <c r="E143" t="s">
        <v>3167</v>
      </c>
    </row>
    <row r="144" spans="1:5" x14ac:dyDescent="0.3">
      <c r="A144" t="s">
        <v>3168</v>
      </c>
      <c r="B144" t="s">
        <v>3169</v>
      </c>
      <c r="C144">
        <v>690</v>
      </c>
      <c r="D144" t="s">
        <v>3170</v>
      </c>
      <c r="E144" t="s">
        <v>3171</v>
      </c>
    </row>
    <row r="145" spans="1:5" x14ac:dyDescent="0.3">
      <c r="E145" t="s">
        <v>3172</v>
      </c>
    </row>
    <row r="146" spans="1:5" x14ac:dyDescent="0.3">
      <c r="A146" t="s">
        <v>3173</v>
      </c>
      <c r="B146" t="s">
        <v>3174</v>
      </c>
      <c r="C146">
        <v>790</v>
      </c>
      <c r="D146" t="s">
        <v>3175</v>
      </c>
      <c r="E146" t="s">
        <v>3176</v>
      </c>
    </row>
    <row r="147" spans="1:5" x14ac:dyDescent="0.3">
      <c r="E147" t="s">
        <v>3177</v>
      </c>
    </row>
    <row r="148" spans="1:5" x14ac:dyDescent="0.3">
      <c r="A148" t="s">
        <v>3178</v>
      </c>
      <c r="B148" t="s">
        <v>3179</v>
      </c>
      <c r="C148">
        <v>380</v>
      </c>
      <c r="E148" t="s">
        <v>3180</v>
      </c>
    </row>
    <row r="149" spans="1:5" x14ac:dyDescent="0.3">
      <c r="E149" t="s">
        <v>3181</v>
      </c>
    </row>
    <row r="150" spans="1:5" x14ac:dyDescent="0.3">
      <c r="A150" t="s">
        <v>3182</v>
      </c>
      <c r="B150" t="s">
        <v>3183</v>
      </c>
      <c r="C150">
        <v>295</v>
      </c>
      <c r="E150" t="s">
        <v>3184</v>
      </c>
    </row>
    <row r="151" spans="1:5" x14ac:dyDescent="0.3">
      <c r="E151" t="s">
        <v>3185</v>
      </c>
    </row>
    <row r="152" spans="1:5" x14ac:dyDescent="0.3">
      <c r="A152" t="s">
        <v>3186</v>
      </c>
      <c r="B152" t="s">
        <v>3187</v>
      </c>
      <c r="C152">
        <v>800</v>
      </c>
      <c r="D152" t="s">
        <v>3188</v>
      </c>
      <c r="E152" t="s">
        <v>3189</v>
      </c>
    </row>
    <row r="153" spans="1:5" x14ac:dyDescent="0.3">
      <c r="E153" t="s">
        <v>3190</v>
      </c>
    </row>
    <row r="154" spans="1:5" x14ac:dyDescent="0.3">
      <c r="A154" t="s">
        <v>3191</v>
      </c>
      <c r="B154" t="s">
        <v>3192</v>
      </c>
      <c r="C154">
        <v>116.07</v>
      </c>
      <c r="E154" t="s">
        <v>3193</v>
      </c>
    </row>
    <row r="155" spans="1:5" x14ac:dyDescent="0.3">
      <c r="E155" t="s">
        <v>3194</v>
      </c>
    </row>
    <row r="156" spans="1:5" x14ac:dyDescent="0.3">
      <c r="A156" t="s">
        <v>3195</v>
      </c>
      <c r="B156" t="s">
        <v>3196</v>
      </c>
      <c r="C156">
        <v>406.34</v>
      </c>
      <c r="E156" t="s">
        <v>3197</v>
      </c>
    </row>
    <row r="157" spans="1:5" x14ac:dyDescent="0.3">
      <c r="E157" t="s">
        <v>3198</v>
      </c>
    </row>
    <row r="158" spans="1:5" x14ac:dyDescent="0.3">
      <c r="A158" t="s">
        <v>3199</v>
      </c>
      <c r="B158" t="s">
        <v>3200</v>
      </c>
      <c r="C158">
        <v>431.07</v>
      </c>
      <c r="E158" t="s">
        <v>3201</v>
      </c>
    </row>
    <row r="159" spans="1:5" x14ac:dyDescent="0.3">
      <c r="A159" t="s">
        <v>3202</v>
      </c>
      <c r="B159" t="s">
        <v>3203</v>
      </c>
      <c r="C159">
        <v>282.5</v>
      </c>
      <c r="E159" t="s">
        <v>3204</v>
      </c>
    </row>
    <row r="160" spans="1:5" x14ac:dyDescent="0.3">
      <c r="E160" t="s">
        <v>3205</v>
      </c>
    </row>
    <row r="161" spans="1:5" x14ac:dyDescent="0.3">
      <c r="A161" t="s">
        <v>3206</v>
      </c>
      <c r="B161" t="s">
        <v>3207</v>
      </c>
      <c r="C161">
        <v>529.46</v>
      </c>
      <c r="E161" t="s">
        <v>3208</v>
      </c>
    </row>
    <row r="162" spans="1:5" x14ac:dyDescent="0.3">
      <c r="A162" t="s">
        <v>3209</v>
      </c>
      <c r="B162" t="s">
        <v>3210</v>
      </c>
      <c r="C162">
        <v>240</v>
      </c>
      <c r="E162" t="s">
        <v>3211</v>
      </c>
    </row>
    <row r="163" spans="1:5" x14ac:dyDescent="0.3">
      <c r="E163" t="s">
        <v>3212</v>
      </c>
    </row>
    <row r="164" spans="1:5" x14ac:dyDescent="0.3">
      <c r="A164" t="s">
        <v>3213</v>
      </c>
      <c r="B164" t="s">
        <v>3214</v>
      </c>
      <c r="C164">
        <v>263.81</v>
      </c>
      <c r="E164" t="s">
        <v>3215</v>
      </c>
    </row>
    <row r="165" spans="1:5" x14ac:dyDescent="0.3">
      <c r="E165" t="s">
        <v>3216</v>
      </c>
    </row>
    <row r="166" spans="1:5" x14ac:dyDescent="0.3">
      <c r="A166" t="s">
        <v>3217</v>
      </c>
      <c r="B166" t="s">
        <v>3218</v>
      </c>
      <c r="C166">
        <v>193.04</v>
      </c>
      <c r="E166" t="s">
        <v>3219</v>
      </c>
    </row>
    <row r="167" spans="1:5" x14ac:dyDescent="0.3">
      <c r="E167" t="s">
        <v>3220</v>
      </c>
    </row>
    <row r="168" spans="1:5" x14ac:dyDescent="0.3">
      <c r="A168" t="s">
        <v>3221</v>
      </c>
      <c r="B168" t="s">
        <v>3222</v>
      </c>
      <c r="C168">
        <v>460</v>
      </c>
      <c r="E168" t="s">
        <v>3223</v>
      </c>
    </row>
    <row r="169" spans="1:5" x14ac:dyDescent="0.3">
      <c r="E169" t="s">
        <v>3224</v>
      </c>
    </row>
    <row r="170" spans="1:5" x14ac:dyDescent="0.3">
      <c r="A170" t="s">
        <v>3225</v>
      </c>
      <c r="B170" t="s">
        <v>3226</v>
      </c>
      <c r="C170">
        <v>467.05</v>
      </c>
      <c r="E170" t="s">
        <v>3227</v>
      </c>
    </row>
    <row r="171" spans="1:5" x14ac:dyDescent="0.3">
      <c r="E171" t="s">
        <v>3228</v>
      </c>
    </row>
    <row r="172" spans="1:5" x14ac:dyDescent="0.3">
      <c r="A172" t="s">
        <v>3229</v>
      </c>
      <c r="B172" t="s">
        <v>3230</v>
      </c>
      <c r="C172">
        <v>837.05</v>
      </c>
      <c r="D172" t="s">
        <v>3231</v>
      </c>
      <c r="E172" t="s">
        <v>3232</v>
      </c>
    </row>
    <row r="173" spans="1:5" x14ac:dyDescent="0.3">
      <c r="E173" t="s">
        <v>3233</v>
      </c>
    </row>
    <row r="174" spans="1:5" x14ac:dyDescent="0.3">
      <c r="A174" t="s">
        <v>3234</v>
      </c>
      <c r="B174" t="s">
        <v>3235</v>
      </c>
      <c r="C174">
        <v>760</v>
      </c>
      <c r="D174" t="s">
        <v>3236</v>
      </c>
      <c r="E174" t="s">
        <v>3237</v>
      </c>
    </row>
    <row r="175" spans="1:5" x14ac:dyDescent="0.3">
      <c r="E175" t="s">
        <v>3238</v>
      </c>
    </row>
    <row r="176" spans="1:5" x14ac:dyDescent="0.3">
      <c r="A176" t="s">
        <v>3239</v>
      </c>
      <c r="B176" t="s">
        <v>3240</v>
      </c>
      <c r="C176">
        <v>190</v>
      </c>
    </row>
    <row r="177" spans="1:5" x14ac:dyDescent="0.3">
      <c r="A177" t="s">
        <v>3241</v>
      </c>
      <c r="B177" t="s">
        <v>3242</v>
      </c>
      <c r="C177">
        <v>257.86</v>
      </c>
      <c r="E177" t="s">
        <v>3243</v>
      </c>
    </row>
    <row r="178" spans="1:5" x14ac:dyDescent="0.3">
      <c r="E178" t="s">
        <v>3244</v>
      </c>
    </row>
    <row r="179" spans="1:5" x14ac:dyDescent="0.3">
      <c r="A179" t="s">
        <v>3245</v>
      </c>
      <c r="B179" t="s">
        <v>3246</v>
      </c>
      <c r="C179">
        <v>370</v>
      </c>
      <c r="E179" t="s">
        <v>3247</v>
      </c>
    </row>
    <row r="180" spans="1:5" x14ac:dyDescent="0.3">
      <c r="E180" t="s">
        <v>3248</v>
      </c>
    </row>
    <row r="181" spans="1:5" x14ac:dyDescent="0.3">
      <c r="A181" t="s">
        <v>3249</v>
      </c>
      <c r="B181" t="s">
        <v>3250</v>
      </c>
      <c r="C181">
        <v>129.72999999999999</v>
      </c>
    </row>
    <row r="182" spans="1:5" x14ac:dyDescent="0.3">
      <c r="A182" t="s">
        <v>3251</v>
      </c>
      <c r="B182" t="s">
        <v>3252</v>
      </c>
      <c r="C182">
        <v>385.17</v>
      </c>
      <c r="D182" t="s">
        <v>3253</v>
      </c>
      <c r="E182" t="s">
        <v>3254</v>
      </c>
    </row>
    <row r="183" spans="1:5" x14ac:dyDescent="0.3">
      <c r="E183" t="s">
        <v>3255</v>
      </c>
    </row>
    <row r="184" spans="1:5" x14ac:dyDescent="0.3">
      <c r="A184" t="s">
        <v>3256</v>
      </c>
      <c r="B184" t="s">
        <v>3257</v>
      </c>
      <c r="C184">
        <v>415</v>
      </c>
      <c r="E184" t="s">
        <v>3258</v>
      </c>
    </row>
    <row r="185" spans="1:5" x14ac:dyDescent="0.3">
      <c r="E185" t="s">
        <v>3259</v>
      </c>
    </row>
    <row r="186" spans="1:5" x14ac:dyDescent="0.3">
      <c r="A186" t="s">
        <v>3260</v>
      </c>
      <c r="B186" t="s">
        <v>3261</v>
      </c>
      <c r="C186">
        <v>315</v>
      </c>
      <c r="E186" t="s">
        <v>3262</v>
      </c>
    </row>
    <row r="187" spans="1:5" x14ac:dyDescent="0.3">
      <c r="E187" t="s">
        <v>3263</v>
      </c>
    </row>
    <row r="188" spans="1:5" x14ac:dyDescent="0.3">
      <c r="A188" t="s">
        <v>3260</v>
      </c>
      <c r="B188" t="s">
        <v>3261</v>
      </c>
      <c r="C188">
        <v>315</v>
      </c>
      <c r="E188" t="s">
        <v>3262</v>
      </c>
    </row>
    <row r="189" spans="1:5" x14ac:dyDescent="0.3">
      <c r="E189" t="s">
        <v>3263</v>
      </c>
    </row>
    <row r="190" spans="1:5" x14ac:dyDescent="0.3">
      <c r="A190" t="s">
        <v>3264</v>
      </c>
      <c r="B190" t="s">
        <v>3265</v>
      </c>
      <c r="C190">
        <v>206.43</v>
      </c>
      <c r="E190" t="s">
        <v>3266</v>
      </c>
    </row>
    <row r="191" spans="1:5" x14ac:dyDescent="0.3">
      <c r="E191" t="s">
        <v>3267</v>
      </c>
    </row>
    <row r="192" spans="1:5" x14ac:dyDescent="0.3">
      <c r="A192" t="s">
        <v>3268</v>
      </c>
      <c r="B192" t="s">
        <v>3269</v>
      </c>
      <c r="C192">
        <v>812.05</v>
      </c>
      <c r="D192" t="s">
        <v>3270</v>
      </c>
      <c r="E192" t="s">
        <v>3271</v>
      </c>
    </row>
    <row r="193" spans="1:5" x14ac:dyDescent="0.3">
      <c r="E193" t="s">
        <v>3272</v>
      </c>
    </row>
    <row r="194" spans="1:5" x14ac:dyDescent="0.3">
      <c r="A194" t="s">
        <v>3273</v>
      </c>
      <c r="B194" t="s">
        <v>3274</v>
      </c>
      <c r="C194">
        <v>220.89</v>
      </c>
      <c r="E194" t="s">
        <v>3275</v>
      </c>
    </row>
    <row r="195" spans="1:5" x14ac:dyDescent="0.3">
      <c r="E195" t="s">
        <v>3276</v>
      </c>
    </row>
    <row r="196" spans="1:5" x14ac:dyDescent="0.3">
      <c r="A196" t="s">
        <v>3277</v>
      </c>
      <c r="B196" t="s">
        <v>3278</v>
      </c>
      <c r="C196">
        <v>412.37</v>
      </c>
      <c r="D196" t="s">
        <v>3279</v>
      </c>
      <c r="E196" t="s">
        <v>3280</v>
      </c>
    </row>
    <row r="197" spans="1:5" x14ac:dyDescent="0.3">
      <c r="E197" t="s">
        <v>3281</v>
      </c>
    </row>
    <row r="198" spans="1:5" x14ac:dyDescent="0.3">
      <c r="A198" t="s">
        <v>3282</v>
      </c>
      <c r="B198" t="s">
        <v>3283</v>
      </c>
      <c r="C198">
        <v>7678.57</v>
      </c>
    </row>
    <row r="199" spans="1:5" x14ac:dyDescent="0.3">
      <c r="A199" t="s">
        <v>3284</v>
      </c>
      <c r="B199" t="s">
        <v>3285</v>
      </c>
      <c r="C199">
        <v>215</v>
      </c>
      <c r="E199" t="s">
        <v>3286</v>
      </c>
    </row>
    <row r="200" spans="1:5" x14ac:dyDescent="0.3">
      <c r="E200" t="s">
        <v>3287</v>
      </c>
    </row>
    <row r="201" spans="1:5" x14ac:dyDescent="0.3">
      <c r="A201" t="s">
        <v>3288</v>
      </c>
      <c r="B201" t="s">
        <v>3289</v>
      </c>
      <c r="C201">
        <v>341.61</v>
      </c>
      <c r="D201" t="s">
        <v>3290</v>
      </c>
      <c r="E201" t="s">
        <v>3291</v>
      </c>
    </row>
    <row r="202" spans="1:5" x14ac:dyDescent="0.3">
      <c r="E202" t="s">
        <v>3292</v>
      </c>
    </row>
    <row r="203" spans="1:5" x14ac:dyDescent="0.3">
      <c r="A203" t="s">
        <v>3293</v>
      </c>
      <c r="B203" t="s">
        <v>3294</v>
      </c>
      <c r="C203">
        <v>116.07</v>
      </c>
    </row>
    <row r="204" spans="1:5" x14ac:dyDescent="0.3">
      <c r="A204" t="s">
        <v>3295</v>
      </c>
      <c r="B204" t="s">
        <v>3296</v>
      </c>
      <c r="C204">
        <v>376.07</v>
      </c>
      <c r="E204" t="s">
        <v>3297</v>
      </c>
    </row>
    <row r="205" spans="1:5" x14ac:dyDescent="0.3">
      <c r="E205" t="s">
        <v>3298</v>
      </c>
    </row>
    <row r="206" spans="1:5" x14ac:dyDescent="0.3">
      <c r="A206" t="s">
        <v>3299</v>
      </c>
      <c r="B206" t="s">
        <v>3300</v>
      </c>
      <c r="C206">
        <v>1640</v>
      </c>
    </row>
    <row r="207" spans="1:5" x14ac:dyDescent="0.3">
      <c r="A207" t="s">
        <v>3301</v>
      </c>
      <c r="B207" t="s">
        <v>3302</v>
      </c>
      <c r="C207">
        <v>464.55</v>
      </c>
      <c r="E207" t="s">
        <v>3303</v>
      </c>
    </row>
    <row r="208" spans="1:5" x14ac:dyDescent="0.3">
      <c r="E208" t="s">
        <v>3304</v>
      </c>
    </row>
    <row r="209" spans="1:5" x14ac:dyDescent="0.3">
      <c r="A209" t="s">
        <v>3305</v>
      </c>
      <c r="B209" t="s">
        <v>3306</v>
      </c>
      <c r="C209">
        <v>64</v>
      </c>
    </row>
    <row r="210" spans="1:5" x14ac:dyDescent="0.3">
      <c r="A210" t="s">
        <v>3307</v>
      </c>
      <c r="B210" t="s">
        <v>3308</v>
      </c>
      <c r="C210">
        <v>318.57</v>
      </c>
      <c r="E210" t="s">
        <v>3309</v>
      </c>
    </row>
    <row r="211" spans="1:5" x14ac:dyDescent="0.3">
      <c r="E211" t="s">
        <v>3310</v>
      </c>
    </row>
    <row r="212" spans="1:5" x14ac:dyDescent="0.3">
      <c r="A212" t="s">
        <v>3311</v>
      </c>
      <c r="B212" t="s">
        <v>3312</v>
      </c>
      <c r="C212">
        <v>321.19</v>
      </c>
      <c r="D212" t="s">
        <v>3313</v>
      </c>
      <c r="E212" t="s">
        <v>3314</v>
      </c>
    </row>
    <row r="213" spans="1:5" x14ac:dyDescent="0.3">
      <c r="E213" t="s">
        <v>3315</v>
      </c>
    </row>
    <row r="214" spans="1:5" x14ac:dyDescent="0.3">
      <c r="A214" t="s">
        <v>3316</v>
      </c>
      <c r="B214" t="s">
        <v>3317</v>
      </c>
      <c r="C214">
        <v>511.07</v>
      </c>
      <c r="E214" t="s">
        <v>3318</v>
      </c>
    </row>
    <row r="215" spans="1:5" x14ac:dyDescent="0.3">
      <c r="E215" t="s">
        <v>3319</v>
      </c>
    </row>
    <row r="216" spans="1:5" x14ac:dyDescent="0.3">
      <c r="A216" t="s">
        <v>3320</v>
      </c>
      <c r="B216" t="s">
        <v>3321</v>
      </c>
      <c r="C216">
        <v>155</v>
      </c>
      <c r="E216" t="s">
        <v>3322</v>
      </c>
    </row>
    <row r="217" spans="1:5" x14ac:dyDescent="0.3">
      <c r="E217" t="s">
        <v>3323</v>
      </c>
    </row>
    <row r="218" spans="1:5" x14ac:dyDescent="0.3">
      <c r="A218" t="s">
        <v>3324</v>
      </c>
      <c r="B218" t="s">
        <v>3325</v>
      </c>
      <c r="C218">
        <v>664.29</v>
      </c>
      <c r="D218" t="s">
        <v>3326</v>
      </c>
    </row>
    <row r="219" spans="1:5" x14ac:dyDescent="0.3">
      <c r="A219" t="s">
        <v>3327</v>
      </c>
      <c r="B219" t="s">
        <v>3328</v>
      </c>
      <c r="C219">
        <v>342.46</v>
      </c>
      <c r="D219" t="s">
        <v>3329</v>
      </c>
      <c r="E219" t="s">
        <v>3330</v>
      </c>
    </row>
    <row r="220" spans="1:5" x14ac:dyDescent="0.3">
      <c r="E220" t="s">
        <v>3331</v>
      </c>
    </row>
    <row r="221" spans="1:5" x14ac:dyDescent="0.3">
      <c r="A221" t="s">
        <v>3332</v>
      </c>
      <c r="B221" t="s">
        <v>3333</v>
      </c>
      <c r="C221">
        <v>278.04000000000002</v>
      </c>
      <c r="E221" t="s">
        <v>3334</v>
      </c>
    </row>
    <row r="222" spans="1:5" x14ac:dyDescent="0.3">
      <c r="E222" t="s">
        <v>3335</v>
      </c>
    </row>
    <row r="223" spans="1:5" x14ac:dyDescent="0.3">
      <c r="A223" t="s">
        <v>3336</v>
      </c>
      <c r="B223" t="s">
        <v>3337</v>
      </c>
      <c r="C223">
        <v>730</v>
      </c>
      <c r="D223" t="s">
        <v>3338</v>
      </c>
      <c r="E223" t="s">
        <v>3339</v>
      </c>
    </row>
    <row r="224" spans="1:5" x14ac:dyDescent="0.3">
      <c r="E224" t="s">
        <v>3340</v>
      </c>
    </row>
    <row r="225" spans="1:5" x14ac:dyDescent="0.3">
      <c r="A225" t="s">
        <v>3341</v>
      </c>
      <c r="B225" t="s">
        <v>3342</v>
      </c>
      <c r="C225">
        <v>69.81</v>
      </c>
      <c r="E225" t="s">
        <v>3343</v>
      </c>
    </row>
    <row r="226" spans="1:5" x14ac:dyDescent="0.3">
      <c r="A226" t="s">
        <v>3344</v>
      </c>
      <c r="B226" t="s">
        <v>3345</v>
      </c>
      <c r="C226">
        <v>9.52</v>
      </c>
      <c r="E226" t="s">
        <v>3346</v>
      </c>
    </row>
    <row r="227" spans="1:5" x14ac:dyDescent="0.3">
      <c r="A227" t="s">
        <v>3347</v>
      </c>
      <c r="B227" t="s">
        <v>3348</v>
      </c>
      <c r="C227">
        <v>428.57</v>
      </c>
      <c r="D227" t="s">
        <v>3349</v>
      </c>
    </row>
    <row r="228" spans="1:5" x14ac:dyDescent="0.3">
      <c r="A228" t="s">
        <v>3350</v>
      </c>
      <c r="B228" t="s">
        <v>3351</v>
      </c>
      <c r="C228">
        <v>466.19</v>
      </c>
      <c r="D228" t="s">
        <v>3352</v>
      </c>
      <c r="E228" t="s">
        <v>3353</v>
      </c>
    </row>
    <row r="229" spans="1:5" x14ac:dyDescent="0.3">
      <c r="E229" t="s">
        <v>3354</v>
      </c>
    </row>
    <row r="230" spans="1:5" x14ac:dyDescent="0.3">
      <c r="A230" t="s">
        <v>3355</v>
      </c>
      <c r="B230" t="s">
        <v>3356</v>
      </c>
      <c r="C230">
        <v>58.1</v>
      </c>
      <c r="E230" t="s">
        <v>3357</v>
      </c>
    </row>
    <row r="231" spans="1:5" x14ac:dyDescent="0.3">
      <c r="E231" t="s">
        <v>3358</v>
      </c>
    </row>
    <row r="232" spans="1:5" x14ac:dyDescent="0.3">
      <c r="A232" t="s">
        <v>3359</v>
      </c>
      <c r="B232" t="s">
        <v>3360</v>
      </c>
      <c r="C232">
        <v>387.05</v>
      </c>
      <c r="E232" t="s">
        <v>3361</v>
      </c>
    </row>
    <row r="233" spans="1:5" x14ac:dyDescent="0.3">
      <c r="E233" t="s">
        <v>3362</v>
      </c>
    </row>
    <row r="234" spans="1:5" x14ac:dyDescent="0.3">
      <c r="A234" t="s">
        <v>3363</v>
      </c>
      <c r="B234" t="s">
        <v>3364</v>
      </c>
      <c r="C234">
        <v>453.39</v>
      </c>
      <c r="E234" t="s">
        <v>3365</v>
      </c>
    </row>
    <row r="235" spans="1:5" x14ac:dyDescent="0.3">
      <c r="E235" t="s">
        <v>3366</v>
      </c>
    </row>
    <row r="236" spans="1:5" x14ac:dyDescent="0.3">
      <c r="A236" t="s">
        <v>3367</v>
      </c>
      <c r="B236" t="s">
        <v>3368</v>
      </c>
      <c r="C236">
        <v>64.38</v>
      </c>
      <c r="E236" t="s">
        <v>3369</v>
      </c>
    </row>
    <row r="237" spans="1:5" x14ac:dyDescent="0.3">
      <c r="E237" t="s">
        <v>3370</v>
      </c>
    </row>
    <row r="238" spans="1:5" x14ac:dyDescent="0.3">
      <c r="A238" t="s">
        <v>3371</v>
      </c>
      <c r="B238" t="s">
        <v>3372</v>
      </c>
      <c r="C238">
        <v>298.04000000000002</v>
      </c>
      <c r="E238" t="s">
        <v>3373</v>
      </c>
    </row>
    <row r="239" spans="1:5" x14ac:dyDescent="0.3">
      <c r="E239" t="s">
        <v>3374</v>
      </c>
    </row>
    <row r="244" spans="1:5" x14ac:dyDescent="0.3">
      <c r="A244" t="s">
        <v>3375</v>
      </c>
      <c r="B244" t="s">
        <v>3376</v>
      </c>
      <c r="C244">
        <v>1929.55</v>
      </c>
    </row>
    <row r="245" spans="1:5" x14ac:dyDescent="0.3">
      <c r="A245" t="s">
        <v>3377</v>
      </c>
      <c r="B245" t="s">
        <v>3378</v>
      </c>
      <c r="C245">
        <v>484.02</v>
      </c>
      <c r="E245" t="s">
        <v>3379</v>
      </c>
    </row>
    <row r="246" spans="1:5" x14ac:dyDescent="0.3">
      <c r="E246" t="s">
        <v>3380</v>
      </c>
    </row>
    <row r="247" spans="1:5" x14ac:dyDescent="0.3">
      <c r="A247" t="s">
        <v>3381</v>
      </c>
      <c r="B247" t="s">
        <v>3382</v>
      </c>
      <c r="C247">
        <v>3675</v>
      </c>
    </row>
    <row r="248" spans="1:5" x14ac:dyDescent="0.3">
      <c r="A248" t="s">
        <v>3383</v>
      </c>
      <c r="B248" t="s">
        <v>3384</v>
      </c>
      <c r="C248">
        <v>650</v>
      </c>
    </row>
    <row r="249" spans="1:5" x14ac:dyDescent="0.3">
      <c r="A249" t="s">
        <v>3385</v>
      </c>
      <c r="B249" t="s">
        <v>3386</v>
      </c>
      <c r="C249">
        <v>476.07</v>
      </c>
      <c r="E249" t="s">
        <v>3387</v>
      </c>
    </row>
    <row r="250" spans="1:5" x14ac:dyDescent="0.3">
      <c r="E250" t="s">
        <v>3388</v>
      </c>
    </row>
    <row r="251" spans="1:5" x14ac:dyDescent="0.3">
      <c r="A251" t="s">
        <v>3389</v>
      </c>
      <c r="B251" t="s">
        <v>3390</v>
      </c>
      <c r="C251">
        <v>313.83999999999997</v>
      </c>
      <c r="D251" t="s">
        <v>3391</v>
      </c>
      <c r="E251" t="s">
        <v>3392</v>
      </c>
    </row>
    <row r="252" spans="1:5" x14ac:dyDescent="0.3">
      <c r="E252" t="s">
        <v>3393</v>
      </c>
    </row>
    <row r="253" spans="1:5" x14ac:dyDescent="0.3">
      <c r="A253" t="s">
        <v>3394</v>
      </c>
      <c r="B253" t="s">
        <v>3395</v>
      </c>
      <c r="C253">
        <v>2460</v>
      </c>
      <c r="D253" t="s">
        <v>3396</v>
      </c>
    </row>
    <row r="254" spans="1:5" x14ac:dyDescent="0.3">
      <c r="A254" t="s">
        <v>3397</v>
      </c>
      <c r="B254" t="s">
        <v>3398</v>
      </c>
      <c r="C254">
        <v>4650</v>
      </c>
      <c r="D254" t="s">
        <v>3399</v>
      </c>
    </row>
    <row r="255" spans="1:5" x14ac:dyDescent="0.3">
      <c r="A255" t="s">
        <v>3400</v>
      </c>
      <c r="B255" t="s">
        <v>3401</v>
      </c>
      <c r="C255">
        <v>83.33</v>
      </c>
      <c r="E255" t="s">
        <v>3402</v>
      </c>
    </row>
    <row r="256" spans="1:5" x14ac:dyDescent="0.3">
      <c r="E256" t="s">
        <v>3403</v>
      </c>
    </row>
    <row r="257" spans="1:5" x14ac:dyDescent="0.3">
      <c r="A257" t="s">
        <v>3404</v>
      </c>
      <c r="B257" t="s">
        <v>3405</v>
      </c>
      <c r="C257">
        <v>798.04</v>
      </c>
      <c r="D257" t="s">
        <v>3406</v>
      </c>
    </row>
    <row r="258" spans="1:5" x14ac:dyDescent="0.3">
      <c r="A258" t="s">
        <v>3407</v>
      </c>
      <c r="B258" t="s">
        <v>3408</v>
      </c>
      <c r="C258">
        <v>411.52</v>
      </c>
      <c r="E258" t="s">
        <v>3409</v>
      </c>
    </row>
    <row r="259" spans="1:5" x14ac:dyDescent="0.3">
      <c r="E259" t="s">
        <v>3410</v>
      </c>
    </row>
    <row r="260" spans="1:5" x14ac:dyDescent="0.3">
      <c r="A260" t="s">
        <v>3404</v>
      </c>
      <c r="B260" t="s">
        <v>3405</v>
      </c>
      <c r="C260">
        <v>798.04</v>
      </c>
      <c r="D260" t="s">
        <v>3406</v>
      </c>
    </row>
    <row r="261" spans="1:5" x14ac:dyDescent="0.3">
      <c r="A261" t="s">
        <v>3411</v>
      </c>
      <c r="B261" t="s">
        <v>3412</v>
      </c>
      <c r="C261">
        <v>425.8</v>
      </c>
      <c r="D261" t="s">
        <v>3413</v>
      </c>
      <c r="E261" t="s">
        <v>3414</v>
      </c>
    </row>
    <row r="262" spans="1:5" x14ac:dyDescent="0.3">
      <c r="E262" t="s">
        <v>3415</v>
      </c>
    </row>
    <row r="263" spans="1:5" x14ac:dyDescent="0.3">
      <c r="A263" t="s">
        <v>3416</v>
      </c>
      <c r="B263" t="s">
        <v>3417</v>
      </c>
      <c r="C263">
        <v>4500</v>
      </c>
      <c r="D263" t="s">
        <v>3418</v>
      </c>
    </row>
    <row r="264" spans="1:5" x14ac:dyDescent="0.3">
      <c r="A264" t="s">
        <v>3419</v>
      </c>
      <c r="B264" t="s">
        <v>3420</v>
      </c>
      <c r="C264">
        <v>6132.86</v>
      </c>
      <c r="D264" t="s">
        <v>3421</v>
      </c>
      <c r="E264" t="s">
        <v>3422</v>
      </c>
    </row>
    <row r="265" spans="1:5" x14ac:dyDescent="0.3">
      <c r="A265" t="s">
        <v>3423</v>
      </c>
      <c r="B265" t="s">
        <v>3424</v>
      </c>
      <c r="C265">
        <v>7235.71</v>
      </c>
      <c r="D265" t="s">
        <v>3425</v>
      </c>
      <c r="E265" t="s">
        <v>3426</v>
      </c>
    </row>
    <row r="266" spans="1:5" x14ac:dyDescent="0.3">
      <c r="A266" t="s">
        <v>3427</v>
      </c>
      <c r="B266" t="s">
        <v>3428</v>
      </c>
      <c r="C266">
        <v>350</v>
      </c>
    </row>
    <row r="267" spans="1:5" x14ac:dyDescent="0.3">
      <c r="A267" t="s">
        <v>3429</v>
      </c>
      <c r="B267" t="s">
        <v>3430</v>
      </c>
      <c r="C267">
        <v>50</v>
      </c>
    </row>
    <row r="268" spans="1:5" x14ac:dyDescent="0.3">
      <c r="A268" t="s">
        <v>3431</v>
      </c>
      <c r="B268" t="s">
        <v>3432</v>
      </c>
      <c r="C268">
        <v>8164.64</v>
      </c>
      <c r="D268" t="s">
        <v>3433</v>
      </c>
    </row>
    <row r="269" spans="1:5" x14ac:dyDescent="0.3">
      <c r="A269" t="s">
        <v>3434</v>
      </c>
      <c r="B269" t="s">
        <v>3435</v>
      </c>
      <c r="C269">
        <v>7734.82</v>
      </c>
      <c r="D269" t="s">
        <v>3436</v>
      </c>
      <c r="E269" t="s">
        <v>3437</v>
      </c>
    </row>
    <row r="270" spans="1:5" x14ac:dyDescent="0.3">
      <c r="E270" t="s">
        <v>3438</v>
      </c>
    </row>
    <row r="271" spans="1:5" x14ac:dyDescent="0.3">
      <c r="A271" t="s">
        <v>3439</v>
      </c>
      <c r="B271" t="s">
        <v>3440</v>
      </c>
      <c r="C271">
        <v>290</v>
      </c>
    </row>
    <row r="272" spans="1:5" x14ac:dyDescent="0.3">
      <c r="A272" t="s">
        <v>3441</v>
      </c>
      <c r="B272" t="s">
        <v>3442</v>
      </c>
      <c r="C272">
        <v>300</v>
      </c>
    </row>
    <row r="273" spans="1:5" x14ac:dyDescent="0.3">
      <c r="A273" t="s">
        <v>3443</v>
      </c>
      <c r="B273" t="s">
        <v>3444</v>
      </c>
      <c r="C273">
        <v>200</v>
      </c>
    </row>
    <row r="274" spans="1:5" x14ac:dyDescent="0.3">
      <c r="A274" t="s">
        <v>3445</v>
      </c>
      <c r="B274" t="s">
        <v>3446</v>
      </c>
      <c r="C274">
        <v>491.87</v>
      </c>
      <c r="E274" t="s">
        <v>3447</v>
      </c>
    </row>
    <row r="275" spans="1:5" x14ac:dyDescent="0.3">
      <c r="E275" t="s">
        <v>3448</v>
      </c>
    </row>
    <row r="276" spans="1:5" x14ac:dyDescent="0.3">
      <c r="A276" t="s">
        <v>3449</v>
      </c>
      <c r="B276" t="s">
        <v>3450</v>
      </c>
      <c r="C276">
        <v>119.2</v>
      </c>
    </row>
    <row r="277" spans="1:5" x14ac:dyDescent="0.3">
      <c r="A277" t="s">
        <v>3451</v>
      </c>
      <c r="B277" t="s">
        <v>3452</v>
      </c>
      <c r="C277">
        <v>7162.5</v>
      </c>
      <c r="D277" t="s">
        <v>3453</v>
      </c>
      <c r="E277" t="s">
        <v>3454</v>
      </c>
    </row>
    <row r="278" spans="1:5" x14ac:dyDescent="0.3">
      <c r="A278" t="s">
        <v>3455</v>
      </c>
      <c r="B278" t="s">
        <v>3456</v>
      </c>
      <c r="C278">
        <v>4000</v>
      </c>
      <c r="D278" t="s">
        <v>3457</v>
      </c>
    </row>
    <row r="279" spans="1:5" x14ac:dyDescent="0.3">
      <c r="A279" t="s">
        <v>3458</v>
      </c>
      <c r="B279" t="s">
        <v>3459</v>
      </c>
      <c r="C279">
        <v>300</v>
      </c>
    </row>
    <row r="280" spans="1:5" x14ac:dyDescent="0.3">
      <c r="A280" t="s">
        <v>3460</v>
      </c>
      <c r="B280" t="s">
        <v>3461</v>
      </c>
      <c r="C280">
        <v>119.2</v>
      </c>
    </row>
    <row r="281" spans="1:5" x14ac:dyDescent="0.3">
      <c r="A281" t="s">
        <v>3462</v>
      </c>
      <c r="B281" t="s">
        <v>3463</v>
      </c>
      <c r="C281">
        <v>7000</v>
      </c>
      <c r="D281" t="s">
        <v>3464</v>
      </c>
    </row>
    <row r="282" spans="1:5" x14ac:dyDescent="0.3">
      <c r="A282" t="s">
        <v>3465</v>
      </c>
      <c r="B282" t="s">
        <v>3466</v>
      </c>
      <c r="C282">
        <v>1390.48</v>
      </c>
      <c r="D282" t="s">
        <v>3467</v>
      </c>
    </row>
    <row r="283" spans="1:5" x14ac:dyDescent="0.3">
      <c r="A283" t="s">
        <v>3468</v>
      </c>
      <c r="B283" t="s">
        <v>3469</v>
      </c>
      <c r="C283">
        <v>70</v>
      </c>
    </row>
    <row r="284" spans="1:5" x14ac:dyDescent="0.3">
      <c r="A284" t="s">
        <v>3470</v>
      </c>
      <c r="B284" t="s">
        <v>3471</v>
      </c>
      <c r="C284">
        <v>500</v>
      </c>
    </row>
    <row r="285" spans="1:5" x14ac:dyDescent="0.3">
      <c r="A285" t="s">
        <v>3472</v>
      </c>
      <c r="B285" t="s">
        <v>3473</v>
      </c>
      <c r="C285">
        <v>186.7</v>
      </c>
    </row>
    <row r="287" spans="1:5" x14ac:dyDescent="0.3">
      <c r="A287" t="s">
        <v>3474</v>
      </c>
      <c r="B287" t="s">
        <v>3475</v>
      </c>
      <c r="C287">
        <v>186.7</v>
      </c>
    </row>
    <row r="289" spans="1:4" x14ac:dyDescent="0.3">
      <c r="A289" t="s">
        <v>3476</v>
      </c>
      <c r="B289" t="s">
        <v>3477</v>
      </c>
      <c r="C289">
        <v>138</v>
      </c>
    </row>
    <row r="291" spans="1:4" x14ac:dyDescent="0.3">
      <c r="A291" t="s">
        <v>3478</v>
      </c>
      <c r="B291" t="s">
        <v>3479</v>
      </c>
      <c r="C291">
        <v>204.64</v>
      </c>
    </row>
    <row r="293" spans="1:4" x14ac:dyDescent="0.3">
      <c r="A293" t="s">
        <v>3480</v>
      </c>
      <c r="B293" t="s">
        <v>3481</v>
      </c>
      <c r="C293">
        <v>13195.36</v>
      </c>
      <c r="D293" t="s">
        <v>3482</v>
      </c>
    </row>
    <row r="294" spans="1:4" x14ac:dyDescent="0.3">
      <c r="A294" t="s">
        <v>3483</v>
      </c>
      <c r="B294" t="s">
        <v>3484</v>
      </c>
      <c r="C294">
        <v>2305</v>
      </c>
      <c r="D294" t="s">
        <v>3485</v>
      </c>
    </row>
    <row r="295" spans="1:4" x14ac:dyDescent="0.3">
      <c r="A295" t="s">
        <v>3486</v>
      </c>
      <c r="B295" t="s">
        <v>3487</v>
      </c>
      <c r="C295">
        <v>418.04</v>
      </c>
    </row>
    <row r="297" spans="1:4" x14ac:dyDescent="0.3">
      <c r="A297" t="s">
        <v>3488</v>
      </c>
      <c r="B297" t="s">
        <v>3489</v>
      </c>
      <c r="C297">
        <v>475</v>
      </c>
    </row>
    <row r="299" spans="1:4" x14ac:dyDescent="0.3">
      <c r="A299" t="s">
        <v>3490</v>
      </c>
      <c r="B299" t="s">
        <v>3491</v>
      </c>
      <c r="C299">
        <v>150</v>
      </c>
    </row>
    <row r="301" spans="1:4" x14ac:dyDescent="0.3">
      <c r="A301" t="s">
        <v>3492</v>
      </c>
      <c r="B301" t="s">
        <v>3493</v>
      </c>
      <c r="C301">
        <v>195</v>
      </c>
    </row>
    <row r="303" spans="1:4" x14ac:dyDescent="0.3">
      <c r="A303" t="s">
        <v>3494</v>
      </c>
      <c r="B303" t="s">
        <v>3495</v>
      </c>
      <c r="C303">
        <v>195</v>
      </c>
    </row>
    <row r="305" spans="1:5" x14ac:dyDescent="0.3">
      <c r="A305" t="s">
        <v>3496</v>
      </c>
      <c r="B305" t="s">
        <v>3497</v>
      </c>
      <c r="C305">
        <v>645</v>
      </c>
    </row>
    <row r="307" spans="1:5" x14ac:dyDescent="0.3">
      <c r="A307" t="s">
        <v>3498</v>
      </c>
      <c r="B307" t="s">
        <v>3499</v>
      </c>
      <c r="C307">
        <v>205</v>
      </c>
    </row>
    <row r="308" spans="1:5" x14ac:dyDescent="0.3">
      <c r="A308" t="s">
        <v>3500</v>
      </c>
      <c r="B308" t="s">
        <v>3501</v>
      </c>
      <c r="C308">
        <v>8055.36</v>
      </c>
      <c r="D308" t="s">
        <v>3502</v>
      </c>
    </row>
    <row r="310" spans="1:5" x14ac:dyDescent="0.3">
      <c r="A310" t="s">
        <v>3503</v>
      </c>
      <c r="B310" t="s">
        <v>3504</v>
      </c>
      <c r="C310">
        <v>792.05</v>
      </c>
      <c r="D310" t="s">
        <v>3505</v>
      </c>
    </row>
    <row r="312" spans="1:5" x14ac:dyDescent="0.3">
      <c r="A312" t="s">
        <v>3506</v>
      </c>
      <c r="B312" t="s">
        <v>3507</v>
      </c>
      <c r="C312">
        <v>209.02</v>
      </c>
    </row>
    <row r="313" spans="1:5" x14ac:dyDescent="0.3">
      <c r="A313" t="s">
        <v>3508</v>
      </c>
      <c r="B313" t="s">
        <v>3509</v>
      </c>
      <c r="C313">
        <v>442.59</v>
      </c>
    </row>
    <row r="315" spans="1:5" x14ac:dyDescent="0.3">
      <c r="A315" t="s">
        <v>3510</v>
      </c>
      <c r="B315" t="s">
        <v>3511</v>
      </c>
      <c r="C315">
        <v>370</v>
      </c>
      <c r="E315" t="s">
        <v>3512</v>
      </c>
    </row>
    <row r="316" spans="1:5" x14ac:dyDescent="0.3">
      <c r="E316" t="s">
        <v>3513</v>
      </c>
    </row>
    <row r="317" spans="1:5" x14ac:dyDescent="0.3">
      <c r="A317" t="s">
        <v>3514</v>
      </c>
      <c r="B317" t="s">
        <v>3515</v>
      </c>
      <c r="C317">
        <v>277.77</v>
      </c>
      <c r="E317" t="s">
        <v>3516</v>
      </c>
    </row>
    <row r="318" spans="1:5" x14ac:dyDescent="0.3">
      <c r="E318" t="s">
        <v>3517</v>
      </c>
    </row>
    <row r="319" spans="1:5" x14ac:dyDescent="0.3">
      <c r="A319" t="s">
        <v>3518</v>
      </c>
      <c r="B319" t="s">
        <v>3519</v>
      </c>
      <c r="C319">
        <v>2602.77</v>
      </c>
      <c r="D319" t="s">
        <v>3520</v>
      </c>
    </row>
    <row r="320" spans="1:5" x14ac:dyDescent="0.3">
      <c r="A320" t="s">
        <v>3521</v>
      </c>
      <c r="B320" t="s">
        <v>3522</v>
      </c>
      <c r="C320">
        <v>272</v>
      </c>
      <c r="E320" t="s">
        <v>3523</v>
      </c>
    </row>
    <row r="321" spans="1:5" x14ac:dyDescent="0.3">
      <c r="E321" t="s">
        <v>3524</v>
      </c>
    </row>
    <row r="322" spans="1:5" x14ac:dyDescent="0.3">
      <c r="A322" t="s">
        <v>3525</v>
      </c>
      <c r="B322" t="s">
        <v>3526</v>
      </c>
      <c r="C322">
        <v>234</v>
      </c>
      <c r="E322" t="s">
        <v>3527</v>
      </c>
    </row>
    <row r="323" spans="1:5" x14ac:dyDescent="0.3">
      <c r="E323" t="s">
        <v>3528</v>
      </c>
    </row>
    <row r="324" spans="1:5" x14ac:dyDescent="0.3">
      <c r="A324" t="s">
        <v>3529</v>
      </c>
      <c r="B324" t="s">
        <v>3530</v>
      </c>
      <c r="C324">
        <v>187</v>
      </c>
      <c r="E324" t="s">
        <v>3531</v>
      </c>
    </row>
    <row r="325" spans="1:5" x14ac:dyDescent="0.3">
      <c r="E325" t="s">
        <v>3532</v>
      </c>
    </row>
    <row r="326" spans="1:5" x14ac:dyDescent="0.3">
      <c r="A326" t="s">
        <v>3533</v>
      </c>
      <c r="B326" t="s">
        <v>3534</v>
      </c>
      <c r="C326">
        <v>399.82</v>
      </c>
    </row>
    <row r="327" spans="1:5" x14ac:dyDescent="0.3">
      <c r="A327" t="s">
        <v>3535</v>
      </c>
      <c r="B327" t="s">
        <v>3536</v>
      </c>
      <c r="C327">
        <v>513.57000000000005</v>
      </c>
      <c r="E327" t="s">
        <v>3537</v>
      </c>
    </row>
    <row r="328" spans="1:5" x14ac:dyDescent="0.3">
      <c r="E328" t="s">
        <v>3538</v>
      </c>
    </row>
    <row r="329" spans="1:5" x14ac:dyDescent="0.3">
      <c r="A329" t="s">
        <v>3539</v>
      </c>
      <c r="B329" t="s">
        <v>3540</v>
      </c>
      <c r="C329">
        <v>695</v>
      </c>
      <c r="D329" t="s">
        <v>3541</v>
      </c>
      <c r="E329" t="s">
        <v>3542</v>
      </c>
    </row>
    <row r="330" spans="1:5" x14ac:dyDescent="0.3">
      <c r="E330" t="s">
        <v>3543</v>
      </c>
    </row>
    <row r="331" spans="1:5" x14ac:dyDescent="0.3">
      <c r="A331" t="s">
        <v>3544</v>
      </c>
      <c r="B331" t="s">
        <v>3545</v>
      </c>
      <c r="C331">
        <v>350</v>
      </c>
    </row>
    <row r="332" spans="1:5" x14ac:dyDescent="0.3">
      <c r="A332" t="s">
        <v>3546</v>
      </c>
      <c r="B332" t="s">
        <v>3547</v>
      </c>
      <c r="C332">
        <v>467.5</v>
      </c>
      <c r="E332" t="s">
        <v>3548</v>
      </c>
    </row>
    <row r="333" spans="1:5" x14ac:dyDescent="0.3">
      <c r="E333" t="s">
        <v>3549</v>
      </c>
    </row>
    <row r="334" spans="1:5" x14ac:dyDescent="0.3">
      <c r="A334" t="s">
        <v>3550</v>
      </c>
      <c r="B334" t="s">
        <v>3551</v>
      </c>
      <c r="C334">
        <v>351.9</v>
      </c>
      <c r="D334" t="s">
        <v>3552</v>
      </c>
      <c r="E334" t="s">
        <v>3553</v>
      </c>
    </row>
    <row r="335" spans="1:5" x14ac:dyDescent="0.3">
      <c r="E335" t="s">
        <v>3554</v>
      </c>
    </row>
    <row r="336" spans="1:5" x14ac:dyDescent="0.3">
      <c r="A336" t="s">
        <v>3555</v>
      </c>
      <c r="B336" t="s">
        <v>3556</v>
      </c>
      <c r="C336">
        <v>98.48</v>
      </c>
      <c r="E336" t="s">
        <v>3557</v>
      </c>
    </row>
    <row r="337" spans="1:5" x14ac:dyDescent="0.3">
      <c r="A337" t="s">
        <v>3558</v>
      </c>
      <c r="B337" t="s">
        <v>3559</v>
      </c>
      <c r="C337">
        <v>220</v>
      </c>
      <c r="E337" t="s">
        <v>3560</v>
      </c>
    </row>
    <row r="338" spans="1:5" x14ac:dyDescent="0.3">
      <c r="E338" t="s">
        <v>3561</v>
      </c>
    </row>
    <row r="339" spans="1:5" x14ac:dyDescent="0.3">
      <c r="A339" t="s">
        <v>3562</v>
      </c>
      <c r="B339" t="s">
        <v>3563</v>
      </c>
      <c r="C339">
        <v>7297.62</v>
      </c>
    </row>
    <row r="340" spans="1:5" x14ac:dyDescent="0.3">
      <c r="A340" t="s">
        <v>3564</v>
      </c>
      <c r="B340" t="s">
        <v>3565</v>
      </c>
      <c r="C340">
        <v>210</v>
      </c>
      <c r="E340" t="s">
        <v>3566</v>
      </c>
    </row>
    <row r="341" spans="1:5" x14ac:dyDescent="0.3">
      <c r="E341" t="s">
        <v>3567</v>
      </c>
    </row>
    <row r="342" spans="1:5" x14ac:dyDescent="0.3">
      <c r="A342" t="s">
        <v>3568</v>
      </c>
      <c r="B342" t="s">
        <v>3569</v>
      </c>
      <c r="C342">
        <v>210</v>
      </c>
      <c r="E342" t="s">
        <v>3566</v>
      </c>
    </row>
    <row r="343" spans="1:5" x14ac:dyDescent="0.3">
      <c r="E343" t="s">
        <v>3567</v>
      </c>
    </row>
    <row r="344" spans="1:5" x14ac:dyDescent="0.3">
      <c r="A344" t="s">
        <v>3570</v>
      </c>
      <c r="B344" t="s">
        <v>3571</v>
      </c>
      <c r="C344">
        <v>8865</v>
      </c>
      <c r="D344" t="s">
        <v>3572</v>
      </c>
      <c r="E344" t="s">
        <v>3573</v>
      </c>
    </row>
    <row r="345" spans="1:5" x14ac:dyDescent="0.3">
      <c r="E345" t="s">
        <v>3574</v>
      </c>
    </row>
    <row r="346" spans="1:5" x14ac:dyDescent="0.3">
      <c r="A346" t="s">
        <v>3575</v>
      </c>
      <c r="B346" t="s">
        <v>3576</v>
      </c>
      <c r="C346">
        <v>575.79999999999995</v>
      </c>
      <c r="E346" t="s">
        <v>3577</v>
      </c>
    </row>
    <row r="347" spans="1:5" x14ac:dyDescent="0.3">
      <c r="E347" t="s">
        <v>3578</v>
      </c>
    </row>
    <row r="348" spans="1:5" x14ac:dyDescent="0.3">
      <c r="A348" t="s">
        <v>3579</v>
      </c>
      <c r="B348" t="s">
        <v>3580</v>
      </c>
      <c r="C348">
        <v>460</v>
      </c>
      <c r="E348" t="s">
        <v>3581</v>
      </c>
    </row>
    <row r="349" spans="1:5" x14ac:dyDescent="0.3">
      <c r="E349" t="s">
        <v>3582</v>
      </c>
    </row>
    <row r="350" spans="1:5" x14ac:dyDescent="0.3">
      <c r="A350" t="s">
        <v>3583</v>
      </c>
      <c r="B350" t="s">
        <v>3584</v>
      </c>
      <c r="C350">
        <v>8240</v>
      </c>
    </row>
    <row r="351" spans="1:5" x14ac:dyDescent="0.3">
      <c r="A351" t="s">
        <v>3585</v>
      </c>
      <c r="B351" t="s">
        <v>3586</v>
      </c>
      <c r="C351">
        <v>380</v>
      </c>
    </row>
    <row r="352" spans="1:5" x14ac:dyDescent="0.3">
      <c r="A352" t="s">
        <v>3587</v>
      </c>
      <c r="B352" t="s">
        <v>3588</v>
      </c>
      <c r="C352">
        <v>278</v>
      </c>
    </row>
    <row r="353" spans="1:4" x14ac:dyDescent="0.3">
      <c r="A353" t="s">
        <v>3589</v>
      </c>
      <c r="B353" t="s">
        <v>3590</v>
      </c>
      <c r="C353">
        <v>66</v>
      </c>
    </row>
    <row r="354" spans="1:4" x14ac:dyDescent="0.3">
      <c r="A354" t="s">
        <v>3591</v>
      </c>
      <c r="B354" t="s">
        <v>3592</v>
      </c>
      <c r="C354">
        <v>282</v>
      </c>
    </row>
    <row r="355" spans="1:4" x14ac:dyDescent="0.3">
      <c r="A355" t="s">
        <v>3593</v>
      </c>
      <c r="B355" t="s">
        <v>3594</v>
      </c>
      <c r="C355">
        <v>292</v>
      </c>
    </row>
    <row r="356" spans="1:4" x14ac:dyDescent="0.3">
      <c r="A356" t="s">
        <v>3595</v>
      </c>
      <c r="B356" t="s">
        <v>3596</v>
      </c>
      <c r="C356">
        <v>49.02</v>
      </c>
    </row>
    <row r="357" spans="1:4" x14ac:dyDescent="0.3">
      <c r="A357" t="s">
        <v>3597</v>
      </c>
      <c r="B357" t="s">
        <v>3598</v>
      </c>
      <c r="C357">
        <v>78.12</v>
      </c>
    </row>
    <row r="359" spans="1:4" x14ac:dyDescent="0.3">
      <c r="A359" t="s">
        <v>3599</v>
      </c>
      <c r="B359" t="s">
        <v>3600</v>
      </c>
      <c r="C359">
        <v>67.52</v>
      </c>
    </row>
    <row r="360" spans="1:4" x14ac:dyDescent="0.3">
      <c r="A360" t="s">
        <v>3601</v>
      </c>
      <c r="B360" t="s">
        <v>3602</v>
      </c>
      <c r="C360">
        <v>800</v>
      </c>
      <c r="D360" t="s">
        <v>3188</v>
      </c>
    </row>
    <row r="362" spans="1:4" x14ac:dyDescent="0.3">
      <c r="A362" t="s">
        <v>3603</v>
      </c>
      <c r="B362" t="s">
        <v>3604</v>
      </c>
      <c r="C362">
        <v>55.14</v>
      </c>
    </row>
    <row r="364" spans="1:4" x14ac:dyDescent="0.3">
      <c r="A364" t="s">
        <v>3605</v>
      </c>
      <c r="B364" t="s">
        <v>3606</v>
      </c>
      <c r="C364">
        <v>9347.14</v>
      </c>
      <c r="D364" t="s">
        <v>3607</v>
      </c>
    </row>
    <row r="365" spans="1:4" x14ac:dyDescent="0.3">
      <c r="A365" t="s">
        <v>3608</v>
      </c>
      <c r="B365" t="s">
        <v>3609</v>
      </c>
      <c r="C365">
        <v>575.17999999999995</v>
      </c>
    </row>
    <row r="367" spans="1:4" x14ac:dyDescent="0.3">
      <c r="A367" t="s">
        <v>3610</v>
      </c>
      <c r="B367" t="s">
        <v>3611</v>
      </c>
      <c r="C367">
        <v>7324.64</v>
      </c>
      <c r="D367" t="s">
        <v>3612</v>
      </c>
    </row>
    <row r="368" spans="1:4" x14ac:dyDescent="0.3">
      <c r="A368" t="s">
        <v>3613</v>
      </c>
      <c r="B368" t="s">
        <v>3614</v>
      </c>
      <c r="C368">
        <v>191.07</v>
      </c>
    </row>
    <row r="370" spans="1:5" x14ac:dyDescent="0.3">
      <c r="A370" t="s">
        <v>3615</v>
      </c>
      <c r="B370" t="s">
        <v>3616</v>
      </c>
      <c r="C370">
        <v>249.05</v>
      </c>
    </row>
    <row r="371" spans="1:5" x14ac:dyDescent="0.3">
      <c r="A371" t="s">
        <v>3617</v>
      </c>
      <c r="B371" t="s">
        <v>3618</v>
      </c>
      <c r="C371">
        <v>111.07</v>
      </c>
    </row>
    <row r="372" spans="1:5" x14ac:dyDescent="0.3">
      <c r="A372" t="s">
        <v>3619</v>
      </c>
      <c r="B372" t="s">
        <v>3620</v>
      </c>
      <c r="C372">
        <v>554.64</v>
      </c>
    </row>
    <row r="373" spans="1:5" x14ac:dyDescent="0.3">
      <c r="A373" t="s">
        <v>3621</v>
      </c>
      <c r="B373" t="s">
        <v>3622</v>
      </c>
      <c r="C373">
        <v>8664.2900000000009</v>
      </c>
    </row>
    <row r="375" spans="1:5" x14ac:dyDescent="0.3">
      <c r="A375" t="s">
        <v>3623</v>
      </c>
      <c r="B375" t="s">
        <v>3624</v>
      </c>
      <c r="C375">
        <v>616.34</v>
      </c>
    </row>
    <row r="377" spans="1:5" x14ac:dyDescent="0.3">
      <c r="A377" t="s">
        <v>3625</v>
      </c>
      <c r="B377" t="s">
        <v>3626</v>
      </c>
      <c r="C377">
        <v>445</v>
      </c>
      <c r="E377" t="s">
        <v>3627</v>
      </c>
    </row>
    <row r="378" spans="1:5" x14ac:dyDescent="0.3">
      <c r="E378" t="s">
        <v>3628</v>
      </c>
    </row>
    <row r="379" spans="1:5" x14ac:dyDescent="0.3">
      <c r="A379" t="s">
        <v>3629</v>
      </c>
      <c r="B379" t="s">
        <v>3630</v>
      </c>
      <c r="C379">
        <v>255.05</v>
      </c>
      <c r="E379" t="s">
        <v>3631</v>
      </c>
    </row>
    <row r="380" spans="1:5" x14ac:dyDescent="0.3">
      <c r="E380" t="s">
        <v>3632</v>
      </c>
    </row>
    <row r="381" spans="1:5" x14ac:dyDescent="0.3">
      <c r="A381" t="s">
        <v>3633</v>
      </c>
      <c r="B381" t="s">
        <v>3634</v>
      </c>
      <c r="C381">
        <v>510.71</v>
      </c>
      <c r="E381" t="s">
        <v>3635</v>
      </c>
    </row>
    <row r="382" spans="1:5" x14ac:dyDescent="0.3">
      <c r="E382" t="s">
        <v>3636</v>
      </c>
    </row>
    <row r="383" spans="1:5" x14ac:dyDescent="0.3">
      <c r="A383" t="s">
        <v>3637</v>
      </c>
      <c r="B383" t="s">
        <v>3638</v>
      </c>
      <c r="C383">
        <v>672.38</v>
      </c>
      <c r="D383" t="s">
        <v>3639</v>
      </c>
      <c r="E383" t="s">
        <v>3640</v>
      </c>
    </row>
    <row r="384" spans="1:5" x14ac:dyDescent="0.3">
      <c r="E384" t="s">
        <v>3641</v>
      </c>
    </row>
    <row r="385" spans="1:5" x14ac:dyDescent="0.3">
      <c r="A385" t="s">
        <v>3642</v>
      </c>
      <c r="B385" t="s">
        <v>3643</v>
      </c>
      <c r="C385">
        <v>63.05</v>
      </c>
      <c r="E385" t="s">
        <v>3644</v>
      </c>
    </row>
    <row r="386" spans="1:5" x14ac:dyDescent="0.3">
      <c r="A386" t="s">
        <v>3645</v>
      </c>
      <c r="B386" t="s">
        <v>3646</v>
      </c>
      <c r="C386">
        <v>55.05</v>
      </c>
      <c r="E386" t="s">
        <v>3647</v>
      </c>
    </row>
    <row r="387" spans="1:5" x14ac:dyDescent="0.3">
      <c r="E387" t="s">
        <v>3648</v>
      </c>
    </row>
    <row r="388" spans="1:5" x14ac:dyDescent="0.3">
      <c r="A388" t="s">
        <v>3649</v>
      </c>
      <c r="B388" t="s">
        <v>3650</v>
      </c>
      <c r="C388">
        <v>416.96</v>
      </c>
      <c r="E388" t="s">
        <v>3651</v>
      </c>
    </row>
    <row r="389" spans="1:5" x14ac:dyDescent="0.3">
      <c r="E389" t="s">
        <v>3652</v>
      </c>
    </row>
    <row r="390" spans="1:5" x14ac:dyDescent="0.3">
      <c r="A390" t="s">
        <v>3653</v>
      </c>
      <c r="B390" t="s">
        <v>3654</v>
      </c>
      <c r="C390">
        <v>503.21</v>
      </c>
      <c r="E390" t="s">
        <v>3655</v>
      </c>
    </row>
    <row r="391" spans="1:5" x14ac:dyDescent="0.3">
      <c r="E391" t="s">
        <v>3656</v>
      </c>
    </row>
    <row r="392" spans="1:5" x14ac:dyDescent="0.3">
      <c r="A392" t="s">
        <v>3657</v>
      </c>
      <c r="B392" t="s">
        <v>3658</v>
      </c>
      <c r="C392">
        <v>322</v>
      </c>
      <c r="E392" t="s">
        <v>3659</v>
      </c>
    </row>
    <row r="393" spans="1:5" x14ac:dyDescent="0.3">
      <c r="E393" t="s">
        <v>3660</v>
      </c>
    </row>
    <row r="394" spans="1:5" x14ac:dyDescent="0.3">
      <c r="A394" t="s">
        <v>3661</v>
      </c>
      <c r="B394" t="s">
        <v>3662</v>
      </c>
      <c r="C394">
        <v>418.48</v>
      </c>
      <c r="E394" t="s">
        <v>3663</v>
      </c>
    </row>
    <row r="395" spans="1:5" x14ac:dyDescent="0.3">
      <c r="E395" t="s">
        <v>3664</v>
      </c>
    </row>
    <row r="396" spans="1:5" x14ac:dyDescent="0.3">
      <c r="A396" t="s">
        <v>3665</v>
      </c>
      <c r="B396" t="s">
        <v>3666</v>
      </c>
      <c r="C396">
        <v>54.76</v>
      </c>
      <c r="E396" t="s">
        <v>3667</v>
      </c>
    </row>
    <row r="397" spans="1:5" x14ac:dyDescent="0.3">
      <c r="E397" t="s">
        <v>3668</v>
      </c>
    </row>
    <row r="398" spans="1:5" x14ac:dyDescent="0.3">
      <c r="A398" t="s">
        <v>3669</v>
      </c>
      <c r="B398" t="s">
        <v>3670</v>
      </c>
      <c r="C398">
        <v>555.71</v>
      </c>
      <c r="E398" t="s">
        <v>3671</v>
      </c>
    </row>
    <row r="399" spans="1:5" x14ac:dyDescent="0.3">
      <c r="E399" t="s">
        <v>3672</v>
      </c>
    </row>
    <row r="400" spans="1:5" x14ac:dyDescent="0.3">
      <c r="A400" t="s">
        <v>3673</v>
      </c>
      <c r="B400" t="s">
        <v>3674</v>
      </c>
      <c r="C400">
        <v>65</v>
      </c>
    </row>
    <row r="401" spans="1:5" x14ac:dyDescent="0.3">
      <c r="A401" t="s">
        <v>3675</v>
      </c>
      <c r="B401" t="s">
        <v>3676</v>
      </c>
      <c r="C401">
        <v>309.2</v>
      </c>
      <c r="D401" t="s">
        <v>3677</v>
      </c>
      <c r="E401" t="s">
        <v>3678</v>
      </c>
    </row>
    <row r="402" spans="1:5" x14ac:dyDescent="0.3">
      <c r="E402" t="s">
        <v>3679</v>
      </c>
    </row>
    <row r="403" spans="1:5" x14ac:dyDescent="0.3">
      <c r="A403" t="s">
        <v>3680</v>
      </c>
      <c r="B403" t="s">
        <v>3681</v>
      </c>
      <c r="C403">
        <v>233.05</v>
      </c>
      <c r="E403" t="s">
        <v>3682</v>
      </c>
    </row>
    <row r="404" spans="1:5" x14ac:dyDescent="0.3">
      <c r="A404" t="s">
        <v>3683</v>
      </c>
      <c r="B404" t="s">
        <v>3684</v>
      </c>
      <c r="C404">
        <v>621.87</v>
      </c>
      <c r="E404" t="s">
        <v>3685</v>
      </c>
    </row>
    <row r="405" spans="1:5" x14ac:dyDescent="0.3">
      <c r="E405" t="s">
        <v>3686</v>
      </c>
    </row>
    <row r="406" spans="1:5" x14ac:dyDescent="0.3">
      <c r="A406" t="s">
        <v>3687</v>
      </c>
      <c r="B406" t="s">
        <v>3688</v>
      </c>
      <c r="C406">
        <v>258</v>
      </c>
      <c r="E406" t="s">
        <v>3689</v>
      </c>
    </row>
    <row r="407" spans="1:5" x14ac:dyDescent="0.3">
      <c r="E407" t="s">
        <v>3690</v>
      </c>
    </row>
    <row r="408" spans="1:5" x14ac:dyDescent="0.3">
      <c r="A408" t="s">
        <v>3691</v>
      </c>
      <c r="B408" t="s">
        <v>3692</v>
      </c>
      <c r="C408">
        <v>57.52</v>
      </c>
      <c r="E408" t="s">
        <v>3693</v>
      </c>
    </row>
    <row r="409" spans="1:5" x14ac:dyDescent="0.3">
      <c r="E409" t="s">
        <v>3694</v>
      </c>
    </row>
    <row r="410" spans="1:5" x14ac:dyDescent="0.3">
      <c r="A410" t="s">
        <v>3695</v>
      </c>
      <c r="B410" t="s">
        <v>3696</v>
      </c>
      <c r="C410">
        <v>132.41</v>
      </c>
      <c r="E410" t="s">
        <v>3697</v>
      </c>
    </row>
    <row r="411" spans="1:5" x14ac:dyDescent="0.3">
      <c r="E411" t="s">
        <v>3698</v>
      </c>
    </row>
    <row r="412" spans="1:5" x14ac:dyDescent="0.3">
      <c r="A412" t="s">
        <v>3699</v>
      </c>
      <c r="B412" t="s">
        <v>3700</v>
      </c>
      <c r="C412">
        <v>133.66</v>
      </c>
      <c r="E412" t="s">
        <v>3701</v>
      </c>
    </row>
    <row r="413" spans="1:5" x14ac:dyDescent="0.3">
      <c r="E413" t="s">
        <v>3702</v>
      </c>
    </row>
    <row r="414" spans="1:5" x14ac:dyDescent="0.3">
      <c r="A414" t="s">
        <v>3703</v>
      </c>
      <c r="B414" t="s">
        <v>3704</v>
      </c>
      <c r="C414">
        <v>135.80000000000001</v>
      </c>
      <c r="E414" t="s">
        <v>3705</v>
      </c>
    </row>
    <row r="415" spans="1:5" x14ac:dyDescent="0.3">
      <c r="E415" t="s">
        <v>3706</v>
      </c>
    </row>
    <row r="416" spans="1:5" x14ac:dyDescent="0.3">
      <c r="A416" t="s">
        <v>3707</v>
      </c>
      <c r="B416" t="s">
        <v>3708</v>
      </c>
      <c r="C416">
        <v>135.80000000000001</v>
      </c>
      <c r="E416" t="s">
        <v>3709</v>
      </c>
    </row>
    <row r="417" spans="1:5" x14ac:dyDescent="0.3">
      <c r="E417" t="s">
        <v>3710</v>
      </c>
    </row>
    <row r="418" spans="1:5" x14ac:dyDescent="0.3">
      <c r="A418" t="s">
        <v>3711</v>
      </c>
      <c r="B418" t="s">
        <v>3712</v>
      </c>
      <c r="C418">
        <v>135.80000000000001</v>
      </c>
      <c r="E418" t="s">
        <v>3709</v>
      </c>
    </row>
    <row r="419" spans="1:5" x14ac:dyDescent="0.3">
      <c r="E419" t="s">
        <v>3710</v>
      </c>
    </row>
    <row r="420" spans="1:5" x14ac:dyDescent="0.3">
      <c r="A420" t="s">
        <v>3713</v>
      </c>
      <c r="B420" t="s">
        <v>3714</v>
      </c>
      <c r="C420">
        <v>135.80000000000001</v>
      </c>
      <c r="E420" t="s">
        <v>3709</v>
      </c>
    </row>
    <row r="421" spans="1:5" x14ac:dyDescent="0.3">
      <c r="E421" t="s">
        <v>3710</v>
      </c>
    </row>
    <row r="422" spans="1:5" x14ac:dyDescent="0.3">
      <c r="A422" t="s">
        <v>3715</v>
      </c>
      <c r="B422" t="s">
        <v>3716</v>
      </c>
      <c r="C422">
        <v>317.05</v>
      </c>
      <c r="E422" t="s">
        <v>3717</v>
      </c>
    </row>
    <row r="423" spans="1:5" x14ac:dyDescent="0.3">
      <c r="E423" t="s">
        <v>3718</v>
      </c>
    </row>
    <row r="424" spans="1:5" x14ac:dyDescent="0.3">
      <c r="A424" t="s">
        <v>3719</v>
      </c>
      <c r="B424" t="s">
        <v>3720</v>
      </c>
      <c r="C424">
        <v>138</v>
      </c>
      <c r="E424" t="s">
        <v>3721</v>
      </c>
    </row>
    <row r="425" spans="1:5" x14ac:dyDescent="0.3">
      <c r="A425" t="s">
        <v>3722</v>
      </c>
      <c r="B425" t="s">
        <v>3723</v>
      </c>
      <c r="C425">
        <v>116.07</v>
      </c>
    </row>
    <row r="426" spans="1:5" x14ac:dyDescent="0.3">
      <c r="A426" t="s">
        <v>3724</v>
      </c>
      <c r="B426" t="s">
        <v>3725</v>
      </c>
      <c r="C426">
        <v>178.04</v>
      </c>
    </row>
    <row r="427" spans="1:5" x14ac:dyDescent="0.3">
      <c r="A427" t="s">
        <v>3726</v>
      </c>
      <c r="B427" t="s">
        <v>3727</v>
      </c>
      <c r="C427">
        <v>68</v>
      </c>
      <c r="E427" t="s">
        <v>3728</v>
      </c>
    </row>
    <row r="428" spans="1:5" x14ac:dyDescent="0.3">
      <c r="A428" t="s">
        <v>3729</v>
      </c>
      <c r="B428" t="s">
        <v>3730</v>
      </c>
      <c r="C428">
        <v>314</v>
      </c>
      <c r="E428" t="s">
        <v>3731</v>
      </c>
    </row>
    <row r="429" spans="1:5" x14ac:dyDescent="0.3">
      <c r="E429" t="s">
        <v>3732</v>
      </c>
    </row>
    <row r="430" spans="1:5" x14ac:dyDescent="0.3">
      <c r="A430" t="s">
        <v>3733</v>
      </c>
      <c r="B430" t="s">
        <v>3734</v>
      </c>
      <c r="C430">
        <v>305</v>
      </c>
      <c r="E430" t="s">
        <v>3735</v>
      </c>
    </row>
    <row r="431" spans="1:5" x14ac:dyDescent="0.3">
      <c r="E431" t="s">
        <v>3736</v>
      </c>
    </row>
    <row r="432" spans="1:5" x14ac:dyDescent="0.3">
      <c r="A432" t="s">
        <v>3737</v>
      </c>
      <c r="B432" t="s">
        <v>3738</v>
      </c>
      <c r="C432">
        <v>63</v>
      </c>
      <c r="E432" t="s">
        <v>3739</v>
      </c>
    </row>
    <row r="433" spans="1:5" x14ac:dyDescent="0.3">
      <c r="E433" t="s">
        <v>3740</v>
      </c>
    </row>
    <row r="434" spans="1:5" x14ac:dyDescent="0.3">
      <c r="A434" t="s">
        <v>3741</v>
      </c>
      <c r="B434" t="s">
        <v>3742</v>
      </c>
      <c r="C434">
        <v>343</v>
      </c>
      <c r="E434" t="s">
        <v>3743</v>
      </c>
    </row>
    <row r="435" spans="1:5" x14ac:dyDescent="0.3">
      <c r="E435" t="s">
        <v>3744</v>
      </c>
    </row>
    <row r="436" spans="1:5" x14ac:dyDescent="0.3">
      <c r="A436" t="s">
        <v>3745</v>
      </c>
      <c r="B436" t="s">
        <v>3746</v>
      </c>
      <c r="C436">
        <v>700</v>
      </c>
      <c r="D436" t="s">
        <v>3747</v>
      </c>
      <c r="E436" t="s">
        <v>3748</v>
      </c>
    </row>
    <row r="437" spans="1:5" x14ac:dyDescent="0.3">
      <c r="E437" t="s">
        <v>3749</v>
      </c>
    </row>
    <row r="438" spans="1:5" x14ac:dyDescent="0.3">
      <c r="A438" t="s">
        <v>3750</v>
      </c>
      <c r="B438" t="s">
        <v>3751</v>
      </c>
      <c r="C438">
        <v>254</v>
      </c>
      <c r="E438" t="s">
        <v>3752</v>
      </c>
    </row>
    <row r="439" spans="1:5" x14ac:dyDescent="0.3">
      <c r="E439" t="s">
        <v>3753</v>
      </c>
    </row>
    <row r="440" spans="1:5" x14ac:dyDescent="0.3">
      <c r="A440" t="s">
        <v>3754</v>
      </c>
      <c r="B440" t="s">
        <v>3755</v>
      </c>
      <c r="C440">
        <v>7000</v>
      </c>
      <c r="D440" t="s">
        <v>3756</v>
      </c>
    </row>
    <row r="441" spans="1:5" x14ac:dyDescent="0.3">
      <c r="A441" t="s">
        <v>3757</v>
      </c>
      <c r="B441" t="s">
        <v>3758</v>
      </c>
      <c r="C441">
        <v>57.52</v>
      </c>
      <c r="E441" t="s">
        <v>3759</v>
      </c>
    </row>
    <row r="442" spans="1:5" x14ac:dyDescent="0.3">
      <c r="E442" t="s">
        <v>3760</v>
      </c>
    </row>
    <row r="443" spans="1:5" x14ac:dyDescent="0.3">
      <c r="A443" t="s">
        <v>3761</v>
      </c>
      <c r="B443" t="s">
        <v>3762</v>
      </c>
      <c r="C443">
        <v>483.04</v>
      </c>
      <c r="E443" t="s">
        <v>3763</v>
      </c>
    </row>
    <row r="444" spans="1:5" x14ac:dyDescent="0.3">
      <c r="E444" t="s">
        <v>3764</v>
      </c>
    </row>
    <row r="445" spans="1:5" x14ac:dyDescent="0.3">
      <c r="A445" t="s">
        <v>3765</v>
      </c>
      <c r="B445" t="s">
        <v>3766</v>
      </c>
      <c r="C445">
        <v>8122.32</v>
      </c>
      <c r="E445" t="s">
        <v>3767</v>
      </c>
    </row>
    <row r="446" spans="1:5" x14ac:dyDescent="0.3">
      <c r="E446" t="s">
        <v>3768</v>
      </c>
    </row>
    <row r="447" spans="1:5" x14ac:dyDescent="0.3">
      <c r="A447" t="s">
        <v>3769</v>
      </c>
      <c r="B447" t="s">
        <v>3770</v>
      </c>
      <c r="C447">
        <v>7367.05</v>
      </c>
    </row>
    <row r="448" spans="1:5" x14ac:dyDescent="0.3">
      <c r="A448" t="s">
        <v>3771</v>
      </c>
      <c r="B448" t="s">
        <v>3772</v>
      </c>
      <c r="C448">
        <v>100</v>
      </c>
    </row>
    <row r="450" spans="1:4" x14ac:dyDescent="0.3">
      <c r="A450" t="s">
        <v>3773</v>
      </c>
      <c r="B450" t="s">
        <v>3774</v>
      </c>
      <c r="C450">
        <v>226.57</v>
      </c>
    </row>
    <row r="452" spans="1:4" x14ac:dyDescent="0.3">
      <c r="A452" t="s">
        <v>3775</v>
      </c>
      <c r="B452" t="s">
        <v>3776</v>
      </c>
      <c r="C452">
        <v>201.87</v>
      </c>
    </row>
    <row r="454" spans="1:4" x14ac:dyDescent="0.3">
      <c r="A454" t="s">
        <v>3777</v>
      </c>
      <c r="B454" t="s">
        <v>3778</v>
      </c>
      <c r="C454">
        <v>504.73</v>
      </c>
    </row>
    <row r="456" spans="1:4" x14ac:dyDescent="0.3">
      <c r="A456" t="s">
        <v>3779</v>
      </c>
      <c r="B456" t="s">
        <v>3780</v>
      </c>
      <c r="C456">
        <v>501.7</v>
      </c>
    </row>
    <row r="458" spans="1:4" x14ac:dyDescent="0.3">
      <c r="A458" t="s">
        <v>3781</v>
      </c>
      <c r="B458" t="s">
        <v>3782</v>
      </c>
      <c r="C458">
        <v>208.48</v>
      </c>
    </row>
    <row r="459" spans="1:4" x14ac:dyDescent="0.3">
      <c r="A459" t="s">
        <v>3783</v>
      </c>
      <c r="B459" t="s">
        <v>3784</v>
      </c>
      <c r="C459">
        <v>218.39</v>
      </c>
    </row>
    <row r="461" spans="1:4" x14ac:dyDescent="0.3">
      <c r="A461" t="s">
        <v>3785</v>
      </c>
      <c r="B461" t="s">
        <v>3786</v>
      </c>
      <c r="C461">
        <v>428.84</v>
      </c>
      <c r="D461" t="s">
        <v>3787</v>
      </c>
    </row>
    <row r="463" spans="1:4" x14ac:dyDescent="0.3">
      <c r="A463" t="s">
        <v>3788</v>
      </c>
      <c r="B463" t="s">
        <v>3789</v>
      </c>
      <c r="C463">
        <v>244.29</v>
      </c>
    </row>
    <row r="465" spans="1:4" x14ac:dyDescent="0.3">
      <c r="A465" t="s">
        <v>3790</v>
      </c>
      <c r="B465" t="s">
        <v>3791</v>
      </c>
      <c r="C465">
        <v>226.96</v>
      </c>
    </row>
    <row r="467" spans="1:4" x14ac:dyDescent="0.3">
      <c r="A467" t="s">
        <v>3792</v>
      </c>
      <c r="B467" t="s">
        <v>3793</v>
      </c>
      <c r="C467">
        <v>234.29</v>
      </c>
    </row>
    <row r="469" spans="1:4" x14ac:dyDescent="0.3">
      <c r="A469" t="s">
        <v>3794</v>
      </c>
      <c r="B469" t="s">
        <v>3795</v>
      </c>
      <c r="C469">
        <v>1425</v>
      </c>
      <c r="D469" t="s">
        <v>3796</v>
      </c>
    </row>
    <row r="471" spans="1:4" x14ac:dyDescent="0.3">
      <c r="A471" t="s">
        <v>3797</v>
      </c>
      <c r="B471" t="s">
        <v>3798</v>
      </c>
      <c r="C471">
        <v>380</v>
      </c>
    </row>
    <row r="473" spans="1:4" x14ac:dyDescent="0.3">
      <c r="A473" t="s">
        <v>3799</v>
      </c>
      <c r="B473" t="s">
        <v>3800</v>
      </c>
      <c r="C473">
        <v>248</v>
      </c>
    </row>
    <row r="474" spans="1:4" x14ac:dyDescent="0.3">
      <c r="A474" t="s">
        <v>3801</v>
      </c>
      <c r="B474" t="s">
        <v>3802</v>
      </c>
      <c r="C474">
        <v>277.05</v>
      </c>
    </row>
    <row r="476" spans="1:4" x14ac:dyDescent="0.3">
      <c r="A476" t="s">
        <v>3803</v>
      </c>
      <c r="B476" t="s">
        <v>3804</v>
      </c>
      <c r="C476">
        <v>298</v>
      </c>
    </row>
    <row r="477" spans="1:4" x14ac:dyDescent="0.3">
      <c r="A477" t="s">
        <v>3805</v>
      </c>
      <c r="B477" t="s">
        <v>3806</v>
      </c>
      <c r="C477">
        <v>137.05000000000001</v>
      </c>
    </row>
    <row r="479" spans="1:4" x14ac:dyDescent="0.3">
      <c r="A479" t="s">
        <v>3807</v>
      </c>
      <c r="B479" t="s">
        <v>3808</v>
      </c>
      <c r="C479">
        <v>544.20000000000005</v>
      </c>
    </row>
    <row r="480" spans="1:4" x14ac:dyDescent="0.3">
      <c r="A480" t="s">
        <v>3809</v>
      </c>
      <c r="B480" t="s">
        <v>3810</v>
      </c>
      <c r="C480">
        <v>6525</v>
      </c>
      <c r="D480" t="s">
        <v>3811</v>
      </c>
    </row>
    <row r="482" spans="1:5" x14ac:dyDescent="0.3">
      <c r="A482" t="s">
        <v>3812</v>
      </c>
      <c r="B482" t="s">
        <v>3813</v>
      </c>
      <c r="C482">
        <v>270.08999999999997</v>
      </c>
      <c r="D482" t="s">
        <v>3814</v>
      </c>
    </row>
    <row r="484" spans="1:5" x14ac:dyDescent="0.3">
      <c r="A484" t="s">
        <v>3815</v>
      </c>
      <c r="B484" t="s">
        <v>3816</v>
      </c>
      <c r="C484">
        <v>506.07</v>
      </c>
      <c r="E484" t="s">
        <v>3817</v>
      </c>
    </row>
    <row r="485" spans="1:5" x14ac:dyDescent="0.3">
      <c r="A485" t="s">
        <v>3818</v>
      </c>
      <c r="B485" t="s">
        <v>3819</v>
      </c>
      <c r="C485">
        <v>50</v>
      </c>
      <c r="E485" t="s">
        <v>3820</v>
      </c>
    </row>
    <row r="486" spans="1:5" x14ac:dyDescent="0.3">
      <c r="A486" t="s">
        <v>3821</v>
      </c>
      <c r="B486" t="s">
        <v>3822</v>
      </c>
      <c r="C486">
        <v>362.05</v>
      </c>
      <c r="E486" t="s">
        <v>3823</v>
      </c>
    </row>
    <row r="487" spans="1:5" x14ac:dyDescent="0.3">
      <c r="E487" t="s">
        <v>3824</v>
      </c>
    </row>
    <row r="488" spans="1:5" x14ac:dyDescent="0.3">
      <c r="A488" t="s">
        <v>3825</v>
      </c>
      <c r="B488" t="s">
        <v>3826</v>
      </c>
      <c r="C488">
        <v>322.57</v>
      </c>
      <c r="E488" t="s">
        <v>3827</v>
      </c>
    </row>
    <row r="489" spans="1:5" x14ac:dyDescent="0.3">
      <c r="E489" t="s">
        <v>3828</v>
      </c>
    </row>
    <row r="490" spans="1:5" x14ac:dyDescent="0.3">
      <c r="A490" t="s">
        <v>3829</v>
      </c>
      <c r="B490" t="s">
        <v>3830</v>
      </c>
      <c r="C490">
        <v>67.239999999999995</v>
      </c>
      <c r="E490" t="s">
        <v>3831</v>
      </c>
    </row>
    <row r="491" spans="1:5" x14ac:dyDescent="0.3">
      <c r="E491" t="s">
        <v>3832</v>
      </c>
    </row>
    <row r="492" spans="1:5" x14ac:dyDescent="0.3">
      <c r="A492" t="s">
        <v>3833</v>
      </c>
      <c r="B492" t="s">
        <v>3834</v>
      </c>
      <c r="C492">
        <v>463.57</v>
      </c>
      <c r="E492" t="s">
        <v>3835</v>
      </c>
    </row>
    <row r="493" spans="1:5" x14ac:dyDescent="0.3">
      <c r="E493" t="s">
        <v>3836</v>
      </c>
    </row>
    <row r="494" spans="1:5" x14ac:dyDescent="0.3">
      <c r="A494" t="s">
        <v>3837</v>
      </c>
      <c r="B494" t="s">
        <v>3838</v>
      </c>
      <c r="C494">
        <v>70.67</v>
      </c>
      <c r="E494" t="s">
        <v>3839</v>
      </c>
    </row>
    <row r="495" spans="1:5" x14ac:dyDescent="0.3">
      <c r="E495" t="s">
        <v>3840</v>
      </c>
    </row>
    <row r="496" spans="1:5" x14ac:dyDescent="0.3">
      <c r="A496" t="s">
        <v>3841</v>
      </c>
      <c r="B496" t="s">
        <v>3842</v>
      </c>
      <c r="C496">
        <v>339.71</v>
      </c>
      <c r="E496" t="s">
        <v>3843</v>
      </c>
    </row>
    <row r="497" spans="1:5" x14ac:dyDescent="0.3">
      <c r="E497" t="s">
        <v>3844</v>
      </c>
    </row>
    <row r="498" spans="1:5" x14ac:dyDescent="0.3">
      <c r="A498" t="s">
        <v>3845</v>
      </c>
      <c r="B498" t="s">
        <v>3846</v>
      </c>
      <c r="C498">
        <v>331.05</v>
      </c>
      <c r="E498" t="s">
        <v>3847</v>
      </c>
    </row>
    <row r="499" spans="1:5" x14ac:dyDescent="0.3">
      <c r="E499" t="s">
        <v>3848</v>
      </c>
    </row>
    <row r="500" spans="1:5" x14ac:dyDescent="0.3">
      <c r="A500" t="s">
        <v>3849</v>
      </c>
      <c r="B500" t="s">
        <v>3850</v>
      </c>
      <c r="C500">
        <v>385</v>
      </c>
      <c r="E500" t="s">
        <v>3851</v>
      </c>
    </row>
    <row r="501" spans="1:5" x14ac:dyDescent="0.3">
      <c r="E501" t="s">
        <v>3852</v>
      </c>
    </row>
    <row r="502" spans="1:5" x14ac:dyDescent="0.3">
      <c r="A502" t="s">
        <v>3853</v>
      </c>
      <c r="B502" t="s">
        <v>3854</v>
      </c>
      <c r="C502">
        <v>526.79</v>
      </c>
      <c r="E502" t="s">
        <v>3855</v>
      </c>
    </row>
    <row r="503" spans="1:5" x14ac:dyDescent="0.3">
      <c r="A503" t="s">
        <v>3856</v>
      </c>
      <c r="B503" t="s">
        <v>3857</v>
      </c>
      <c r="C503">
        <v>372.05</v>
      </c>
      <c r="E503" t="s">
        <v>3858</v>
      </c>
    </row>
    <row r="504" spans="1:5" x14ac:dyDescent="0.3">
      <c r="E504" t="s">
        <v>3859</v>
      </c>
    </row>
    <row r="505" spans="1:5" x14ac:dyDescent="0.3">
      <c r="A505" t="s">
        <v>3860</v>
      </c>
      <c r="B505" t="s">
        <v>3861</v>
      </c>
      <c r="C505">
        <v>349.02</v>
      </c>
      <c r="E505" t="s">
        <v>3862</v>
      </c>
    </row>
    <row r="506" spans="1:5" x14ac:dyDescent="0.3">
      <c r="E506" t="s">
        <v>3863</v>
      </c>
    </row>
    <row r="507" spans="1:5" x14ac:dyDescent="0.3">
      <c r="A507" t="s">
        <v>3864</v>
      </c>
      <c r="B507" t="s">
        <v>3865</v>
      </c>
      <c r="C507">
        <v>298.04000000000002</v>
      </c>
      <c r="D507" t="s">
        <v>3866</v>
      </c>
      <c r="E507" t="s">
        <v>3867</v>
      </c>
    </row>
    <row r="508" spans="1:5" x14ac:dyDescent="0.3">
      <c r="E508" t="s">
        <v>3868</v>
      </c>
    </row>
    <row r="509" spans="1:5" x14ac:dyDescent="0.3">
      <c r="A509" t="s">
        <v>3869</v>
      </c>
      <c r="B509" t="s">
        <v>3870</v>
      </c>
      <c r="C509">
        <v>382.05</v>
      </c>
      <c r="E509" t="s">
        <v>3871</v>
      </c>
    </row>
    <row r="510" spans="1:5" x14ac:dyDescent="0.3">
      <c r="E510" t="s">
        <v>3872</v>
      </c>
    </row>
    <row r="511" spans="1:5" x14ac:dyDescent="0.3">
      <c r="A511" t="s">
        <v>3873</v>
      </c>
      <c r="B511" t="s">
        <v>3874</v>
      </c>
      <c r="C511">
        <v>374.02</v>
      </c>
      <c r="E511" t="s">
        <v>3875</v>
      </c>
    </row>
    <row r="512" spans="1:5" x14ac:dyDescent="0.3">
      <c r="E512" t="s">
        <v>3876</v>
      </c>
    </row>
    <row r="513" spans="1:5" x14ac:dyDescent="0.3">
      <c r="A513" t="s">
        <v>3877</v>
      </c>
      <c r="B513" t="s">
        <v>3878</v>
      </c>
      <c r="C513">
        <v>472.32</v>
      </c>
      <c r="E513" t="s">
        <v>3879</v>
      </c>
    </row>
    <row r="514" spans="1:5" x14ac:dyDescent="0.3">
      <c r="E514" t="s">
        <v>3880</v>
      </c>
    </row>
    <row r="515" spans="1:5" x14ac:dyDescent="0.3">
      <c r="A515" t="s">
        <v>3881</v>
      </c>
      <c r="B515" t="s">
        <v>3882</v>
      </c>
      <c r="C515">
        <v>69.05</v>
      </c>
      <c r="E515" t="s">
        <v>3883</v>
      </c>
    </row>
    <row r="516" spans="1:5" x14ac:dyDescent="0.3">
      <c r="E516" t="s">
        <v>3884</v>
      </c>
    </row>
    <row r="517" spans="1:5" x14ac:dyDescent="0.3">
      <c r="A517" t="s">
        <v>3885</v>
      </c>
      <c r="B517" t="s">
        <v>3886</v>
      </c>
      <c r="C517">
        <v>174.8</v>
      </c>
      <c r="E517" t="s">
        <v>3887</v>
      </c>
    </row>
    <row r="518" spans="1:5" x14ac:dyDescent="0.3">
      <c r="E518" t="s">
        <v>3888</v>
      </c>
    </row>
    <row r="519" spans="1:5" x14ac:dyDescent="0.3">
      <c r="A519" t="s">
        <v>3889</v>
      </c>
      <c r="B519" t="s">
        <v>3890</v>
      </c>
      <c r="C519">
        <v>370</v>
      </c>
    </row>
    <row r="520" spans="1:5" x14ac:dyDescent="0.3">
      <c r="A520" t="s">
        <v>3891</v>
      </c>
      <c r="B520" t="s">
        <v>3892</v>
      </c>
      <c r="C520">
        <v>338.1</v>
      </c>
    </row>
    <row r="522" spans="1:5" x14ac:dyDescent="0.3">
      <c r="A522" t="s">
        <v>3893</v>
      </c>
      <c r="B522" t="s">
        <v>3894</v>
      </c>
      <c r="C522">
        <v>400.09</v>
      </c>
    </row>
    <row r="524" spans="1:5" x14ac:dyDescent="0.3">
      <c r="A524" t="s">
        <v>3895</v>
      </c>
      <c r="B524" t="s">
        <v>3896</v>
      </c>
      <c r="C524">
        <v>301.79000000000002</v>
      </c>
      <c r="D524" t="s">
        <v>3897</v>
      </c>
    </row>
    <row r="526" spans="1:5" x14ac:dyDescent="0.3">
      <c r="A526" t="s">
        <v>3898</v>
      </c>
      <c r="B526" t="s">
        <v>3899</v>
      </c>
      <c r="C526">
        <v>208</v>
      </c>
    </row>
    <row r="528" spans="1:5" x14ac:dyDescent="0.3">
      <c r="A528" t="s">
        <v>3900</v>
      </c>
      <c r="B528" t="s">
        <v>3901</v>
      </c>
      <c r="C528">
        <v>258.10000000000002</v>
      </c>
    </row>
    <row r="529" spans="1:4" x14ac:dyDescent="0.3">
      <c r="A529" t="s">
        <v>3902</v>
      </c>
      <c r="B529" t="s">
        <v>3903</v>
      </c>
      <c r="C529">
        <v>310</v>
      </c>
    </row>
    <row r="531" spans="1:4" x14ac:dyDescent="0.3">
      <c r="A531" t="s">
        <v>3904</v>
      </c>
      <c r="B531" t="s">
        <v>3905</v>
      </c>
      <c r="C531">
        <v>794.02</v>
      </c>
      <c r="D531" t="s">
        <v>3906</v>
      </c>
    </row>
    <row r="533" spans="1:4" x14ac:dyDescent="0.3">
      <c r="A533" t="s">
        <v>3907</v>
      </c>
      <c r="B533" t="s">
        <v>3908</v>
      </c>
      <c r="C533">
        <v>51.33</v>
      </c>
    </row>
    <row r="534" spans="1:4" x14ac:dyDescent="0.3">
      <c r="A534" t="s">
        <v>3909</v>
      </c>
      <c r="B534" t="s">
        <v>3910</v>
      </c>
      <c r="C534">
        <v>499.02</v>
      </c>
    </row>
    <row r="535" spans="1:4" x14ac:dyDescent="0.3">
      <c r="A535" t="s">
        <v>3911</v>
      </c>
      <c r="B535" t="s">
        <v>3912</v>
      </c>
      <c r="C535">
        <v>216.25</v>
      </c>
    </row>
    <row r="537" spans="1:4" x14ac:dyDescent="0.3">
      <c r="A537" t="s">
        <v>3913</v>
      </c>
      <c r="B537" t="s">
        <v>3914</v>
      </c>
      <c r="C537">
        <v>459.02</v>
      </c>
    </row>
    <row r="539" spans="1:4" x14ac:dyDescent="0.3">
      <c r="A539" t="s">
        <v>3915</v>
      </c>
      <c r="B539" t="s">
        <v>3916</v>
      </c>
      <c r="C539">
        <v>325.05</v>
      </c>
    </row>
    <row r="540" spans="1:4" x14ac:dyDescent="0.3">
      <c r="A540" t="s">
        <v>3917</v>
      </c>
      <c r="B540" t="s">
        <v>3918</v>
      </c>
      <c r="C540">
        <v>223.04</v>
      </c>
    </row>
    <row r="542" spans="1:4" x14ac:dyDescent="0.3">
      <c r="A542" t="s">
        <v>3919</v>
      </c>
      <c r="B542" t="s">
        <v>3920</v>
      </c>
      <c r="C542">
        <v>67.05</v>
      </c>
    </row>
    <row r="543" spans="1:4" x14ac:dyDescent="0.3">
      <c r="A543" t="s">
        <v>3921</v>
      </c>
      <c r="B543" t="s">
        <v>3922</v>
      </c>
      <c r="C543">
        <v>79.05</v>
      </c>
    </row>
    <row r="545" spans="1:4" x14ac:dyDescent="0.3">
      <c r="A545" t="s">
        <v>3923</v>
      </c>
      <c r="B545" t="s">
        <v>3924</v>
      </c>
      <c r="C545">
        <v>59.52</v>
      </c>
    </row>
    <row r="547" spans="1:4" x14ac:dyDescent="0.3">
      <c r="A547" t="s">
        <v>3925</v>
      </c>
      <c r="B547" t="s">
        <v>3926</v>
      </c>
      <c r="C547">
        <v>310</v>
      </c>
    </row>
    <row r="548" spans="1:4" x14ac:dyDescent="0.3">
      <c r="A548" t="s">
        <v>3927</v>
      </c>
      <c r="B548" t="s">
        <v>3928</v>
      </c>
      <c r="C548">
        <v>361.34</v>
      </c>
      <c r="D548" t="s">
        <v>3929</v>
      </c>
    </row>
    <row r="550" spans="1:4" x14ac:dyDescent="0.3">
      <c r="A550" t="s">
        <v>3930</v>
      </c>
      <c r="B550" t="s">
        <v>3931</v>
      </c>
      <c r="C550">
        <v>451.61</v>
      </c>
    </row>
    <row r="552" spans="1:4" x14ac:dyDescent="0.3">
      <c r="A552" t="s">
        <v>3932</v>
      </c>
      <c r="B552" t="s">
        <v>3933</v>
      </c>
      <c r="C552">
        <v>27.81</v>
      </c>
    </row>
    <row r="554" spans="1:4" x14ac:dyDescent="0.3">
      <c r="A554" t="s">
        <v>3934</v>
      </c>
      <c r="B554" t="s">
        <v>3935</v>
      </c>
      <c r="C554">
        <v>238.84</v>
      </c>
    </row>
    <row r="556" spans="1:4" x14ac:dyDescent="0.3">
      <c r="A556" t="s">
        <v>3936</v>
      </c>
      <c r="B556" t="s">
        <v>3937</v>
      </c>
      <c r="C556">
        <v>238.84</v>
      </c>
    </row>
    <row r="558" spans="1:4" x14ac:dyDescent="0.3">
      <c r="A558" t="s">
        <v>3938</v>
      </c>
      <c r="B558" t="s">
        <v>3939</v>
      </c>
      <c r="C558">
        <v>259.05</v>
      </c>
    </row>
    <row r="560" spans="1:4" x14ac:dyDescent="0.3">
      <c r="A560" t="s">
        <v>3940</v>
      </c>
      <c r="B560" t="s">
        <v>3941</v>
      </c>
      <c r="C560">
        <v>203</v>
      </c>
    </row>
    <row r="562" spans="1:4" x14ac:dyDescent="0.3">
      <c r="A562" t="s">
        <v>3942</v>
      </c>
      <c r="B562" t="s">
        <v>3943</v>
      </c>
      <c r="C562">
        <v>60.57</v>
      </c>
    </row>
    <row r="564" spans="1:4" x14ac:dyDescent="0.3">
      <c r="A564" t="s">
        <v>3944</v>
      </c>
      <c r="B564" t="s">
        <v>3945</v>
      </c>
      <c r="C564">
        <v>254</v>
      </c>
    </row>
    <row r="566" spans="1:4" x14ac:dyDescent="0.3">
      <c r="A566" t="s">
        <v>3946</v>
      </c>
      <c r="B566" t="s">
        <v>3947</v>
      </c>
      <c r="C566">
        <v>204</v>
      </c>
    </row>
    <row r="567" spans="1:4" x14ac:dyDescent="0.3">
      <c r="A567" t="s">
        <v>3948</v>
      </c>
      <c r="B567" t="s">
        <v>3949</v>
      </c>
      <c r="C567">
        <v>149.07</v>
      </c>
    </row>
    <row r="569" spans="1:4" x14ac:dyDescent="0.3">
      <c r="A569" t="s">
        <v>3950</v>
      </c>
      <c r="B569" t="s">
        <v>3951</v>
      </c>
      <c r="C569">
        <v>442.14</v>
      </c>
    </row>
    <row r="571" spans="1:4" x14ac:dyDescent="0.3">
      <c r="A571" t="s">
        <v>3952</v>
      </c>
      <c r="B571" t="s">
        <v>3953</v>
      </c>
      <c r="C571">
        <v>472.05</v>
      </c>
    </row>
    <row r="573" spans="1:4" x14ac:dyDescent="0.3">
      <c r="A573" t="s">
        <v>3954</v>
      </c>
      <c r="B573" t="s">
        <v>3955</v>
      </c>
      <c r="C573">
        <v>854.02</v>
      </c>
      <c r="D573" t="s">
        <v>3956</v>
      </c>
    </row>
    <row r="575" spans="1:4" x14ac:dyDescent="0.3">
      <c r="A575" t="s">
        <v>3957</v>
      </c>
      <c r="B575" t="s">
        <v>3958</v>
      </c>
      <c r="C575">
        <v>810</v>
      </c>
      <c r="D575" t="s">
        <v>3959</v>
      </c>
    </row>
    <row r="577" spans="1:5" x14ac:dyDescent="0.3">
      <c r="A577" t="s">
        <v>3960</v>
      </c>
      <c r="B577" t="s">
        <v>3961</v>
      </c>
      <c r="C577">
        <v>790</v>
      </c>
      <c r="D577" t="s">
        <v>3175</v>
      </c>
    </row>
    <row r="579" spans="1:5" x14ac:dyDescent="0.3">
      <c r="A579" t="s">
        <v>3962</v>
      </c>
      <c r="B579" t="s">
        <v>3963</v>
      </c>
      <c r="C579">
        <v>258.3</v>
      </c>
    </row>
    <row r="581" spans="1:5" x14ac:dyDescent="0.3">
      <c r="A581" t="s">
        <v>3964</v>
      </c>
      <c r="B581" t="s">
        <v>3965</v>
      </c>
      <c r="C581">
        <v>190</v>
      </c>
    </row>
    <row r="583" spans="1:5" x14ac:dyDescent="0.3">
      <c r="A583" t="s">
        <v>3966</v>
      </c>
      <c r="B583" t="s">
        <v>3967</v>
      </c>
      <c r="C583">
        <v>206.25</v>
      </c>
    </row>
    <row r="585" spans="1:5" x14ac:dyDescent="0.3">
      <c r="A585" t="s">
        <v>3968</v>
      </c>
      <c r="B585" t="s">
        <v>3969</v>
      </c>
      <c r="C585">
        <v>600</v>
      </c>
    </row>
    <row r="587" spans="1:5" x14ac:dyDescent="0.3">
      <c r="A587" t="s">
        <v>3970</v>
      </c>
      <c r="B587" t="s">
        <v>3971</v>
      </c>
      <c r="C587">
        <v>394.67</v>
      </c>
      <c r="D587" t="s">
        <v>3972</v>
      </c>
    </row>
    <row r="588" spans="1:5" x14ac:dyDescent="0.3">
      <c r="A588" t="s">
        <v>3973</v>
      </c>
      <c r="B588" t="s">
        <v>3974</v>
      </c>
      <c r="C588">
        <v>284</v>
      </c>
    </row>
    <row r="590" spans="1:5" x14ac:dyDescent="0.3">
      <c r="A590" t="s">
        <v>3975</v>
      </c>
      <c r="B590" t="s">
        <v>3976</v>
      </c>
      <c r="C590">
        <v>764.02</v>
      </c>
      <c r="D590" t="s">
        <v>2930</v>
      </c>
    </row>
    <row r="592" spans="1:5" x14ac:dyDescent="0.3">
      <c r="A592" t="s">
        <v>3977</v>
      </c>
      <c r="B592" t="s">
        <v>3978</v>
      </c>
      <c r="C592">
        <v>70.19</v>
      </c>
      <c r="E592" t="s">
        <v>3979</v>
      </c>
    </row>
    <row r="593" spans="1:5" x14ac:dyDescent="0.3">
      <c r="E593" t="s">
        <v>3980</v>
      </c>
    </row>
    <row r="594" spans="1:5" x14ac:dyDescent="0.3">
      <c r="A594" t="s">
        <v>3981</v>
      </c>
      <c r="B594" t="s">
        <v>3982</v>
      </c>
      <c r="C594">
        <v>238.21</v>
      </c>
      <c r="E594" t="s">
        <v>3983</v>
      </c>
    </row>
    <row r="595" spans="1:5" x14ac:dyDescent="0.3">
      <c r="E595" t="s">
        <v>3984</v>
      </c>
    </row>
    <row r="596" spans="1:5" x14ac:dyDescent="0.3">
      <c r="A596" t="s">
        <v>3985</v>
      </c>
      <c r="B596" t="s">
        <v>3986</v>
      </c>
      <c r="C596">
        <v>333.33</v>
      </c>
      <c r="E596" t="s">
        <v>3987</v>
      </c>
    </row>
    <row r="597" spans="1:5" x14ac:dyDescent="0.3">
      <c r="A597" t="s">
        <v>3988</v>
      </c>
      <c r="B597" t="s">
        <v>3989</v>
      </c>
      <c r="C597">
        <v>46.7</v>
      </c>
    </row>
    <row r="598" spans="1:5" x14ac:dyDescent="0.3">
      <c r="A598" t="s">
        <v>3990</v>
      </c>
      <c r="B598" t="s">
        <v>3991</v>
      </c>
      <c r="C598">
        <v>23.81</v>
      </c>
    </row>
    <row r="599" spans="1:5" x14ac:dyDescent="0.3">
      <c r="A599" t="s">
        <v>3992</v>
      </c>
      <c r="B599" t="s">
        <v>3993</v>
      </c>
      <c r="C599">
        <v>412.95</v>
      </c>
      <c r="E599" t="s">
        <v>3994</v>
      </c>
    </row>
    <row r="600" spans="1:5" x14ac:dyDescent="0.3">
      <c r="A600" t="s">
        <v>3995</v>
      </c>
      <c r="B600" t="s">
        <v>3996</v>
      </c>
      <c r="C600">
        <v>515.71</v>
      </c>
      <c r="E600" t="s">
        <v>3997</v>
      </c>
    </row>
    <row r="601" spans="1:5" x14ac:dyDescent="0.3">
      <c r="E601" t="s">
        <v>3998</v>
      </c>
    </row>
    <row r="602" spans="1:5" x14ac:dyDescent="0.3">
      <c r="A602" t="s">
        <v>3999</v>
      </c>
      <c r="B602" t="s">
        <v>4000</v>
      </c>
      <c r="C602">
        <v>488.04</v>
      </c>
      <c r="E602" t="s">
        <v>4001</v>
      </c>
    </row>
    <row r="603" spans="1:5" x14ac:dyDescent="0.3">
      <c r="E603" t="s">
        <v>4002</v>
      </c>
    </row>
    <row r="604" spans="1:5" x14ac:dyDescent="0.3">
      <c r="A604" t="s">
        <v>4003</v>
      </c>
      <c r="B604" t="s">
        <v>4004</v>
      </c>
      <c r="C604">
        <v>40.71</v>
      </c>
      <c r="E604" t="s">
        <v>4005</v>
      </c>
    </row>
    <row r="605" spans="1:5" x14ac:dyDescent="0.3">
      <c r="E605" t="s">
        <v>4006</v>
      </c>
    </row>
    <row r="606" spans="1:5" x14ac:dyDescent="0.3">
      <c r="A606" t="s">
        <v>4007</v>
      </c>
      <c r="B606" t="s">
        <v>4008</v>
      </c>
      <c r="C606">
        <v>55.52</v>
      </c>
      <c r="E606" t="s">
        <v>4009</v>
      </c>
    </row>
    <row r="607" spans="1:5" x14ac:dyDescent="0.3">
      <c r="E607" t="s">
        <v>4010</v>
      </c>
    </row>
    <row r="608" spans="1:5" x14ac:dyDescent="0.3">
      <c r="A608" t="s">
        <v>4011</v>
      </c>
      <c r="B608" t="s">
        <v>4012</v>
      </c>
      <c r="C608">
        <v>31.52</v>
      </c>
    </row>
    <row r="609" spans="1:5" x14ac:dyDescent="0.3">
      <c r="A609" t="s">
        <v>4013</v>
      </c>
      <c r="B609" t="s">
        <v>4014</v>
      </c>
      <c r="C609">
        <v>242.5</v>
      </c>
      <c r="E609" t="s">
        <v>4015</v>
      </c>
    </row>
    <row r="610" spans="1:5" x14ac:dyDescent="0.3">
      <c r="E610" t="s">
        <v>4016</v>
      </c>
    </row>
    <row r="611" spans="1:5" x14ac:dyDescent="0.3">
      <c r="A611" t="s">
        <v>4017</v>
      </c>
      <c r="B611" t="s">
        <v>4018</v>
      </c>
      <c r="C611">
        <v>243.04</v>
      </c>
      <c r="E611" t="s">
        <v>4019</v>
      </c>
    </row>
    <row r="612" spans="1:5" x14ac:dyDescent="0.3">
      <c r="E612" t="s">
        <v>4020</v>
      </c>
    </row>
    <row r="613" spans="1:5" x14ac:dyDescent="0.3">
      <c r="A613" t="s">
        <v>4021</v>
      </c>
      <c r="B613" t="s">
        <v>4022</v>
      </c>
      <c r="C613">
        <v>830</v>
      </c>
      <c r="D613" t="s">
        <v>4023</v>
      </c>
      <c r="E613" t="s">
        <v>4024</v>
      </c>
    </row>
    <row r="614" spans="1:5" x14ac:dyDescent="0.3">
      <c r="E614" t="s">
        <v>4025</v>
      </c>
    </row>
    <row r="615" spans="1:5" x14ac:dyDescent="0.3">
      <c r="A615" t="s">
        <v>4026</v>
      </c>
      <c r="B615" t="s">
        <v>4027</v>
      </c>
      <c r="C615">
        <v>2698.75</v>
      </c>
      <c r="D615" t="s">
        <v>4028</v>
      </c>
      <c r="E615" t="s">
        <v>4029</v>
      </c>
    </row>
    <row r="616" spans="1:5" x14ac:dyDescent="0.3">
      <c r="E616" t="s">
        <v>4030</v>
      </c>
    </row>
    <row r="617" spans="1:5" x14ac:dyDescent="0.3">
      <c r="A617" t="s">
        <v>4031</v>
      </c>
      <c r="B617" t="s">
        <v>4032</v>
      </c>
      <c r="C617">
        <v>447.14</v>
      </c>
      <c r="D617" t="s">
        <v>4033</v>
      </c>
      <c r="E617" t="s">
        <v>4034</v>
      </c>
    </row>
    <row r="618" spans="1:5" x14ac:dyDescent="0.3">
      <c r="E618" t="s">
        <v>4035</v>
      </c>
    </row>
    <row r="619" spans="1:5" x14ac:dyDescent="0.3">
      <c r="A619" t="s">
        <v>4036</v>
      </c>
      <c r="B619" t="s">
        <v>4037</v>
      </c>
      <c r="C619">
        <v>64.67</v>
      </c>
      <c r="E619" t="s">
        <v>4038</v>
      </c>
    </row>
    <row r="620" spans="1:5" x14ac:dyDescent="0.3">
      <c r="E620" t="s">
        <v>4039</v>
      </c>
    </row>
    <row r="621" spans="1:5" x14ac:dyDescent="0.3">
      <c r="A621" t="s">
        <v>4040</v>
      </c>
      <c r="B621" t="s">
        <v>4041</v>
      </c>
      <c r="C621">
        <v>306.95</v>
      </c>
      <c r="E621" t="s">
        <v>4042</v>
      </c>
    </row>
    <row r="622" spans="1:5" x14ac:dyDescent="0.3">
      <c r="E622" t="s">
        <v>4043</v>
      </c>
    </row>
    <row r="623" spans="1:5" x14ac:dyDescent="0.3">
      <c r="A623" t="s">
        <v>4044</v>
      </c>
      <c r="B623" t="s">
        <v>4045</v>
      </c>
      <c r="C623">
        <v>28.57</v>
      </c>
    </row>
    <row r="624" spans="1:5" x14ac:dyDescent="0.3">
      <c r="A624" t="s">
        <v>4046</v>
      </c>
      <c r="B624" t="s">
        <v>4047</v>
      </c>
      <c r="C624">
        <v>286.07</v>
      </c>
      <c r="E624" t="s">
        <v>4048</v>
      </c>
    </row>
    <row r="625" spans="1:5" x14ac:dyDescent="0.3">
      <c r="E625" t="s">
        <v>4049</v>
      </c>
    </row>
    <row r="626" spans="1:5" x14ac:dyDescent="0.3">
      <c r="A626" t="s">
        <v>4050</v>
      </c>
      <c r="B626" t="s">
        <v>4051</v>
      </c>
      <c r="C626">
        <v>1248.75</v>
      </c>
      <c r="D626" t="s">
        <v>4052</v>
      </c>
    </row>
    <row r="627" spans="1:5" x14ac:dyDescent="0.3">
      <c r="A627" t="s">
        <v>4053</v>
      </c>
      <c r="B627" t="s">
        <v>4054</v>
      </c>
      <c r="C627">
        <v>224</v>
      </c>
    </row>
    <row r="629" spans="1:5" x14ac:dyDescent="0.3">
      <c r="A629" t="s">
        <v>4055</v>
      </c>
      <c r="B629" t="s">
        <v>4056</v>
      </c>
      <c r="C629">
        <v>351.05</v>
      </c>
    </row>
    <row r="631" spans="1:5" x14ac:dyDescent="0.3">
      <c r="A631" t="s">
        <v>4057</v>
      </c>
      <c r="B631" t="s">
        <v>4058</v>
      </c>
      <c r="C631">
        <v>409.81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item list</vt:lpstr>
      <vt:lpstr>Quantity Session</vt:lpstr>
      <vt:lpstr>tempQuantity</vt:lpstr>
      <vt:lpstr>tempout</vt:lpstr>
      <vt:lpstr>temp</vt:lpstr>
      <vt:lpstr>Code</vt:lpstr>
      <vt:lpstr>output</vt:lpstr>
      <vt:lpstr>rest_info</vt:lpstr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Glider Global Mentor</cp:lastModifiedBy>
  <cp:lastPrinted>2024-09-30T14:19:46Z</cp:lastPrinted>
  <dcterms:created xsi:type="dcterms:W3CDTF">2021-08-11T17:01:37Z</dcterms:created>
  <dcterms:modified xsi:type="dcterms:W3CDTF">2024-10-03T09:30:20Z</dcterms:modified>
</cp:coreProperties>
</file>